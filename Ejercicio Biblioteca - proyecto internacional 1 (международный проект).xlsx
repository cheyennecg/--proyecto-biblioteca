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7.xml"/>
  <Override ContentType="application/vnd.openxmlformats-officedocument.spreadsheetml.pivotTable+xml" PartName="/xl/pivotTables/pivotTable1.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18.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6.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stamos_biblioteca_publica" sheetId="1" r:id="rId5"/>
    <sheet state="visible" name="Copy of prestamos_biblioteca_pu" sheetId="2" r:id="rId6"/>
    <sheet state="visible" name="Diagrama de gant distribucion" sheetId="3" r:id="rId7"/>
    <sheet state="hidden" name="Alex" sheetId="4" r:id="rId8"/>
    <sheet state="hidden" name="Cisco" sheetId="5" r:id="rId9"/>
    <sheet state="hidden" name="Cheyenne" sheetId="6" r:id="rId10"/>
    <sheet state="hidden" name="AGATA" sheetId="7" r:id="rId11"/>
    <sheet state="hidden" name="Oksana" sheetId="8" r:id="rId12"/>
    <sheet state="hidden" name="Tablas dinamicas" sheetId="9" r:id="rId13"/>
    <sheet state="visible" name="1_género literario" sheetId="10" r:id="rId14"/>
    <sheet state="visible" name="2.1_meses" sheetId="11" r:id="rId15"/>
    <sheet state="visible" name="2.2_día, franja horaria" sheetId="12" r:id="rId16"/>
    <sheet state="visible" name="3_entregados fuera del plazo" sheetId="13" r:id="rId17"/>
    <sheet state="visible" name="4_descuadres en las duraciones " sheetId="14" r:id="rId18"/>
    <sheet state="visible" name="Detail4-divulgacion-no" sheetId="15" r:id="rId19"/>
    <sheet state="hidden" name="Detail3" sheetId="16" r:id="rId20"/>
    <sheet state="hidden" name="Detail2-novela_grafica-inglés" sheetId="17" r:id="rId21"/>
    <sheet state="hidden" name="Detail1-divulgacion-inglés" sheetId="18" r:id="rId22"/>
  </sheets>
  <definedNames>
    <definedName hidden="1" localSheetId="1" name="_xlnm._FilterDatabase">'Copy of prestamos_biblioteca_pu'!$A$1:$I$262</definedName>
    <definedName hidden="1" localSheetId="3" name="_xlnm._FilterDatabase">Alex!$A$1:$I$262</definedName>
    <definedName hidden="1" localSheetId="4" name="_xlnm._FilterDatabase">Cisco!$A$1:$J$262</definedName>
    <definedName hidden="1" localSheetId="5" name="_xlnm._FilterDatabase">Cheyenne!$M$4:$P$13</definedName>
    <definedName hidden="1" localSheetId="6" name="_xlnm._FilterDatabase">AGATA!$A$1:$J$262</definedName>
    <definedName hidden="1" localSheetId="7" name="_xlnm._FilterDatabase">Oksana!$A$1:$I$262</definedName>
    <definedName hidden="1" localSheetId="11" name="_xlnm._FilterDatabase">'2.2_día, franja horaria'!$A$3:$E$86</definedName>
  </definedNames>
  <calcPr/>
  <pivotCaches>
    <pivotCache cacheId="0" r:id="rId23"/>
    <pivotCache cacheId="1" r:id="rId24"/>
    <pivotCache cacheId="2" r:id="rId25"/>
    <pivotCache cacheId="3" r:id="rId26"/>
    <pivotCache cacheId="4" r:id="rId27"/>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tc={043e1496-cf77-43b6-b340-8d4c5f042358}</author>
    <author>tc={a07eec56-6fab-4943-ae0e-a0e7adb095f8}</author>
  </authors>
  <commentList>
    <comment authorId="0" xr:uid="{043e1496-cf77-43b6-b340-8d4c5f042358}" ref="A1">
      <text>
        <t xml:space="preserve">[Threaded comment]
 Your version of Excel allows you to read this threaded comment; however, any edits to it will get removed if the file is opened in a newer version of Excel. Learn more: https://go.microsoft.com/fwlink/?linkid=870924
Comment:
	Qué muestra la tabla?
El gráfico representa:
Eje X: meses del año (1–12)
Eje Y: número de préstamos
Colores: cada color corresponde a un día de la semana (lunes a domingo)
En resumen: muestra cuántos préstamos se realizaron por día de la semana a lo largo del año.
Patrones principales detectados
Días con mayor actividad
En el total anual:
Martes: 52 préstamos
Domingo: 52 préstamos
Son los días con mayor número de préstamos.
Además, son los únicos días en los que hay actividad durante todo el año tanto por la mañana como por la tarde.
Esto sugiere que:
Martes podría ser un día operativo fuerte (día de rutina semanal, biblioteca abierta mañana y tarde).
Domingo probablemente esté asociado al tiempo libre de los usuarios.
Días con menor actividad
Los días más débiles del año son:
Lunes: 21 préstamos
Sábado: 21 préstamos
Entre enero y junio:
Solo hay actividad por la tarde.
Desde julio hasta diciembre:
No hay préstamos.
Esto sugiere que la biblioteca permanece cerrada esos días durante ese periodo.
Comportamiento en verano (julio y agosto)
Durante julio y agosto ocurre algo muy claro:
Solo hay préstamos:
Domingos por la tarde
Martes por la mañana
Jueves por la tarde
Posible interpretación: La biblioteca reduce su horario en verano y solo abre determinados días y franjas horarias.
Conclusión general
El gráfico no solo muestra volumen de préstamos, sino que revela:
Cambios estacionales en el horario.
Un patrón operativo fuerte en martes y domingo.
Reducción significativa de actividad en verano.
Posible cierre parcial ciertos días en la segunda mitad del año.
Reply:
	añadir que somos conscientes de que esta tabla es un sumatorio y los valores son arpoximados no los reales pero que este grafico ayuda visualmente a ver con claridad que días son más activos?
</t>
      </text>
    </comment>
    <comment authorId="1" xr:uid="{a07eec56-6fab-4943-ae0e-a0e7adb095f8}" ref="A1">
      <text>
        <t xml:space="preserve">[Threaded comment]
 Your version of Excel allows you to read this threaded comment; however, any edits to it will get removed if the file is opened in a newer version of Excel. Learn more: https://go.microsoft.com/fwlink/?linkid=870924
Comment:
	Qué muestra el gráfico?
El gráfico representa:
Eje X: meses del año (enero–diciembre)
Eje Y: porcentaje de préstamos
Colores:
Azul - Mañana
Rojo - Tarde
En resumen: muestra la distribución mensual de los préstamos según franja horaria.
Patrones principales detectados:
En todos los meses la franja de tarde supera a la de mañana.
Esto indica que la mayor actividad de la biblioteca ocurre por la tarde. Probablemente coincide con horarios laborales y escolares, cuando las personas disponen de más tiempo.
Meses con mayor actividad: Primavera
Los meses más fuertes son:
Marzo - 11,88%
Mayo - 11,88%
Abril - 11,49%
Posible explicación:
Periodo lectivo activo
Meses más débiles: verano
Julio -5,36%
Agosto - 4,98%
Se confirma una estacionalidad fuerte. Durante el verano los préstamos se reducen de forma significativa.
Recuperación en otoño
Desde septiembre se observa una subida progresiva, pero ya no tan intensa como en Primavera:
Septiembre - 6,51%
Octubre - 6,90%
Patrón coherente con la vuelta a la rutina tras el verano.
Conclusión general
El gráfico revela:
1. La biblioteca depende principalmente del horario de tarde. Se podría optimizar recursos reforzando esa franja.
2. La estacionalidad es evidente. Primavera = alta demanda Verano = muy poca demanda
3.La bajada de verano se podría compensar con actividades de verano.
4. El comportamiento encaja con calendario escolar. Refuerza la hipótesis de que una parte importante del público es estudiantil.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4">
      <text>
        <t xml:space="preserve">Qué muestra la tabla?
El gráfico representa:
Eje X: meses del año (1–12)
Eje Y: número de préstamos
Colores: cada color corresponde a un día de la semana (lunes a domingo)
En resumen: muestra cuántos préstamos se realizaron por día de la semana a lo largo del año.
Patrones principales detectados
Días con mayor actividad
En el total anual:
Martes: 52 préstamos
Domingo: 52 préstamos
Son los días con mayor número de préstamos.
Además, son los únicos días en los que hay actividad durante todo el año tanto por la mañana como por la tarde.
Esto sugiere que:
Martes podría ser un día operativo fuerte (día de rutina semanal, biblioteca abierta mañana y tarde).
Domingo probablemente esté asociado al tiempo libre de los usuarios.
Días con menor actividad
Los días más débiles del año son:
Lunes: 21 préstamos
Sábado: 21 préstamos
Entre enero y junio:
Solo hay actividad por la tarde.
Desde julio hasta diciembre:
No hay préstamos.
Esto sugiere que la biblioteca permanece cerrada esos días durante ese periodo.
Comportamiento en verano (julio y agosto)
Durante julio y agosto ocurre algo muy claro:
Solo hay préstamos:
Domingos por la tarde
Martes por la mañana
Jueves por la tarde
Posible interpretación: La biblioteca reduce su horario en verano y solo abre determinados días y franjas horarias.
Conclusión general
El gráfico no solo muestra volumen de préstamos, sino que revela:
Cambios estacionales en el horario.
Un patrón operativo fuerte en martes y domingo.
Reducción significativa de actividad en verano.
Posible cierre parcial ciertos días en la segunda mitad del año.
</t>
      </text>
    </comment>
  </commentList>
</comments>
</file>

<file path=xl/sharedStrings.xml><?xml version="1.0" encoding="utf-8"?>
<sst xmlns="http://schemas.openxmlformats.org/spreadsheetml/2006/main" count="13134" uniqueCount="126">
  <si>
    <t>fecha_prestamo</t>
  </si>
  <si>
    <t>categoria_libro</t>
  </si>
  <si>
    <t>idioma</t>
  </si>
  <si>
    <t>duracion_prestamo_dias</t>
  </si>
  <si>
    <t>devuelto_a_tiempo</t>
  </si>
  <si>
    <t>franja_horaria</t>
  </si>
  <si>
    <t>mes</t>
  </si>
  <si>
    <t>dia_semana</t>
  </si>
  <si>
    <t>ficcion</t>
  </si>
  <si>
    <t>español</t>
  </si>
  <si>
    <t>si</t>
  </si>
  <si>
    <t>tarde</t>
  </si>
  <si>
    <t>enero</t>
  </si>
  <si>
    <t>domingo</t>
  </si>
  <si>
    <t>ensayo</t>
  </si>
  <si>
    <t>mañana</t>
  </si>
  <si>
    <t>martes</t>
  </si>
  <si>
    <t>infantil</t>
  </si>
  <si>
    <t>miércoles</t>
  </si>
  <si>
    <t>comic</t>
  </si>
  <si>
    <t>viernes</t>
  </si>
  <si>
    <t>inglés</t>
  </si>
  <si>
    <t>no</t>
  </si>
  <si>
    <t>novela_grafica</t>
  </si>
  <si>
    <t>catalán</t>
  </si>
  <si>
    <t>poesia</t>
  </si>
  <si>
    <t>divulgacion</t>
  </si>
  <si>
    <t>febrero</t>
  </si>
  <si>
    <t>marzo</t>
  </si>
  <si>
    <t>abril</t>
  </si>
  <si>
    <t>mayo</t>
  </si>
  <si>
    <t>junio</t>
  </si>
  <si>
    <t>julio</t>
  </si>
  <si>
    <t>jueves</t>
  </si>
  <si>
    <t>agosto</t>
  </si>
  <si>
    <t>septiembre</t>
  </si>
  <si>
    <t>octubre</t>
  </si>
  <si>
    <t>noviembre</t>
  </si>
  <si>
    <t>diciembre</t>
  </si>
  <si>
    <t>lunes</t>
  </si>
  <si>
    <t>sábado</t>
  </si>
  <si>
    <t>mes_num.</t>
  </si>
  <si>
    <t>5. viernes</t>
  </si>
  <si>
    <t>7. domingo</t>
  </si>
  <si>
    <t>1. lunes</t>
  </si>
  <si>
    <t>2. martes</t>
  </si>
  <si>
    <t>3. miércoles</t>
  </si>
  <si>
    <t>4. jueves</t>
  </si>
  <si>
    <t>6. sábado</t>
  </si>
  <si>
    <t>ID</t>
  </si>
  <si>
    <t>Tarea</t>
  </si>
  <si>
    <t>Inicio</t>
  </si>
  <si>
    <t>Duración (días)</t>
  </si>
  <si>
    <t>Fin</t>
  </si>
  <si>
    <t>27/02</t>
  </si>
  <si>
    <t>La fórmula =AND(F$1&gt;=$C2; F$1&lt;=$E2) es básicamente un filtro inteligente que le hace dos preguntas a cada celda de tu cuadrícula.
Aquí te la desgloso por piezas:
1. La función AND (o Y)
Esta función es como un guardia de seguridad que solo deja pasar (pintar el color) si se cumplen las dos condiciones al mismo tiempo. Si una falla, la celda se queda en blanco.
2. La primera condición: F$1 &gt;= $C2
¿Qué pregunta?: "¿El día que tengo aquí arriba (F1) es igual o posterior al día que empecé la tarea (C2)?"
El truco del $: El signo $ en F$1 bloquea la fila 1. Así, aunque la fórmula baje a la fila 8, siempre mirará las fechas del calendario de arriba. El $ en $C2 bloquea la columna C, para que siempre sepa dónde empieza la actividad.
3. La segunda condición: F$1 &lt;= $E2
¿Qué pregunta?: "¿El día que tengo aquí arriba (F1) es anterior o igual al día que debo terminar (E2)?"
El objetivo: Esto es lo que pone el "freno". Si el calendario llega al día 25 pero tu tarea terminaba el 24, esta condición dice "¡Para!", y deja de pintar.</t>
  </si>
  <si>
    <t>Limpieza de datos (orden, fechas , días)</t>
  </si>
  <si>
    <t xml:space="preserve">Creación de Tablas Dinámicas </t>
  </si>
  <si>
    <t>Análisis de categorias/tiempos/plazos</t>
  </si>
  <si>
    <t xml:space="preserve">Informes por minigrupos deglosado </t>
  </si>
  <si>
    <t>Diseño de Gráficos y Dashboard</t>
  </si>
  <si>
    <t>Redacción de Conclusiones y Leyendas</t>
  </si>
  <si>
    <t>Revisión Final y Entrega</t>
  </si>
  <si>
    <t>categoria libro</t>
  </si>
  <si>
    <t>mes-num</t>
  </si>
  <si>
    <t>COUNTA of categoria libro</t>
  </si>
  <si>
    <t>Grand Total</t>
  </si>
  <si>
    <t>1 Total</t>
  </si>
  <si>
    <t>2 Total</t>
  </si>
  <si>
    <t>3 Total</t>
  </si>
  <si>
    <t>4 Total</t>
  </si>
  <si>
    <t>5 Total</t>
  </si>
  <si>
    <t>6 Total</t>
  </si>
  <si>
    <t>7 Total</t>
  </si>
  <si>
    <t>8 Total</t>
  </si>
  <si>
    <t>9 Total</t>
  </si>
  <si>
    <t>10 Total</t>
  </si>
  <si>
    <t>11 Total</t>
  </si>
  <si>
    <t>12 Total</t>
  </si>
  <si>
    <t>Categoria</t>
  </si>
  <si>
    <t>mes en numeros</t>
  </si>
  <si>
    <t>Column 1</t>
  </si>
  <si>
    <t>COUNTA of Categoria</t>
  </si>
  <si>
    <t>no Total</t>
  </si>
  <si>
    <t>si Total</t>
  </si>
  <si>
    <t xml:space="preserve"> </t>
  </si>
  <si>
    <t xml:space="preserve">sábado              </t>
  </si>
  <si>
    <t>mes por orden</t>
  </si>
  <si>
    <t>orden semana</t>
  </si>
  <si>
    <t>orden y nombre semana</t>
  </si>
  <si>
    <t>COUNTA of devuelto_a_tiempo</t>
  </si>
  <si>
    <t>mes numero</t>
  </si>
  <si>
    <t>COUNTA of categoria_libro</t>
  </si>
  <si>
    <t>domingo Total</t>
  </si>
  <si>
    <t>martes Total</t>
  </si>
  <si>
    <t>miércoles Total</t>
  </si>
  <si>
    <t>viernes Total</t>
  </si>
  <si>
    <t>1. Qué genero literario sale más y en qué idioma:</t>
  </si>
  <si>
    <t>4. Mediana de duracion de dias de prestamo por categorias:</t>
  </si>
  <si>
    <t>MEDIAN of duracion_prestamo_dias</t>
  </si>
  <si>
    <t>STDEV of duracion_prestamo_dias</t>
  </si>
  <si>
    <t xml:space="preserve">Desviación de duración del préstamo </t>
  </si>
  <si>
    <t xml:space="preserve">     </t>
  </si>
  <si>
    <t>2. Porcentaje de libros entregados fuera del plazo:</t>
  </si>
  <si>
    <t>5. Descuadres en las duraciones de devolución:</t>
  </si>
  <si>
    <t>Values</t>
  </si>
  <si>
    <t>MIN of duracion</t>
  </si>
  <si>
    <t>MAX of duracion</t>
  </si>
  <si>
    <t xml:space="preserve">* Si la columna verde está más alta que la roja púes aquí hay un descuadre en algunas categorías. </t>
  </si>
  <si>
    <t>3. En qué mes, día, franja horaria se prestan:</t>
  </si>
  <si>
    <t>Qué genero literario sale más y en qué idioma:</t>
  </si>
  <si>
    <r>
      <rPr>
        <rFont val="Arial"/>
        <color theme="1"/>
        <sz val="9.0"/>
      </rPr>
      <t xml:space="preserve">El análisis se basa exclusivamente en los préstamos registrados en una biblioteca pública. Por tanto, los resultados reflejan los hábitos de lectura de sus usuarios y no el comportamiento del mercado editorial en general.
El gráfico de barras muestra la distribución porcentual de distintos géneros literarios según el idioma de publicación.
En el eje horizontal se presentan las categorías de libros: cómic, divulgación, ensayo, ficción, infantil, novela gráfica y poesía. 
Cada categoría de libros incluye tres barras diferenciadas por colores asignados a idiomas.
En el eje vertical se representan los porcentajes, que alcanzan hasta aproximadamente el 30%.
</t>
    </r>
    <r>
      <rPr>
        <rFont val="Arial"/>
        <b/>
        <color theme="1"/>
        <sz val="9.0"/>
      </rPr>
      <t xml:space="preserve">Principales conclusiones
</t>
    </r>
    <r>
      <rPr>
        <rFont val="Arial"/>
        <color theme="1"/>
        <sz val="9.0"/>
      </rPr>
      <t xml:space="preserve">
- El español es el idioma predominante en todos los géneros, destacando especialmente en ficción, donde alcanza el porcentaje más alto del gráfico (cerca del 30%).
- En segundo lugar, también en español, destacan los géneros infantil y cómic.
- El catalán presenta porcentajes más bajos en comparación con el español, con mayor presencia en infantil y ficción.
- El inglés tiene una participación menor y se concentra principalmente en ficción y ligeramente en divulgación.
- Géneros como poesía y novela gráfica muestran porcentajes reducidos en todos los idiomas.
</t>
    </r>
    <r>
      <rPr>
        <rFont val="Arial"/>
        <b/>
        <color theme="1"/>
        <sz val="9.0"/>
      </rPr>
      <t>Interpretación general</t>
    </r>
    <r>
      <rPr>
        <rFont val="Arial"/>
        <color theme="1"/>
        <sz val="9.0"/>
      </rPr>
      <t xml:space="preserve">
Los datos evidencian una fuerte concentración de la demanda en obras de ficción en español, lo que sugiere una preferencia clara por la narrativa en este idioma dentro de la biblioteca analizada.</t>
    </r>
  </si>
  <si>
    <t>⚠️ Contexto Metodológico Clave
Los datos corresponden exclusivamente a libros prestados durante un año.
No se dispone de información sobre:
Total de libros en catálogo.
Distribución del fondo por género o idioma.
Por tanto, el análisis refleja demanda observada (uso), no oferta disponible.
👉 Estamos midiendo comportamiento de préstamo, no composición real de la colección.
🔎 1. Ficción como principal driver de demanda
~40% de los préstamos corresponden a ficción.
Infantil ocupa la segunda posición (~21%).
Más del 60% de los préstamos se concentran en estos dos géneros.
Interpretación:
 La narrativa es el principal motor de circulación y uso en la biblioteca.
🌎 2. Predominancia del español en el uso
El español lidera los préstamos en todas las categorías.
Catalán e inglés muestran menor volumen relativo.
Pero atención:
 No sabemos si esta diferencia se debe a:
Mayor demanda real.
O mayor disponibilidad de ejemplares en español.
👉 Sin datos del catálogo total, no podemos inferir preferencia pura.
📈 3. Segmentación de la demanda
Alta rotación:
Ficción
Infantil
Demanda media:
Cómic
Ensayo
Baja rotación:
Novela gráfica
Divulgación
Poesía
Esto sugiere patrones claros de comportamiento lector, aunque no necesariamente baja relevancia cultural.
🎯 Insight Estratégico Refinado
El análisis describe cómo usan los usuarios la biblioteca, no cómo está estructurado el fondo.
Las conclusiones deben interpretarse como:
Indicadores de popularidad y circulación.
Señales de interés lector.
Potenciales áreas de alta rotación.
No permiten concluir:
Si existe sobreoferta o infrarrepresentación de algún género.
Si la baja circulación responde a baja demanda o baja disponibilidad.
---
# Informe comparativo de préstamos por género literario e idioma
## 1. Contexto y alcance
El presente informe integra dos niveles de análisis sobre los préstamos registrados en una biblioteca pública:
1. **Distribución total de préstamos por género literario.**
2. **Distribución porcentual por género segmentada por idioma (catalán, español e inglés).**
El análisis se limita exclusivamente a los datos de circulación interna de la biblioteca y no representa tendencias del mercado editorial general.
---
## 2. Análisis global por género (visión agregada)
### 2.1 Distribución total de préstamos
La estructura general de la demanda presenta una alta concentración en:
* **Ficción**: 39,5% (103 préstamos)
* **Infantil**: 21,1% (55 préstamos)
* **Cómic**: 13,4% (35 préstamos)
* **Ensayo**: 13,0% (34 préstamos)
* Resto de categorías con participación inferior al 7%.
### 2.2 Hallazgos clave
* Existe una **concentración significativa en ficción**, que representa aproximadamente 4 de cada 10 préstamos.
* Infantil constituye el segundo eje relevante de demanda.
* Poesía presenta una rotación marginal (1,1%), indicando baja tracción comparativa.
* La distribución es asimétrica, con predominio claro de géneros narrativos frente a géneros especializados.
---
## 3. Análisis segmentado por idioma
### 3.1 Dominancia lingüística
En todos los géneros analizados, el **español presenta la mayor proporción de préstamos**, sin excepción.
No se observan categorías en las que catalán o inglés superen al español en volumen relativo.
### 3.2 Comportamiento por género e idioma
* **Ficción en español** concentra el mayor porcentaje individual dentro del conjunto segmentado.
* Catalán presenta mayor presencia relativa en ficción e infantil, aunque por debajo del español.
* Inglés muestra una participación focalizada principalmente en ficción, con presencia residual en el resto de géneros.
* Géneros de baja demanda (poesía, novela gráfica) mantienen niveles reducidos en todos los idiomas.
---
## 4. Análisis comparativo integrado
### 4.1 Concentración doble: género e idioma
Al cruzar ambos análisis se identifica un patrón de concentración estructural en dos dimensiones:
* **Dimensión temática:** predominio claro de ficción.
* **Dimensión lingüística:** predominio transversal del español.
Esto sugiere que la mayor parte de la actividad de préstamo se explica por ficción en lengua española.
### 4.2 Segmentos secundarios
* Infantil funciona como segundo motor de circulación, principalmente en español.
* Cómic y ensayo presentan demanda moderada, también liderada por el español.
* Catalán mantiene presencia constante pero subordinada.
* Inglés opera como segmento complementario y minoritario.
### 4.3 Segmentos de baja rotación
* Poesía y novela gráfica muestran baja participación global y baja diversificación lingüística.
* Su peso relativo es marginal tanto en términos absolutos como porcentuales.
---
## 5. Implicaciones estratégicas
Desde una perspectiva de gestión bibliotecaria:
1. **Optimización de inventario:**
   Priorizar actualización y reposición en ficción en español.
2. **Gestión de fondo especializado:**
   Evaluar estrategia para poesía y divulgación (promoción, reducción o resegmentación).
3. **Planificación lingüística:**
   Analizar si la baja rotación en catalán e inglés responde a menor demanda real o a menor disponibilidad de títulos.
4. **Segmentación futura recomendada:**
   Incorporar análisis por edad, frecuencia de usuario y evolución temporal para detectar patrones más precisos.
---
## 6. Conclusión general
El sistema de préstamos analizado muestra un modelo de demanda altamente concentrado:
* Predominio temático de ficción.
* Predominio lingüístico del español.
* Participación secundaria de infantil.
* Baja rotación en géneros especializados.
El comportamiento observado sugiere una estructura de consumo orientada principalmente a lectura recreativa narrativa en lengua española.</t>
  </si>
  <si>
    <r>
      <rPr>
        <rFont val="Arial"/>
        <color theme="1"/>
        <sz val="9.0"/>
      </rPr>
      <t xml:space="preserve">El gráfico circular muestra la distribución porcentual de libros según su género literario (sin tener en cuenta en que idioma).
Cada segmento del gráfico representa un género y su proporción correspondiente dentro del total.
Se utilizan tanto valores absolutos como porcentajes sobre el total de préstamos.
</t>
    </r>
    <r>
      <rPr>
        <rFont val="Arial"/>
        <b/>
        <color theme="1"/>
        <sz val="9.0"/>
      </rPr>
      <t>Distribución por género</t>
    </r>
    <r>
      <rPr>
        <rFont val="Arial"/>
        <color theme="1"/>
        <sz val="9.0"/>
      </rPr>
      <t xml:space="preserve">
- Ficción: 39,5% (103 libros) → </t>
    </r>
    <r>
      <rPr>
        <rFont val="Arial"/>
        <i/>
        <color theme="1"/>
        <sz val="9.0"/>
      </rPr>
      <t>Es el género con mayor demanda.</t>
    </r>
    <r>
      <rPr>
        <rFont val="Arial"/>
        <color theme="1"/>
        <sz val="9.0"/>
      </rPr>
      <t xml:space="preserve">
- Infantil: 21,1% (55 libros) → </t>
    </r>
    <r>
      <rPr>
        <rFont val="Arial"/>
        <i/>
        <color theme="1"/>
        <sz val="9.0"/>
      </rPr>
      <t>Segundo género más frecuente.</t>
    </r>
    <r>
      <rPr>
        <rFont val="Arial"/>
        <color theme="1"/>
        <sz val="9.0"/>
      </rPr>
      <t xml:space="preserve">
- Cómic: 13,4% (35 libros).
- Ensayo: 13,0% (34 libros).
- Novela gráfica: 6,5% (17 libros).
- Divulgación: 5,4% (14 libros).
- Poesía: 1,1% (3 libros) → </t>
    </r>
    <r>
      <rPr>
        <rFont val="Arial"/>
        <i/>
        <color theme="1"/>
        <sz val="9.0"/>
      </rPr>
      <t xml:space="preserve">Es el género con menor demanda.
</t>
    </r>
    <r>
      <rPr>
        <rFont val="Arial"/>
        <color theme="1"/>
        <sz val="9.0"/>
      </rPr>
      <t xml:space="preserve">
</t>
    </r>
    <r>
      <rPr>
        <rFont val="Arial"/>
        <b/>
        <color theme="1"/>
        <sz val="9.0"/>
      </rPr>
      <t>Conclusión</t>
    </r>
    <r>
      <rPr>
        <rFont val="Arial"/>
        <color theme="1"/>
        <sz val="9.0"/>
      </rPr>
      <t xml:space="preserve">
El patrón de préstamos indica una preferencia marcada por la lectura narrativa, especialmente ficción, lo que sugiere un consumo orientado principalmente al entretenimiento.
La distribución general es asimétrica, con clara concentración en uno o dos géneros predominantes.
Los géneros con menor rotación podrían requerir evaluación en términos de adquisición, reposición o estrategia de promoción.
El análisis no incorpora variables demográficas, disponibilidad de ejemplares ni evolución temporal, por lo que los resultados deben interpretarse dentro de este alcance descriptivo.</t>
    </r>
  </si>
  <si>
    <t xml:space="preserve">
</t>
  </si>
  <si>
    <r>
      <rPr>
        <rFont val="Arial"/>
        <color theme="1"/>
        <sz val="9.0"/>
      </rPr>
      <t xml:space="preserve">Qué muestra el gráfico?
El gráfico representa:
Eje X: meses del año (enero–diciembre)
Eje Y: porcentaje de préstamos
Colores:
Azul - Mañana
Rojo - Tarde
En resumen: </t>
    </r>
    <r>
      <rPr>
        <rFont val="Arial"/>
        <b/>
        <color theme="1"/>
        <sz val="9.0"/>
      </rPr>
      <t>muestra la distribución mensual de los préstamos según franja horaria.</t>
    </r>
    <r>
      <rPr>
        <rFont val="Arial"/>
        <color theme="1"/>
        <sz val="9.0"/>
      </rPr>
      <t xml:space="preserve">
</t>
    </r>
    <r>
      <rPr>
        <rFont val="Arial"/>
        <b/>
        <color theme="1"/>
        <sz val="9.0"/>
      </rPr>
      <t xml:space="preserve">Patrones principales detectados:
</t>
    </r>
    <r>
      <rPr>
        <rFont val="Arial"/>
        <color theme="1"/>
        <sz val="9.0"/>
      </rPr>
      <t xml:space="preserve">En todos los meses la franja de tarde supera a la de mañana.
Esto indica que la mayor actividad de la biblioteca ocurre por la tarde. Probablemente coincide con horarios laborales y escolares, cuando las personas disponen de más tiempo.
</t>
    </r>
    <r>
      <rPr>
        <rFont val="Arial"/>
        <b/>
        <color theme="1"/>
        <sz val="9.0"/>
      </rPr>
      <t xml:space="preserve">Meses con mayor actividad: Primavera
</t>
    </r>
    <r>
      <rPr>
        <rFont val="Arial"/>
        <color theme="1"/>
        <sz val="9.0"/>
      </rPr>
      <t xml:space="preserve">Los meses más fuertes son:
Marzo - 11,88%
Mayo - 11,88%
Abril - 11,49%
Posible explicación:
Periodo lectivo activo
</t>
    </r>
    <r>
      <rPr>
        <rFont val="Arial"/>
        <b/>
        <color theme="1"/>
        <sz val="9.0"/>
      </rPr>
      <t xml:space="preserve">Meses más débiles: verano
</t>
    </r>
    <r>
      <rPr>
        <rFont val="Arial"/>
        <color theme="1"/>
        <sz val="9.0"/>
      </rPr>
      <t xml:space="preserve">Julio -5,36%
Agosto - 4,98%
Se confirma una estacionalidad fuerte. Durante el verano los préstamos se reducen de forma significativa.
Recuperación en otoño
Desde septiembre se observa una subida progresiva, pero ya no tan intensa como en Primavera:
Septiembre - 6,51%
Octubre - 6,90%
Patrón coherente con la vuelta a la rutina tras el verano.
</t>
    </r>
    <r>
      <rPr>
        <rFont val="Arial"/>
        <b/>
        <color theme="1"/>
        <sz val="9.0"/>
      </rPr>
      <t xml:space="preserve">Conclusión general
</t>
    </r>
    <r>
      <rPr>
        <rFont val="Arial"/>
        <color theme="1"/>
        <sz val="9.0"/>
      </rPr>
      <t>El gráfico revela:
1. La biblioteca depende principalmente del horario de tarde. Se podría optimizar recursos reforzando esa franja.
2. La estacionalidad es evidente. Primavera = alta demanda Verano = muy poca demanda
3.La bajada de verano se podría compensar con actividades de verano.
4. El comportamiento encaja con calendario escolar. Refuerza la hipótesis de que una parte importante del público es estudiantil.</t>
    </r>
  </si>
  <si>
    <r>
      <rPr>
        <rFont val="Arial"/>
        <color theme="1"/>
        <sz val="9.0"/>
      </rPr>
      <t xml:space="preserve">La primera tabla es un sumatorio y los valores son aproximados no los reales pero que este grafico ayuda visualmente
a ver con claridad que días son más activos.
El gráfico de la segunda tabla representa:
Eje X: meses del año (1–12)
Eje Y: número de préstamos
Colores: cada color corresponde a un día de la semana (lunes a domingo)
En resumen: </t>
    </r>
    <r>
      <rPr>
        <rFont val="Arial"/>
        <b/>
        <color theme="1"/>
        <sz val="9.0"/>
      </rPr>
      <t>muestra cuántos préstamos se realizaron por día de la semana a lo largo del año.</t>
    </r>
    <r>
      <rPr>
        <rFont val="Arial"/>
        <color theme="1"/>
        <sz val="9.0"/>
      </rPr>
      <t xml:space="preserve">
</t>
    </r>
    <r>
      <rPr>
        <rFont val="Arial"/>
        <b/>
        <color theme="1"/>
        <sz val="9.0"/>
      </rPr>
      <t xml:space="preserve">Patrones principales detectados
</t>
    </r>
    <r>
      <rPr>
        <rFont val="Arial"/>
        <color theme="1"/>
        <sz val="9.0"/>
      </rPr>
      <t xml:space="preserve">Días con mayor actividad
En el total anual:
Martes: 52 préstamos
Domingo: 52 préstamos
Son los días con mayor número de préstamos.
Además, son los únicos días en los que hay actividad durante todo el año tanto por la mañana como por la tarde.
Esto sugiere que:
Martes podría ser un día operativo fuerte (día de rutina semanal, biblioteca abierta mañana y tarde).
Domingo probablemente esté asociado al tiempo libre de los usuarios.
Días con menor actividad
Los días más débiles del año son:
Lunes: 21 préstamos
Sábado: 21 préstamos
Entre enero y junio:
Solo hay actividad por la tarde.
Desde julio hasta diciembre:
No hay préstamos.
Esto sugiere que la biblioteca permanece cerrada esos días durante ese periodo.
</t>
    </r>
    <r>
      <rPr>
        <rFont val="Arial"/>
        <b/>
        <color theme="1"/>
        <sz val="9.0"/>
      </rPr>
      <t xml:space="preserve">Comportamiento en verano (julio y agosto)
</t>
    </r>
    <r>
      <rPr>
        <rFont val="Arial"/>
        <color theme="1"/>
        <sz val="9.0"/>
      </rPr>
      <t xml:space="preserve">Durante julio y agosto ocurre algo muy claro:
Solo hay préstamos:
Domingos por la tarde
Martes por la mañana
Jueves por la tarde
Posible interpretación: La biblioteca reduce su horario en verano y solo abre determinados días y franjas horarias.
</t>
    </r>
    <r>
      <rPr>
        <rFont val="Arial"/>
        <b/>
        <color theme="1"/>
        <sz val="9.0"/>
      </rPr>
      <t xml:space="preserve">
Conclusión general</t>
    </r>
    <r>
      <rPr>
        <rFont val="Arial"/>
        <color theme="1"/>
        <sz val="9.0"/>
      </rPr>
      <t xml:space="preserve">
El gráfico no solo muestra volumen de préstamos, sino que revela:
Cambios estacionales en el horario.
Un patrón operativo fuerte en martes y domingo.
Reducción significativa de actividad en verano.
Posible cierre parcial ciertos días en la segunda mitad del año. Se ve que actividad está más condicionada por horarios que por falta de usuarios.
</t>
    </r>
  </si>
  <si>
    <r>
      <rPr>
        <rFont val="Arial"/>
        <color theme="1"/>
        <sz val="9.0"/>
      </rPr>
      <t xml:space="preserve">Qué muestra?
Eje X - Días de la semana (lunes a domingo)
Eje Y - Frecuencia (número de préstamos)
Cada color representa un género literario
Está mostrando qué día es más frecuente (moda) para cada género, es decir, en qué día se concentran más préstamos según categoría.
</t>
    </r>
    <r>
      <rPr>
        <rFont val="Arial"/>
        <b/>
        <color theme="1"/>
        <sz val="9.0"/>
      </rPr>
      <t xml:space="preserve">Interpretación por género
Ficción </t>
    </r>
    <r>
      <rPr>
        <rFont val="Arial"/>
        <color theme="1"/>
        <sz val="9.0"/>
      </rPr>
      <t xml:space="preserve">
Es claramente la categoría dominante.
Pico máximo: domingo (~24)
</t>
    </r>
    <r>
      <rPr>
        <rFont val="Arial"/>
        <b/>
        <color theme="1"/>
        <sz val="9.0"/>
      </rPr>
      <t>Infantil</t>
    </r>
    <r>
      <rPr>
        <rFont val="Arial"/>
        <color theme="1"/>
        <sz val="9.0"/>
      </rPr>
      <t xml:space="preserve">
Día más fuerte: miércoles (~12)
</t>
    </r>
    <r>
      <rPr>
        <rFont val="Arial"/>
        <b/>
        <color theme="1"/>
        <sz val="9.0"/>
      </rPr>
      <t>Cómic</t>
    </r>
    <r>
      <rPr>
        <rFont val="Arial"/>
        <color theme="1"/>
        <sz val="9.0"/>
      </rPr>
      <t xml:space="preserve">
Destaca martes (~11)
</t>
    </r>
    <r>
      <rPr>
        <rFont val="Arial"/>
        <b/>
        <color theme="1"/>
        <sz val="9.0"/>
      </rPr>
      <t>Ensayo</t>
    </r>
    <r>
      <rPr>
        <rFont val="Arial"/>
        <color theme="1"/>
        <sz val="9.0"/>
      </rPr>
      <t xml:space="preserve">
Pico viernes (~8)
</t>
    </r>
    <r>
      <rPr>
        <rFont val="Arial"/>
        <b/>
        <color theme="1"/>
        <sz val="9.0"/>
      </rPr>
      <t>Divulgación</t>
    </r>
    <r>
      <rPr>
        <rFont val="Arial"/>
        <color theme="1"/>
        <sz val="9.0"/>
      </rPr>
      <t xml:space="preserve">
Valores bajos en general
</t>
    </r>
    <r>
      <rPr>
        <rFont val="Arial"/>
        <b/>
        <color theme="1"/>
        <sz val="9.0"/>
      </rPr>
      <t>Novela gráfica</t>
    </r>
    <r>
      <rPr>
        <rFont val="Arial"/>
        <color theme="1"/>
        <sz val="9.0"/>
      </rPr>
      <t xml:space="preserve">
Presencia moderada
</t>
    </r>
    <r>
      <rPr>
        <rFont val="Arial"/>
        <b/>
        <color theme="1"/>
        <sz val="9.0"/>
      </rPr>
      <t>Poesía</t>
    </r>
    <r>
      <rPr>
        <rFont val="Arial"/>
        <color theme="1"/>
        <sz val="9.0"/>
      </rPr>
      <t xml:space="preserve">
Muy baja frecuencia
</t>
    </r>
    <r>
      <rPr>
        <rFont val="Arial"/>
        <b/>
        <color theme="1"/>
        <sz val="9.0"/>
      </rPr>
      <t xml:space="preserve">
Patrones globales</t>
    </r>
    <r>
      <rPr>
        <rFont val="Arial"/>
        <color theme="1"/>
        <sz val="9.0"/>
      </rPr>
      <t xml:space="preserve">
1. Domingo es el día más fuerte globalmente. Ficción y varias categorías alcanzan su máximo.
2. Martes tambien es alto 
3. Sábado no es tan fuerte como se podría esperar.
4. Ficción domina absolutamente cualquier día.
</t>
    </r>
    <r>
      <rPr>
        <rFont val="Arial"/>
        <b/>
        <color theme="1"/>
        <sz val="9.0"/>
      </rPr>
      <t>Conclusiones generales</t>
    </r>
    <r>
      <rPr>
        <rFont val="Arial"/>
        <color theme="1"/>
        <sz val="9.0"/>
      </rPr>
      <t xml:space="preserve">
1. La demanda no es uniforme por género. Cada categoría tiene un patrón semanal diferente.
2. Ficción es estructuralmente la categoría principal. Su volumen es muy superior al resto en todos los días.
3. El domingo es estratégicamente el día clave. Si la biblioteca quiere organizar eventos, ese día seria el mejor.
4. Infantil tiene patrón propio (mitad de semana - los miercoles). Posible relación con calendario escolar.
5. Algunas categorías apenas tienen préstamos (como poesía o divulgación).
Esto puede significar que no están llamando la atención y quizá convendría darles más visibilidad o revisar si el catálogo es atractivo y actual.</t>
    </r>
  </si>
  <si>
    <t>Median de duracion de dias de prestamo por categorias:</t>
  </si>
  <si>
    <r>
      <rPr>
        <rFont val="Arial"/>
        <i/>
        <color theme="1"/>
        <sz val="9.0"/>
      </rPr>
      <t xml:space="preserve">Analisís  medía de préstamos según el género literario: 
</t>
    </r>
    <r>
      <rPr>
        <rFont val="Arial"/>
        <color theme="1"/>
        <sz val="9.0"/>
      </rPr>
      <t xml:space="preserve">
</t>
    </r>
    <r>
      <rPr>
        <rFont val="Arial"/>
        <b/>
        <color theme="1"/>
        <sz val="9.0"/>
      </rPr>
      <t>Lectura de larga duración</t>
    </r>
    <r>
      <rPr>
        <rFont val="Arial"/>
        <color theme="1"/>
        <sz val="9.0"/>
      </rPr>
      <t xml:space="preserve">: La poesía (30 días) y la divulgación (25 días) lideran el tiempo de préstamo, siendo los géneros que los usuarios conservan por más tiempo 
</t>
    </r>
    <r>
      <rPr>
        <rFont val="Arial"/>
        <b/>
        <color theme="1"/>
        <sz val="9.0"/>
      </rPr>
      <t>Lectura intermedia</t>
    </r>
    <r>
      <rPr>
        <rFont val="Arial"/>
        <color theme="1"/>
        <sz val="9.0"/>
      </rPr>
      <t xml:space="preserve">: Géneros como el ensayo (22 días) y la novela gráfica (19 días) mantienen un equilibrio constante en el tiempo de retorno 
</t>
    </r>
    <r>
      <rPr>
        <rFont val="Arial"/>
        <b/>
        <color theme="1"/>
        <sz val="9.0"/>
      </rPr>
      <t>Lectura rápida</t>
    </r>
    <r>
      <rPr>
        <rFont val="Arial"/>
        <color theme="1"/>
        <sz val="9.0"/>
      </rPr>
      <t xml:space="preserve">: La ficción (14 días), el contenido infantil (10 días) y el cómic (7 días) presentan los ciclos de préstamo más cortos, lo que sugiere un consumo más ágil.
</t>
    </r>
    <r>
      <rPr>
        <rFont val="Arial"/>
        <b/>
        <color theme="1"/>
        <sz val="11.0"/>
      </rPr>
      <t>Conclusión</t>
    </r>
    <r>
      <rPr>
        <rFont val="Arial"/>
        <color theme="1"/>
        <sz val="11.0"/>
      </rPr>
      <t xml:space="preserve">
</t>
    </r>
    <r>
      <rPr>
        <rFont val="Arial"/>
        <color theme="1"/>
        <sz val="9.0"/>
      </rPr>
      <t xml:space="preserve">
Existe una relación directa entre la complejidad o extensión del género y el tiempo que el usuario necesita el libro
Mientras que los géneros de lectura rápida, como el cómic,infantíl o ficción, rotan velozmente permitiendo una mayor disponibilidad, la poesía y la divulgación requieren plazos más amplios para su asimilación.
</t>
    </r>
  </si>
  <si>
    <r>
      <rPr>
        <rFont val="Arial"/>
        <i/>
        <color theme="1"/>
        <sz val="9.0"/>
      </rPr>
      <t>Análisis de Cumplimiento por Género Literario</t>
    </r>
    <r>
      <rPr>
        <rFont val="Arial"/>
        <color theme="1"/>
        <sz val="9.0"/>
      </rPr>
      <t xml:space="preserve">
</t>
    </r>
    <r>
      <rPr>
        <rFont val="Arial"/>
        <b/>
        <color theme="1"/>
        <sz val="9.0"/>
      </rPr>
      <t>Mayor Volumen y Rotación</t>
    </r>
    <r>
      <rPr>
        <rFont val="Arial"/>
        <color theme="1"/>
        <sz val="9.0"/>
      </rPr>
      <t xml:space="preserve">: La ficción destaca con la columna más alta en ambos valores, representando el mayor volumen de préstamos de la biblioteca. Debido a esta alta rotación, también acumula el mayor número de unidades devueltas fuera de plazo en términos absolutos.
</t>
    </r>
    <r>
      <rPr>
        <rFont val="Arial"/>
        <b/>
        <color theme="1"/>
        <sz val="9.0"/>
      </rPr>
      <t>Cumplimiento Total:</t>
    </r>
    <r>
      <rPr>
        <rFont val="Arial"/>
        <color theme="1"/>
        <sz val="9.0"/>
      </rPr>
      <t xml:space="preserve"> Los géneros infantil y novela gráfica presentan un comportamiento impecable en esta muestra, ya que no registran unidades en la categoría "no devuelto" (columna roja inexistente o imperceptible), lo que indica un cumplimiento del 100% en sus retornos.
</t>
    </r>
    <r>
      <rPr>
        <rFont val="Arial"/>
        <b/>
        <color theme="1"/>
        <sz val="9.0"/>
      </rPr>
      <t>Dato poseía:</t>
    </r>
    <r>
      <rPr>
        <rFont val="Arial"/>
        <color theme="1"/>
        <sz val="9.0"/>
      </rPr>
      <t xml:space="preserve"> Pese a que representa un numeró muy pequeño sobre la demanda de libros, podemos destacar que el porcentaje de devuelto a tiempo y no está en valores muy cercanos.
A nivel general, el sistema de préstamos es altamente eficiente, ya que un abrumador 94.25% de los libros se entregan a tiempo, frente a un escaso 5.75% que presenta demora.
</t>
    </r>
  </si>
  <si>
    <t>Porcentaje de libros entregados fuera del plazo:</t>
  </si>
  <si>
    <t xml:space="preserve">Dentro del 5.75% de devoluciones morosas podemos identificar que el  genero literario con mayor indice de retraso es la ficción. Al ser el  genero con mayor volumen y rotación de la bilibioteca, es un dato previsible. Sin embargo el 2do género con mejor salida que es el infantil siempre cumple los plazos. Y la media de dias de prestamo es menor generos como ensayo y divulgación ¿Padres responsables? ¿lectura muy facil?. </t>
  </si>
  <si>
    <t>En esta gráfica se pueden ver los 4 generos que se devuelven por fuera del plazo establecido, resulta curioso que unicamente con los libros de poesia el porcentaje de libros entregados con retraso  sea mayor que los entregados a tiempo. Ademas  es oportuno señalar que la poesia es el genero menos solicitado siendo apenas el 1.15% del total. Lo que pudiera significar que el usuario adepto a la poesia es el mismo siempre o que los pocos lectores  de este genero comparten como caracteristica común ser poco puntuales.</t>
  </si>
  <si>
    <r>
      <rPr>
        <rFont val="Arial"/>
        <color theme="1"/>
        <sz val="9.0"/>
      </rPr>
      <t xml:space="preserve">
</t>
    </r>
    <r>
      <rPr>
        <rFont val="Arial"/>
        <color theme="1"/>
        <sz val="9.0"/>
      </rPr>
      <t xml:space="preserve">Los descuadres aparecen cuando las duraciones de los libros no devueltos a tiempo superan claramente los máximos habituales o cuando hay mucha diferencia entre “sí” y “no”.
El mayor problema está en:
</t>
    </r>
    <r>
      <rPr>
        <rFont val="Arial"/>
        <b/>
        <color theme="1"/>
        <sz val="9.0"/>
      </rPr>
      <t xml:space="preserve">Poesía </t>
    </r>
    <r>
      <rPr>
        <rFont val="Arial"/>
        <color theme="1"/>
        <sz val="9.0"/>
      </rPr>
      <t xml:space="preserve">(retrasos muy largos).
</t>
    </r>
    <r>
      <rPr>
        <rFont val="Arial"/>
        <b/>
        <color theme="1"/>
        <sz val="9.0"/>
      </rPr>
      <t>Ficción</t>
    </r>
    <r>
      <rPr>
        <rFont val="Arial"/>
        <color theme="1"/>
        <sz val="9.0"/>
      </rPr>
      <t xml:space="preserve"> (ampliación clara cuando no se devuelve a tiempo).
Eso sugiere que esos libros tienden a retenerse más tiempo cuando hay retraso. Podría ser por mayor interés, dificultad de lectura o simplemente porque “cuesta soltarlos”.
En categorías cortas hay comportamiento estable. Infantil y cómic tienen préstamos más cortos y menos desviaciones, lo que sugiere rotación más rápida.
En categorías largas hay mayor probabilidad de ampliación y retraso.
El problema no está en todas partes, está concentrado.</t>
    </r>
  </si>
  <si>
    <t>No contributing data for this category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</si>
</sst>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dd/mm"/>
    <numFmt numFmtId="166" formatCode="yyyy-mm-dd"/>
  </numFmts>
  <fonts count="37">
    <font>
      <sz val="10.0"/>
      <color rgb="FF000000"/>
      <name val="Arial"/>
      <scheme val="minor"/>
    </font>
    <font>
      <color theme="1"/>
      <name val="Arial"/>
      <scheme val="minor"/>
    </font>
    <font>
      <b/>
      <color theme="1"/>
      <name val="Arial"/>
      <scheme val="minor"/>
    </font>
    <font>
      <color rgb="FF1F1F1F"/>
      <name val="&quot;Google Sans Text&quot;"/>
    </font>
    <font>
      <b/>
      <color rgb="FF1F1F1F"/>
      <name val="&quot;Google Sans Text&quot;"/>
    </font>
    <font>
      <color rgb="FFFFFFFF"/>
      <name val="Roboto"/>
    </font>
    <font>
      <color rgb="FF434343"/>
      <name val="Roboto"/>
    </font>
    <font>
      <color rgb="FF2A3243"/>
      <name val="Roboto"/>
    </font>
    <font>
      <color rgb="FF383A3C"/>
      <name val="Roboto"/>
    </font>
    <font>
      <color rgb="FF423671"/>
      <name val="Roboto"/>
    </font>
    <font>
      <color rgb="FF842E2E"/>
      <name val="Roboto"/>
    </font>
    <font>
      <color rgb="FF444D5F"/>
      <name val="Roboto"/>
    </font>
    <font>
      <color rgb="FF2C481F"/>
      <name val="Roboto"/>
    </font>
    <font>
      <color rgb="FF1D2715"/>
      <name val="Roboto"/>
    </font>
    <font>
      <color rgb="FF6A2723"/>
      <name val="Roboto"/>
    </font>
    <font>
      <color rgb="FF4C535E"/>
      <name val="Roboto"/>
    </font>
    <font>
      <color rgb="FF133819"/>
      <name val="Roboto"/>
    </font>
    <font>
      <color rgb="FF363F32"/>
      <name val="Roboto"/>
    </font>
    <font>
      <color rgb="FF3F4170"/>
      <name val="Roboto"/>
    </font>
    <font>
      <color rgb="FF2D2D2D"/>
      <name val="Roboto"/>
    </font>
    <font>
      <color rgb="FF753800"/>
      <name val="Roboto"/>
    </font>
    <font>
      <color rgb="FF3F4528"/>
      <name val="Roboto"/>
    </font>
    <font>
      <color rgb="FF131D38"/>
      <name val="Roboto"/>
    </font>
    <font>
      <color rgb="FF20444F"/>
      <name val="Roboto"/>
    </font>
    <font>
      <color theme="1"/>
      <name val="Arial"/>
    </font>
    <font>
      <color rgb="FF980000"/>
      <name val="Arial"/>
      <scheme val="minor"/>
    </font>
    <font>
      <color theme="1"/>
      <name val="Roboto"/>
    </font>
    <font>
      <color rgb="FF3E4186"/>
      <name val="Roboto"/>
    </font>
    <font>
      <b/>
      <sz val="12.0"/>
      <color rgb="FF980000"/>
      <name val="Arial"/>
      <scheme val="minor"/>
    </font>
    <font>
      <color rgb="FFFF0000"/>
      <name val="'Segoe UI'"/>
    </font>
    <font>
      <i/>
      <color theme="1"/>
      <name val="Arial"/>
      <scheme val="minor"/>
    </font>
    <font>
      <sz val="9.0"/>
      <color theme="1"/>
      <name val="Arial"/>
      <scheme val="minor"/>
    </font>
    <font>
      <sz val="10.0"/>
      <color theme="1"/>
      <name val="Arial"/>
      <scheme val="minor"/>
    </font>
    <font>
      <b/>
      <color rgb="FF000000"/>
      <name val="Arial"/>
      <scheme val="minor"/>
    </font>
    <font>
      <b/>
      <color rgb="FF6D6D6D"/>
      <name val="Arial"/>
      <scheme val="minor"/>
    </font>
    <font>
      <b/>
      <color rgb="FFFFFFFF"/>
      <name val="Arial"/>
      <scheme val="minor"/>
    </font>
    <font>
      <color rgb="FF666666"/>
      <name val="Arial"/>
      <scheme val="minor"/>
    </font>
  </fonts>
  <fills count="12">
    <fill>
      <patternFill patternType="none"/>
    </fill>
    <fill>
      <patternFill patternType="lightGray"/>
    </fill>
    <fill>
      <patternFill patternType="solid">
        <fgColor theme="0"/>
        <bgColor theme="0"/>
      </patternFill>
    </fill>
    <fill>
      <patternFill patternType="solid">
        <fgColor rgb="FF3C78D8"/>
        <bgColor rgb="FF3C78D8"/>
      </patternFill>
    </fill>
    <fill>
      <patternFill patternType="solid">
        <fgColor rgb="FFB7E1CD"/>
        <bgColor rgb="FFB7E1CD"/>
      </patternFill>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FCE8B2"/>
        <bgColor rgb="FFFCE8B2"/>
      </patternFill>
    </fill>
    <fill>
      <patternFill patternType="solid">
        <fgColor theme="7"/>
        <bgColor theme="7"/>
      </patternFill>
    </fill>
    <fill>
      <patternFill patternType="solid">
        <fgColor theme="5"/>
        <bgColor theme="5"/>
      </patternFill>
    </fill>
    <fill>
      <patternFill patternType="solid">
        <fgColor rgb="FFEFEFEF"/>
        <bgColor rgb="FFEFEFEF"/>
      </patternFill>
    </fill>
  </fills>
  <borders count="28">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B7E1CD"/>
      </left>
      <right style="thin">
        <color rgb="FFB7E1CD"/>
      </right>
      <top style="thin">
        <color rgb="FF284E3F"/>
      </top>
      <bottom style="thin">
        <color rgb="FF284E3F"/>
      </bottom>
    </border>
    <border>
      <left style="thin">
        <color rgb="FF356854"/>
      </lef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B7E1CD"/>
      </left>
      <right style="thin">
        <color rgb="FFB7E1CD"/>
      </right>
      <top style="thin">
        <color rgb="FFB7E1CD"/>
      </top>
      <bottom style="thin">
        <color rgb="FFB7E1CD"/>
      </bottom>
    </border>
    <border>
      <left style="thin">
        <color rgb="FFFFFFFF"/>
      </lef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CE8B2"/>
      </left>
      <right style="thin">
        <color rgb="FFFCE8B2"/>
      </right>
      <top style="thin">
        <color rgb="FFFCE8B2"/>
      </top>
      <bottom style="thin">
        <color rgb="FFFCE8B2"/>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CE8B2"/>
      </left>
      <right style="thin">
        <color rgb="FFFCE8B2"/>
      </right>
      <top style="thin">
        <color rgb="FFFCE8B2"/>
      </top>
      <bottom style="thin">
        <color rgb="FF284E3F"/>
      </bottom>
    </border>
    <border>
      <left style="thin">
        <color rgb="FFFFFFFF"/>
      </left>
      <right style="thin">
        <color rgb="FF284E3F"/>
      </right>
      <top style="thin">
        <color rgb="FFFFFFFF"/>
      </top>
      <bottom style="thin">
        <color rgb="FF284E3F"/>
      </bottom>
    </border>
    <border>
      <left style="thin">
        <color rgb="FFF6F8F9"/>
      </left>
      <top style="thin">
        <color rgb="FFF6F8F9"/>
      </top>
      <bottom style="thin">
        <color rgb="FFF6F8F9"/>
      </bottom>
    </border>
    <border>
      <left style="thin">
        <color rgb="FFFFFFFF"/>
      </left>
      <top style="thin">
        <color rgb="FFFFFFFF"/>
      </top>
      <bottom style="thin">
        <color rgb="FF284E3F"/>
      </bottom>
    </border>
    <border>
      <left style="thin">
        <color rgb="FF000000"/>
      </left>
      <right style="thin">
        <color rgb="FF000000"/>
      </right>
      <top style="thin">
        <color rgb="FF000000"/>
      </top>
      <bottom style="thin">
        <color rgb="FF000000"/>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s>
  <cellStyleXfs count="1">
    <xf borderId="0" fillId="0" fontId="0" numFmtId="0" applyAlignment="1" applyFont="1"/>
  </cellStyleXfs>
  <cellXfs count="264">
    <xf borderId="0" fillId="0" fontId="0" numFmtId="0" xfId="0" applyAlignment="1" applyFont="1">
      <alignment readingOrder="0" shrinkToFit="0" vertical="bottom" wrapText="0"/>
    </xf>
    <xf borderId="0" fillId="0" fontId="1" numFmtId="164" xfId="0" applyAlignment="1" applyFont="1" applyNumberFormat="1">
      <alignment readingOrder="0"/>
    </xf>
    <xf borderId="0" fillId="0" fontId="1" numFmtId="0" xfId="0" applyAlignment="1" applyFont="1">
      <alignment readingOrder="0"/>
    </xf>
    <xf borderId="0" fillId="0" fontId="1" numFmtId="164" xfId="0" applyFont="1" applyNumberFormat="1"/>
    <xf borderId="0" fillId="0" fontId="2" numFmtId="164"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2" numFmtId="49" xfId="0" applyAlignment="1" applyFont="1" applyNumberFormat="1">
      <alignment horizontal="center"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xf>
    <xf borderId="0" fillId="0" fontId="3" numFmtId="0" xfId="0" applyAlignment="1" applyFont="1">
      <alignment horizontal="center" readingOrder="0"/>
    </xf>
    <xf borderId="0" fillId="0" fontId="1" numFmtId="165" xfId="0" applyAlignment="1" applyFont="1" applyNumberFormat="1">
      <alignment horizontal="center" readingOrder="0"/>
    </xf>
    <xf borderId="0" fillId="0" fontId="1" numFmtId="0" xfId="0" applyAlignment="1" applyFont="1">
      <alignment horizontal="center"/>
    </xf>
    <xf borderId="0" fillId="0" fontId="1" numFmtId="0" xfId="0" applyAlignment="1" applyFont="1">
      <alignment horizontal="center" readingOrder="0" shrinkToFit="0" vertical="top" wrapText="1"/>
    </xf>
    <xf borderId="0" fillId="0" fontId="4" numFmtId="0" xfId="0" applyAlignment="1" applyFont="1">
      <alignment horizontal="center" readingOrder="0"/>
    </xf>
    <xf borderId="0" fillId="2" fontId="3" numFmtId="0" xfId="0" applyAlignment="1" applyFill="1" applyFont="1">
      <alignment readingOrder="0"/>
    </xf>
    <xf borderId="0" fillId="0" fontId="3" numFmtId="165" xfId="0" applyAlignment="1" applyFont="1" applyNumberFormat="1">
      <alignment readingOrder="0"/>
    </xf>
    <xf borderId="0" fillId="0" fontId="3" numFmtId="0" xfId="0" applyAlignment="1" applyFont="1">
      <alignment readingOrder="0"/>
    </xf>
    <xf borderId="0" fillId="0" fontId="1" numFmtId="0" xfId="0" applyFont="1"/>
    <xf borderId="0" fillId="3" fontId="1" numFmtId="0" xfId="0" applyFill="1" applyFont="1"/>
    <xf borderId="0" fillId="4" fontId="1" numFmtId="0" xfId="0" applyFill="1" applyFont="1"/>
    <xf borderId="1" fillId="5" fontId="5" numFmtId="164" xfId="0" applyAlignment="1" applyBorder="1" applyFill="1" applyFont="1" applyNumberFormat="1">
      <alignment shrinkToFit="0" wrapText="0"/>
    </xf>
    <xf borderId="2" fillId="5" fontId="5" numFmtId="0" xfId="0" applyAlignment="1" applyBorder="1" applyFont="1">
      <alignment readingOrder="0" shrinkToFit="0" wrapText="0"/>
    </xf>
    <xf borderId="2" fillId="5" fontId="5" numFmtId="49" xfId="0" applyAlignment="1" applyBorder="1" applyFont="1" applyNumberFormat="1">
      <alignment shrinkToFit="0" wrapText="0"/>
    </xf>
    <xf borderId="2" fillId="5" fontId="5" numFmtId="0" xfId="0" applyAlignment="1" applyBorder="1" applyFont="1">
      <alignment shrinkToFit="0" wrapText="0"/>
    </xf>
    <xf borderId="3" fillId="4" fontId="5" numFmtId="0" xfId="0" applyAlignment="1" applyBorder="1" applyFont="1">
      <alignment shrinkToFit="0" wrapText="0"/>
    </xf>
    <xf borderId="4" fillId="5" fontId="5" numFmtId="0" xfId="0" applyAlignment="1" applyBorder="1" applyFont="1">
      <alignment readingOrder="0" shrinkToFit="0" wrapText="0"/>
    </xf>
    <xf borderId="5" fillId="5" fontId="5" numFmtId="0" xfId="0" applyAlignment="1" applyBorder="1" applyFont="1">
      <alignment shrinkToFit="0" wrapText="0"/>
    </xf>
    <xf borderId="6" fillId="6" fontId="6" numFmtId="164" xfId="0" applyAlignment="1" applyBorder="1" applyFill="1" applyFont="1" applyNumberFormat="1">
      <alignment horizontal="right" shrinkToFit="0" wrapText="0"/>
    </xf>
    <xf borderId="7" fillId="6" fontId="7" numFmtId="0" xfId="0" applyAlignment="1" applyBorder="1" applyFont="1">
      <alignment shrinkToFit="0" wrapText="0"/>
    </xf>
    <xf borderId="7" fillId="6" fontId="8" numFmtId="49" xfId="0" applyAlignment="1" applyBorder="1" applyFont="1" applyNumberFormat="1">
      <alignment shrinkToFit="0" wrapText="0"/>
    </xf>
    <xf borderId="7" fillId="6" fontId="6" numFmtId="0" xfId="0" applyAlignment="1" applyBorder="1" applyFont="1">
      <alignment horizontal="right" shrinkToFit="0" wrapText="0"/>
    </xf>
    <xf borderId="7" fillId="6" fontId="9" numFmtId="0" xfId="0" applyAlignment="1" applyBorder="1" applyFont="1">
      <alignment shrinkToFit="0" wrapText="0"/>
    </xf>
    <xf borderId="8" fillId="4" fontId="10" numFmtId="0" xfId="0" applyAlignment="1" applyBorder="1" applyFont="1">
      <alignment shrinkToFit="0" wrapText="0"/>
    </xf>
    <xf borderId="7" fillId="6" fontId="6" numFmtId="0" xfId="0" applyAlignment="1" applyBorder="1" applyFont="1">
      <alignment shrinkToFit="0" wrapText="0"/>
    </xf>
    <xf borderId="9" fillId="6" fontId="6" numFmtId="0" xfId="0" applyAlignment="1" applyBorder="1" applyFont="1">
      <alignment readingOrder="0" shrinkToFit="0" wrapText="0"/>
    </xf>
    <xf borderId="10" fillId="6" fontId="11" numFmtId="0" xfId="0" applyAlignment="1" applyBorder="1" applyFont="1">
      <alignment shrinkToFit="0" wrapText="0"/>
    </xf>
    <xf borderId="11" fillId="7" fontId="6" numFmtId="164" xfId="0" applyAlignment="1" applyBorder="1" applyFill="1" applyFont="1" applyNumberFormat="1">
      <alignment horizontal="right" shrinkToFit="0" wrapText="0"/>
    </xf>
    <xf borderId="12" fillId="7" fontId="12" numFmtId="0" xfId="0" applyAlignment="1" applyBorder="1" applyFont="1">
      <alignment shrinkToFit="0" wrapText="0"/>
    </xf>
    <xf borderId="12" fillId="7" fontId="8" numFmtId="49" xfId="0" applyAlignment="1" applyBorder="1" applyFont="1" applyNumberFormat="1">
      <alignment shrinkToFit="0" wrapText="0"/>
    </xf>
    <xf borderId="12" fillId="7" fontId="6" numFmtId="0" xfId="0" applyAlignment="1" applyBorder="1" applyFont="1">
      <alignment horizontal="right" shrinkToFit="0" wrapText="0"/>
    </xf>
    <xf borderId="12" fillId="7" fontId="9" numFmtId="0" xfId="0" applyAlignment="1" applyBorder="1" applyFont="1">
      <alignment shrinkToFit="0" wrapText="0"/>
    </xf>
    <xf borderId="12" fillId="7" fontId="6" numFmtId="0" xfId="0" applyAlignment="1" applyBorder="1" applyFont="1">
      <alignment shrinkToFit="0" wrapText="0"/>
    </xf>
    <xf borderId="9" fillId="6" fontId="6" numFmtId="0" xfId="0" applyAlignment="1" applyBorder="1" applyFont="1">
      <alignment shrinkToFit="0" wrapText="0"/>
    </xf>
    <xf borderId="13" fillId="7" fontId="8" numFmtId="0" xfId="0" applyAlignment="1" applyBorder="1" applyFont="1">
      <alignment shrinkToFit="0" wrapText="0"/>
    </xf>
    <xf borderId="0" fillId="0" fontId="1" numFmtId="10" xfId="0" applyFont="1" applyNumberFormat="1"/>
    <xf borderId="7" fillId="6" fontId="12" numFmtId="0" xfId="0" applyAlignment="1" applyBorder="1" applyFont="1">
      <alignment shrinkToFit="0" wrapText="0"/>
    </xf>
    <xf borderId="10" fillId="6" fontId="13" numFmtId="0" xfId="0" applyAlignment="1" applyBorder="1" applyFont="1">
      <alignment shrinkToFit="0" wrapText="0"/>
    </xf>
    <xf borderId="12" fillId="7" fontId="7" numFmtId="0" xfId="0" applyAlignment="1" applyBorder="1" applyFont="1">
      <alignment shrinkToFit="0" wrapText="0"/>
    </xf>
    <xf borderId="14" fillId="8" fontId="14" numFmtId="0" xfId="0" applyAlignment="1" applyBorder="1" applyFill="1" applyFont="1">
      <alignment shrinkToFit="0" wrapText="0"/>
    </xf>
    <xf borderId="13" fillId="7" fontId="15" numFmtId="0" xfId="0" applyAlignment="1" applyBorder="1" applyFont="1">
      <alignment shrinkToFit="0" wrapText="0"/>
    </xf>
    <xf borderId="7" fillId="6" fontId="16" numFmtId="0" xfId="0" applyAlignment="1" applyBorder="1" applyFont="1">
      <alignment shrinkToFit="0" wrapText="0"/>
    </xf>
    <xf borderId="10" fillId="6" fontId="17" numFmtId="0" xfId="0" applyAlignment="1" applyBorder="1" applyFont="1">
      <alignment shrinkToFit="0" wrapText="0"/>
    </xf>
    <xf borderId="12" fillId="7" fontId="18" numFmtId="0" xfId="0" applyAlignment="1" applyBorder="1" applyFont="1">
      <alignment shrinkToFit="0" wrapText="0"/>
    </xf>
    <xf borderId="7" fillId="6" fontId="18" numFmtId="0" xfId="0" applyAlignment="1" applyBorder="1" applyFont="1">
      <alignment shrinkToFit="0" wrapText="0"/>
    </xf>
    <xf borderId="12" fillId="7" fontId="16" numFmtId="0" xfId="0" applyAlignment="1" applyBorder="1" applyFont="1">
      <alignment shrinkToFit="0" wrapText="0"/>
    </xf>
    <xf borderId="13" fillId="7" fontId="19" numFmtId="0" xfId="0" applyAlignment="1" applyBorder="1" applyFont="1">
      <alignment shrinkToFit="0" wrapText="0"/>
    </xf>
    <xf borderId="7" fillId="6" fontId="15" numFmtId="49" xfId="0" applyAlignment="1" applyBorder="1" applyFont="1" applyNumberFormat="1">
      <alignment shrinkToFit="0" wrapText="0"/>
    </xf>
    <xf borderId="7" fillId="6" fontId="20" numFmtId="0" xfId="0" applyAlignment="1" applyBorder="1" applyFont="1">
      <alignment shrinkToFit="0" wrapText="0"/>
    </xf>
    <xf borderId="10" fillId="6" fontId="8" numFmtId="0" xfId="0" applyAlignment="1" applyBorder="1" applyFont="1">
      <alignment shrinkToFit="0" wrapText="0"/>
    </xf>
    <xf borderId="12" fillId="7" fontId="15" numFmtId="49" xfId="0" applyAlignment="1" applyBorder="1" applyFont="1" applyNumberFormat="1">
      <alignment shrinkToFit="0" wrapText="0"/>
    </xf>
    <xf borderId="13" fillId="7" fontId="13" numFmtId="0" xfId="0" applyAlignment="1" applyBorder="1" applyFont="1">
      <alignment shrinkToFit="0" wrapText="0"/>
    </xf>
    <xf borderId="10" fillId="6" fontId="15" numFmtId="0" xfId="0" applyAlignment="1" applyBorder="1" applyFont="1">
      <alignment shrinkToFit="0" wrapText="0"/>
    </xf>
    <xf borderId="12" fillId="7" fontId="21" numFmtId="0" xfId="0" applyAlignment="1" applyBorder="1" applyFont="1">
      <alignment shrinkToFit="0" wrapText="0"/>
    </xf>
    <xf borderId="13" fillId="7" fontId="17" numFmtId="0" xfId="0" applyAlignment="1" applyBorder="1" applyFont="1">
      <alignment shrinkToFit="0" wrapText="0"/>
    </xf>
    <xf borderId="7" fillId="6" fontId="21" numFmtId="0" xfId="0" applyAlignment="1" applyBorder="1" applyFont="1">
      <alignment shrinkToFit="0" wrapText="0"/>
    </xf>
    <xf borderId="12" fillId="7" fontId="17" numFmtId="49" xfId="0" applyAlignment="1" applyBorder="1" applyFont="1" applyNumberFormat="1">
      <alignment shrinkToFit="0" wrapText="0"/>
    </xf>
    <xf borderId="13" fillId="7" fontId="11" numFmtId="0" xfId="0" applyAlignment="1" applyBorder="1" applyFont="1">
      <alignment shrinkToFit="0" wrapText="0"/>
    </xf>
    <xf borderId="7" fillId="6" fontId="17" numFmtId="49" xfId="0" applyAlignment="1" applyBorder="1" applyFont="1" applyNumberFormat="1">
      <alignment shrinkToFit="0" wrapText="0"/>
    </xf>
    <xf borderId="10" fillId="6" fontId="19" numFmtId="0" xfId="0" applyAlignment="1" applyBorder="1" applyFont="1">
      <alignment shrinkToFit="0" wrapText="0"/>
    </xf>
    <xf borderId="7" fillId="6" fontId="22" numFmtId="0" xfId="0" applyAlignment="1" applyBorder="1" applyFont="1">
      <alignment shrinkToFit="0" wrapText="0"/>
    </xf>
    <xf borderId="7" fillId="6" fontId="23" numFmtId="0" xfId="0" applyAlignment="1" applyBorder="1" applyFont="1">
      <alignment shrinkToFit="0" wrapText="0"/>
    </xf>
    <xf borderId="12" fillId="7" fontId="23" numFmtId="0" xfId="0" applyAlignment="1" applyBorder="1" applyFont="1">
      <alignment shrinkToFit="0" wrapText="0"/>
    </xf>
    <xf borderId="12" fillId="7" fontId="22" numFmtId="0" xfId="0" applyAlignment="1" applyBorder="1" applyFont="1">
      <alignment shrinkToFit="0" wrapText="0"/>
    </xf>
    <xf borderId="12" fillId="7" fontId="20" numFmtId="0" xfId="0" applyAlignment="1" applyBorder="1" applyFont="1">
      <alignment shrinkToFit="0" wrapText="0"/>
    </xf>
    <xf borderId="15" fillId="6" fontId="6" numFmtId="164" xfId="0" applyAlignment="1" applyBorder="1" applyFont="1" applyNumberFormat="1">
      <alignment horizontal="right" shrinkToFit="0" wrapText="0"/>
    </xf>
    <xf borderId="16" fillId="6" fontId="16" numFmtId="0" xfId="0" applyAlignment="1" applyBorder="1" applyFont="1">
      <alignment shrinkToFit="0" wrapText="0"/>
    </xf>
    <xf borderId="16" fillId="6" fontId="8" numFmtId="49" xfId="0" applyAlignment="1" applyBorder="1" applyFont="1" applyNumberFormat="1">
      <alignment shrinkToFit="0" wrapText="0"/>
    </xf>
    <xf borderId="16" fillId="6" fontId="6" numFmtId="0" xfId="0" applyAlignment="1" applyBorder="1" applyFont="1">
      <alignment horizontal="right" shrinkToFit="0" wrapText="0"/>
    </xf>
    <xf borderId="16" fillId="6" fontId="9" numFmtId="0" xfId="0" applyAlignment="1" applyBorder="1" applyFont="1">
      <alignment shrinkToFit="0" wrapText="0"/>
    </xf>
    <xf borderId="17" fillId="8" fontId="14" numFmtId="0" xfId="0" applyAlignment="1" applyBorder="1" applyFont="1">
      <alignment shrinkToFit="0" wrapText="0"/>
    </xf>
    <xf borderId="16" fillId="6" fontId="6" numFmtId="0" xfId="0" applyAlignment="1" applyBorder="1" applyFont="1">
      <alignment shrinkToFit="0" wrapText="0"/>
    </xf>
    <xf borderId="18" fillId="6" fontId="15" numFmtId="0" xfId="0" applyAlignment="1" applyBorder="1" applyFont="1">
      <alignment shrinkToFit="0" wrapText="0"/>
    </xf>
    <xf borderId="0" fillId="0" fontId="24" numFmtId="164" xfId="0" applyAlignment="1" applyFont="1" applyNumberFormat="1">
      <alignment vertical="bottom"/>
    </xf>
    <xf borderId="0" fillId="0" fontId="24" numFmtId="0" xfId="0" applyAlignment="1" applyFont="1">
      <alignment vertical="bottom"/>
    </xf>
    <xf borderId="0" fillId="0" fontId="24" numFmtId="49" xfId="0" applyAlignment="1" applyFont="1" applyNumberFormat="1">
      <alignment vertical="bottom"/>
    </xf>
    <xf borderId="0" fillId="0" fontId="1" numFmtId="164" xfId="0" applyAlignment="1" applyFont="1" applyNumberForma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49" xfId="0" applyFont="1" applyNumberFormat="1"/>
    <xf borderId="0" fillId="0" fontId="1"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25" numFmtId="0" xfId="0" applyAlignment="1" applyFont="1">
      <alignment horizontal="center" vertical="center"/>
    </xf>
    <xf borderId="0" fillId="0" fontId="26"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6" fillId="7" fontId="6" numFmtId="166" xfId="0" applyAlignment="1" applyBorder="1" applyFont="1" applyNumberFormat="1">
      <alignment horizontal="right" shrinkToFit="0" vertical="center" wrapText="0"/>
    </xf>
    <xf borderId="7" fillId="7" fontId="7" numFmtId="0" xfId="0" applyAlignment="1" applyBorder="1" applyFont="1">
      <alignment shrinkToFit="0" vertical="center" wrapText="0"/>
    </xf>
    <xf borderId="7" fillId="7" fontId="8" numFmtId="0" xfId="0" applyAlignment="1" applyBorder="1" applyFont="1">
      <alignment shrinkToFit="0" vertical="center" wrapText="0"/>
    </xf>
    <xf borderId="7" fillId="7" fontId="6" numFmtId="0" xfId="0" applyAlignment="1" applyBorder="1" applyFont="1">
      <alignment horizontal="center" shrinkToFit="0" vertical="center" wrapText="0"/>
    </xf>
    <xf borderId="7" fillId="7" fontId="9" numFmtId="0" xfId="0" applyAlignment="1" applyBorder="1" applyFont="1">
      <alignment shrinkToFit="0" vertical="center" wrapText="0"/>
    </xf>
    <xf borderId="7" fillId="7" fontId="10" numFmtId="0" xfId="0" applyAlignment="1" applyBorder="1" applyFont="1">
      <alignment shrinkToFit="0" vertical="center" wrapText="0"/>
    </xf>
    <xf borderId="7" fillId="7" fontId="6" numFmtId="0" xfId="0" applyAlignment="1" applyBorder="1" applyFont="1">
      <alignment shrinkToFit="0" vertical="center" wrapText="0"/>
    </xf>
    <xf borderId="9" fillId="7" fontId="11" numFmtId="0" xfId="0" applyAlignment="1" applyBorder="1" applyFont="1">
      <alignment shrinkToFit="0" vertical="center" wrapText="0"/>
    </xf>
    <xf borderId="10" fillId="7" fontId="11" numFmtId="0" xfId="0" applyAlignment="1" applyBorder="1" applyFont="1">
      <alignment shrinkToFit="0" vertical="center" wrapText="0"/>
    </xf>
    <xf borderId="0" fillId="0" fontId="1" numFmtId="0" xfId="0" applyAlignment="1" applyFont="1">
      <alignment shrinkToFit="0" vertical="center" wrapText="0"/>
    </xf>
    <xf borderId="11" fillId="6" fontId="6" numFmtId="166" xfId="0" applyAlignment="1" applyBorder="1" applyFont="1" applyNumberFormat="1">
      <alignment horizontal="right" shrinkToFit="0" vertical="center" wrapText="0"/>
    </xf>
    <xf borderId="12" fillId="6" fontId="12" numFmtId="0" xfId="0" applyAlignment="1" applyBorder="1" applyFont="1">
      <alignment shrinkToFit="0" vertical="center" wrapText="0"/>
    </xf>
    <xf borderId="12" fillId="6" fontId="8" numFmtId="0" xfId="0" applyAlignment="1" applyBorder="1" applyFont="1">
      <alignment shrinkToFit="0" vertical="center" wrapText="0"/>
    </xf>
    <xf borderId="12" fillId="6" fontId="6" numFmtId="0" xfId="0" applyAlignment="1" applyBorder="1" applyFont="1">
      <alignment horizontal="center" shrinkToFit="0" vertical="center" wrapText="0"/>
    </xf>
    <xf borderId="12" fillId="6" fontId="9" numFmtId="0" xfId="0" applyAlignment="1" applyBorder="1" applyFont="1">
      <alignment shrinkToFit="0" vertical="center" wrapText="0"/>
    </xf>
    <xf borderId="12" fillId="6" fontId="10" numFmtId="0" xfId="0" applyAlignment="1" applyBorder="1" applyFont="1">
      <alignment shrinkToFit="0" vertical="center" wrapText="0"/>
    </xf>
    <xf borderId="12" fillId="6" fontId="6" numFmtId="0" xfId="0" applyAlignment="1" applyBorder="1" applyFont="1">
      <alignment shrinkToFit="0" vertical="center" wrapText="0"/>
    </xf>
    <xf borderId="19" fillId="6" fontId="8" numFmtId="0" xfId="0" applyAlignment="1" applyBorder="1" applyFont="1">
      <alignment shrinkToFit="0" vertical="center" wrapText="0"/>
    </xf>
    <xf borderId="13" fillId="6" fontId="8" numFmtId="0" xfId="0" applyAlignment="1" applyBorder="1" applyFont="1">
      <alignment shrinkToFit="0" vertical="center" wrapText="0"/>
    </xf>
    <xf borderId="6" fillId="6" fontId="6" numFmtId="166" xfId="0" applyAlignment="1" applyBorder="1" applyFont="1" applyNumberFormat="1">
      <alignment horizontal="right" shrinkToFit="0" vertical="center" wrapText="0"/>
    </xf>
    <xf borderId="7" fillId="6" fontId="12" numFmtId="0" xfId="0" applyAlignment="1" applyBorder="1" applyFont="1">
      <alignment shrinkToFit="0" vertical="center" wrapText="0"/>
    </xf>
    <xf borderId="7" fillId="6" fontId="8" numFmtId="0" xfId="0" applyAlignment="1" applyBorder="1" applyFont="1">
      <alignment shrinkToFit="0" vertical="center" wrapText="0"/>
    </xf>
    <xf borderId="7" fillId="6" fontId="6" numFmtId="0" xfId="0" applyAlignment="1" applyBorder="1" applyFont="1">
      <alignment horizontal="center" shrinkToFit="0" vertical="center" wrapText="0"/>
    </xf>
    <xf borderId="7" fillId="6" fontId="9" numFmtId="0" xfId="0" applyAlignment="1" applyBorder="1" applyFont="1">
      <alignment shrinkToFit="0" vertical="center" wrapText="0"/>
    </xf>
    <xf borderId="7" fillId="6" fontId="10" numFmtId="0" xfId="0" applyAlignment="1" applyBorder="1" applyFont="1">
      <alignment shrinkToFit="0" vertical="center" wrapText="0"/>
    </xf>
    <xf borderId="7" fillId="6" fontId="6" numFmtId="0" xfId="0" applyAlignment="1" applyBorder="1" applyFont="1">
      <alignment shrinkToFit="0" vertical="center" wrapText="0"/>
    </xf>
    <xf borderId="9" fillId="6" fontId="13" numFmtId="0" xfId="0" applyAlignment="1" applyBorder="1" applyFont="1">
      <alignment shrinkToFit="0" vertical="center" wrapText="0"/>
    </xf>
    <xf borderId="10" fillId="6" fontId="13" numFmtId="0" xfId="0" applyAlignment="1" applyBorder="1" applyFont="1">
      <alignment shrinkToFit="0" vertical="center" wrapText="0"/>
    </xf>
    <xf borderId="11" fillId="7" fontId="6" numFmtId="166" xfId="0" applyAlignment="1" applyBorder="1" applyFont="1" applyNumberFormat="1">
      <alignment horizontal="right" shrinkToFit="0" vertical="center" wrapText="0"/>
    </xf>
    <xf borderId="12" fillId="7" fontId="7" numFmtId="0" xfId="0" applyAlignment="1" applyBorder="1" applyFont="1">
      <alignment shrinkToFit="0" vertical="center" wrapText="0"/>
    </xf>
    <xf borderId="12" fillId="7" fontId="8" numFmtId="0" xfId="0" applyAlignment="1" applyBorder="1" applyFont="1">
      <alignment shrinkToFit="0" vertical="center" wrapText="0"/>
    </xf>
    <xf borderId="12" fillId="7" fontId="6" numFmtId="0" xfId="0" applyAlignment="1" applyBorder="1" applyFont="1">
      <alignment horizontal="center" shrinkToFit="0" vertical="center" wrapText="0"/>
    </xf>
    <xf borderId="12" fillId="7" fontId="9" numFmtId="0" xfId="0" applyAlignment="1" applyBorder="1" applyFont="1">
      <alignment shrinkToFit="0" vertical="center" wrapText="0"/>
    </xf>
    <xf borderId="12" fillId="7" fontId="14" numFmtId="0" xfId="0" applyAlignment="1" applyBorder="1" applyFont="1">
      <alignment shrinkToFit="0" vertical="center" wrapText="0"/>
    </xf>
    <xf borderId="12" fillId="7" fontId="6" numFmtId="0" xfId="0" applyAlignment="1" applyBorder="1" applyFont="1">
      <alignment shrinkToFit="0" vertical="center" wrapText="0"/>
    </xf>
    <xf borderId="19" fillId="7" fontId="15" numFmtId="0" xfId="0" applyAlignment="1" applyBorder="1" applyFont="1">
      <alignment shrinkToFit="0" vertical="center" wrapText="0"/>
    </xf>
    <xf borderId="13" fillId="7" fontId="15" numFmtId="0" xfId="0" applyAlignment="1" applyBorder="1" applyFont="1">
      <alignment shrinkToFit="0" vertical="center" wrapText="0"/>
    </xf>
    <xf borderId="7" fillId="6" fontId="16" numFmtId="0" xfId="0" applyAlignment="1" applyBorder="1" applyFont="1">
      <alignment shrinkToFit="0" vertical="center" wrapText="0"/>
    </xf>
    <xf borderId="9" fillId="6" fontId="17" numFmtId="0" xfId="0" applyAlignment="1" applyBorder="1" applyFont="1">
      <alignment shrinkToFit="0" vertical="center" wrapText="0"/>
    </xf>
    <xf borderId="10" fillId="6" fontId="17" numFmtId="0" xfId="0" applyAlignment="1" applyBorder="1" applyFont="1">
      <alignment shrinkToFit="0" vertical="center" wrapText="0"/>
    </xf>
    <xf borderId="12" fillId="7" fontId="18" numFmtId="0" xfId="0" applyAlignment="1" applyBorder="1" applyFont="1">
      <alignment shrinkToFit="0" vertical="center" wrapText="0"/>
    </xf>
    <xf borderId="19" fillId="7" fontId="8" numFmtId="0" xfId="0" applyAlignment="1" applyBorder="1" applyFont="1">
      <alignment shrinkToFit="0" vertical="center" wrapText="0"/>
    </xf>
    <xf borderId="13" fillId="7" fontId="8" numFmtId="0" xfId="0" applyAlignment="1" applyBorder="1" applyFont="1">
      <alignment shrinkToFit="0" vertical="center" wrapText="0"/>
    </xf>
    <xf borderId="7" fillId="7" fontId="18" numFmtId="0" xfId="0" applyAlignment="1" applyBorder="1" applyFont="1">
      <alignment shrinkToFit="0" vertical="center" wrapText="0"/>
    </xf>
    <xf borderId="12" fillId="6" fontId="16" numFmtId="0" xfId="0" applyAlignment="1" applyBorder="1" applyFont="1">
      <alignment shrinkToFit="0" vertical="center" wrapText="0"/>
    </xf>
    <xf borderId="19" fillId="6" fontId="19" numFmtId="0" xfId="0" applyAlignment="1" applyBorder="1" applyFont="1">
      <alignment shrinkToFit="0" vertical="center" wrapText="0"/>
    </xf>
    <xf borderId="13" fillId="6" fontId="19" numFmtId="0" xfId="0" applyAlignment="1" applyBorder="1" applyFont="1">
      <alignment shrinkToFit="0" vertical="center" wrapText="0"/>
    </xf>
    <xf borderId="7" fillId="6" fontId="15" numFmtId="0" xfId="0" applyAlignment="1" applyBorder="1" applyFont="1">
      <alignment shrinkToFit="0" vertical="center" wrapText="0"/>
    </xf>
    <xf borderId="7" fillId="6" fontId="27" numFmtId="0" xfId="0" applyAlignment="1" applyBorder="1" applyFont="1">
      <alignment shrinkToFit="0" vertical="center" wrapText="0"/>
    </xf>
    <xf borderId="7" fillId="6" fontId="14" numFmtId="0" xfId="0" applyAlignment="1" applyBorder="1" applyFont="1">
      <alignment shrinkToFit="0" vertical="center" wrapText="0"/>
    </xf>
    <xf borderId="9" fillId="6" fontId="8" numFmtId="0" xfId="0" applyAlignment="1" applyBorder="1" applyFont="1">
      <alignment shrinkToFit="0" vertical="center" wrapText="0"/>
    </xf>
    <xf borderId="10" fillId="6" fontId="8" numFmtId="0" xfId="0" applyAlignment="1" applyBorder="1" applyFont="1">
      <alignment shrinkToFit="0" vertical="center" wrapText="0"/>
    </xf>
    <xf borderId="12" fillId="7" fontId="12" numFmtId="0" xfId="0" applyAlignment="1" applyBorder="1" applyFont="1">
      <alignment shrinkToFit="0" vertical="center" wrapText="0"/>
    </xf>
    <xf borderId="12" fillId="7" fontId="15" numFmtId="0" xfId="0" applyAlignment="1" applyBorder="1" applyFont="1">
      <alignment shrinkToFit="0" vertical="center" wrapText="0"/>
    </xf>
    <xf borderId="12" fillId="7" fontId="10" numFmtId="0" xfId="0" applyAlignment="1" applyBorder="1" applyFont="1">
      <alignment shrinkToFit="0" vertical="center" wrapText="0"/>
    </xf>
    <xf borderId="19" fillId="7" fontId="13" numFmtId="0" xfId="0" applyAlignment="1" applyBorder="1" applyFont="1">
      <alignment shrinkToFit="0" vertical="center" wrapText="0"/>
    </xf>
    <xf borderId="13" fillId="7" fontId="13" numFmtId="0" xfId="0" applyAlignment="1" applyBorder="1" applyFont="1">
      <alignment shrinkToFit="0" vertical="center" wrapText="0"/>
    </xf>
    <xf borderId="7" fillId="7" fontId="12" numFmtId="0" xfId="0" applyAlignment="1" applyBorder="1" applyFont="1">
      <alignment shrinkToFit="0" vertical="center" wrapText="0"/>
    </xf>
    <xf borderId="9" fillId="7" fontId="15" numFmtId="0" xfId="0" applyAlignment="1" applyBorder="1" applyFont="1">
      <alignment shrinkToFit="0" vertical="center" wrapText="0"/>
    </xf>
    <xf borderId="10" fillId="7" fontId="15" numFmtId="0" xfId="0" applyAlignment="1" applyBorder="1" applyFont="1">
      <alignment shrinkToFit="0" vertical="center" wrapText="0"/>
    </xf>
    <xf borderId="12" fillId="6" fontId="21" numFmtId="0" xfId="0" applyAlignment="1" applyBorder="1" applyFont="1">
      <alignment shrinkToFit="0" vertical="center" wrapText="0"/>
    </xf>
    <xf borderId="12" fillId="6" fontId="14" numFmtId="0" xfId="0" applyAlignment="1" applyBorder="1" applyFont="1">
      <alignment shrinkToFit="0" vertical="center" wrapText="0"/>
    </xf>
    <xf borderId="19" fillId="6" fontId="17" numFmtId="0" xfId="0" applyAlignment="1" applyBorder="1" applyFont="1">
      <alignment shrinkToFit="0" vertical="center" wrapText="0"/>
    </xf>
    <xf borderId="13" fillId="6" fontId="17" numFmtId="0" xfId="0" applyAlignment="1" applyBorder="1" applyFont="1">
      <alignment shrinkToFit="0" vertical="center" wrapText="0"/>
    </xf>
    <xf borderId="7" fillId="6" fontId="21" numFmtId="0" xfId="0" applyAlignment="1" applyBorder="1" applyFont="1">
      <alignment shrinkToFit="0" vertical="center" wrapText="0"/>
    </xf>
    <xf borderId="12" fillId="7" fontId="17" numFmtId="0" xfId="0" applyAlignment="1" applyBorder="1" applyFont="1">
      <alignment shrinkToFit="0" vertical="center" wrapText="0"/>
    </xf>
    <xf borderId="19" fillId="7" fontId="11" numFmtId="0" xfId="0" applyAlignment="1" applyBorder="1" applyFont="1">
      <alignment shrinkToFit="0" vertical="center" wrapText="0"/>
    </xf>
    <xf borderId="13" fillId="7" fontId="11" numFmtId="0" xfId="0" applyAlignment="1" applyBorder="1" applyFont="1">
      <alignment shrinkToFit="0" vertical="center" wrapText="0"/>
    </xf>
    <xf borderId="7" fillId="7" fontId="16" numFmtId="0" xfId="0" applyAlignment="1" applyBorder="1" applyFont="1">
      <alignment shrinkToFit="0" vertical="center" wrapText="0"/>
    </xf>
    <xf borderId="7" fillId="7" fontId="17" numFmtId="0" xfId="0" applyAlignment="1" applyBorder="1" applyFont="1">
      <alignment shrinkToFit="0" vertical="center" wrapText="0"/>
    </xf>
    <xf borderId="9" fillId="7" fontId="19" numFmtId="0" xfId="0" applyAlignment="1" applyBorder="1" applyFont="1">
      <alignment shrinkToFit="0" vertical="center" wrapText="0"/>
    </xf>
    <xf borderId="10" fillId="7" fontId="19" numFmtId="0" xfId="0" applyAlignment="1" applyBorder="1" applyFont="1">
      <alignment shrinkToFit="0" vertical="center" wrapText="0"/>
    </xf>
    <xf borderId="7" fillId="6" fontId="22" numFmtId="0" xfId="0" applyAlignment="1" applyBorder="1" applyFont="1">
      <alignment shrinkToFit="0" vertical="center" wrapText="0"/>
    </xf>
    <xf borderId="7" fillId="7" fontId="15" numFmtId="0" xfId="0" applyAlignment="1" applyBorder="1" applyFont="1">
      <alignment shrinkToFit="0" vertical="center" wrapText="0"/>
    </xf>
    <xf borderId="12" fillId="6" fontId="18" numFmtId="0" xfId="0" applyAlignment="1" applyBorder="1" applyFont="1">
      <alignment shrinkToFit="0" vertical="center" wrapText="0"/>
    </xf>
    <xf borderId="7" fillId="6" fontId="18" numFmtId="0" xfId="0" applyAlignment="1" applyBorder="1" applyFont="1">
      <alignment shrinkToFit="0" vertical="center" wrapText="0"/>
    </xf>
    <xf borderId="7" fillId="6" fontId="23" numFmtId="0" xfId="0" applyAlignment="1" applyBorder="1" applyFont="1">
      <alignment shrinkToFit="0" vertical="center" wrapText="0"/>
    </xf>
    <xf borderId="12" fillId="7" fontId="23" numFmtId="0" xfId="0" applyAlignment="1" applyBorder="1" applyFont="1">
      <alignment shrinkToFit="0" vertical="center" wrapText="0"/>
    </xf>
    <xf borderId="12" fillId="7" fontId="16" numFmtId="0" xfId="0" applyAlignment="1" applyBorder="1" applyFont="1">
      <alignment shrinkToFit="0" vertical="center" wrapText="0"/>
    </xf>
    <xf borderId="7" fillId="7" fontId="27" numFmtId="0" xfId="0" applyAlignment="1" applyBorder="1" applyFont="1">
      <alignment shrinkToFit="0" vertical="center" wrapText="0"/>
    </xf>
    <xf borderId="7" fillId="7" fontId="14" numFmtId="0" xfId="0" applyAlignment="1" applyBorder="1" applyFont="1">
      <alignment shrinkToFit="0" vertical="center" wrapText="0"/>
    </xf>
    <xf borderId="7" fillId="6" fontId="17" numFmtId="0" xfId="0" applyAlignment="1" applyBorder="1" applyFont="1">
      <alignment shrinkToFit="0" vertical="center" wrapText="0"/>
    </xf>
    <xf borderId="12" fillId="6" fontId="23" numFmtId="0" xfId="0" applyAlignment="1" applyBorder="1" applyFont="1">
      <alignment shrinkToFit="0" vertical="center" wrapText="0"/>
    </xf>
    <xf borderId="12" fillId="6" fontId="15" numFmtId="0" xfId="0" applyAlignment="1" applyBorder="1" applyFont="1">
      <alignment shrinkToFit="0" vertical="center" wrapText="0"/>
    </xf>
    <xf borderId="7" fillId="6" fontId="7" numFmtId="0" xfId="0" applyAlignment="1" applyBorder="1" applyFont="1">
      <alignment shrinkToFit="0" vertical="center" wrapText="0"/>
    </xf>
    <xf borderId="12" fillId="7" fontId="22" numFmtId="0" xfId="0" applyAlignment="1" applyBorder="1" applyFont="1">
      <alignment shrinkToFit="0" vertical="center" wrapText="0"/>
    </xf>
    <xf borderId="12" fillId="7" fontId="27" numFmtId="0" xfId="0" applyAlignment="1" applyBorder="1" applyFont="1">
      <alignment shrinkToFit="0" vertical="center" wrapText="0"/>
    </xf>
    <xf borderId="12" fillId="7" fontId="21" numFmtId="0" xfId="0" applyAlignment="1" applyBorder="1" applyFont="1">
      <alignment shrinkToFit="0" vertical="center" wrapText="0"/>
    </xf>
    <xf borderId="12" fillId="6" fontId="7" numFmtId="0" xfId="0" applyAlignment="1" applyBorder="1" applyFont="1">
      <alignment shrinkToFit="0" vertical="center" wrapText="0"/>
    </xf>
    <xf borderId="12" fillId="6" fontId="27" numFmtId="0" xfId="0" applyAlignment="1" applyBorder="1" applyFont="1">
      <alignment shrinkToFit="0" vertical="center" wrapText="0"/>
    </xf>
    <xf borderId="12" fillId="6" fontId="22" numFmtId="0" xfId="0" applyAlignment="1" applyBorder="1" applyFont="1">
      <alignment shrinkToFit="0" vertical="center" wrapText="0"/>
    </xf>
    <xf borderId="9" fillId="6" fontId="15" numFmtId="0" xfId="0" applyAlignment="1" applyBorder="1" applyFont="1">
      <alignment shrinkToFit="0" vertical="center" wrapText="0"/>
    </xf>
    <xf borderId="10" fillId="6" fontId="15" numFmtId="0" xfId="0" applyAlignment="1" applyBorder="1" applyFont="1">
      <alignment shrinkToFit="0" vertical="center" wrapText="0"/>
    </xf>
    <xf borderId="19" fillId="7" fontId="17" numFmtId="0" xfId="0" applyAlignment="1" applyBorder="1" applyFont="1">
      <alignment shrinkToFit="0" vertical="center" wrapText="0"/>
    </xf>
    <xf borderId="13" fillId="7" fontId="17" numFmtId="0" xfId="0" applyAlignment="1" applyBorder="1" applyFont="1">
      <alignment shrinkToFit="0" vertical="center" wrapText="0"/>
    </xf>
    <xf borderId="9" fillId="6" fontId="11" numFmtId="0" xfId="0" applyAlignment="1" applyBorder="1" applyFont="1">
      <alignment shrinkToFit="0" vertical="center" wrapText="0"/>
    </xf>
    <xf borderId="10" fillId="6" fontId="11" numFmtId="0" xfId="0" applyAlignment="1" applyBorder="1" applyFont="1">
      <alignment shrinkToFit="0" vertical="center" wrapText="0"/>
    </xf>
    <xf borderId="15" fillId="6" fontId="6" numFmtId="166" xfId="0" applyAlignment="1" applyBorder="1" applyFont="1" applyNumberFormat="1">
      <alignment horizontal="right" shrinkToFit="0" vertical="center" wrapText="0"/>
    </xf>
    <xf borderId="16" fillId="6" fontId="16" numFmtId="0" xfId="0" applyAlignment="1" applyBorder="1" applyFont="1">
      <alignment shrinkToFit="0" vertical="center" wrapText="0"/>
    </xf>
    <xf borderId="16" fillId="6" fontId="8" numFmtId="0" xfId="0" applyAlignment="1" applyBorder="1" applyFont="1">
      <alignment shrinkToFit="0" vertical="center" wrapText="0"/>
    </xf>
    <xf borderId="16" fillId="6" fontId="6" numFmtId="0" xfId="0" applyAlignment="1" applyBorder="1" applyFont="1">
      <alignment horizontal="center" shrinkToFit="0" vertical="center" wrapText="0"/>
    </xf>
    <xf borderId="16" fillId="6" fontId="9" numFmtId="0" xfId="0" applyAlignment="1" applyBorder="1" applyFont="1">
      <alignment shrinkToFit="0" vertical="center" wrapText="0"/>
    </xf>
    <xf borderId="16" fillId="6" fontId="14" numFmtId="0" xfId="0" applyAlignment="1" applyBorder="1" applyFont="1">
      <alignment shrinkToFit="0" vertical="center" wrapText="0"/>
    </xf>
    <xf borderId="16" fillId="6" fontId="6" numFmtId="0" xfId="0" applyAlignment="1" applyBorder="1" applyFont="1">
      <alignment shrinkToFit="0" vertical="center" wrapText="0"/>
    </xf>
    <xf borderId="20" fillId="6" fontId="15" numFmtId="0" xfId="0" applyAlignment="1" applyBorder="1" applyFont="1">
      <alignment shrinkToFit="0" vertical="center" wrapText="0"/>
    </xf>
    <xf borderId="18" fillId="6" fontId="15" numFmtId="0" xfId="0" applyAlignment="1" applyBorder="1" applyFont="1">
      <alignment shrinkToFit="0" vertical="center" wrapText="0"/>
    </xf>
    <xf borderId="0" fillId="0" fontId="2" numFmtId="164"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2" numFmtId="49" xfId="0" applyAlignment="1" applyFont="1" applyNumberFormat="1">
      <alignment horizontal="center" readingOrder="0" shrinkToFit="0" vertical="center" wrapText="0"/>
    </xf>
    <xf borderId="0" fillId="0" fontId="2" numFmtId="0" xfId="0" applyFont="1"/>
    <xf borderId="0" fillId="0" fontId="28" numFmtId="0" xfId="0" applyAlignment="1" applyFont="1">
      <alignment horizontal="center" readingOrder="0" vertical="center"/>
    </xf>
    <xf borderId="0" fillId="0" fontId="1" numFmtId="0" xfId="0" applyAlignment="1" applyFont="1">
      <alignment horizontal="center" readingOrder="0" vertical="center"/>
    </xf>
    <xf borderId="0" fillId="0" fontId="28" numFmtId="0" xfId="0" applyAlignment="1" applyFont="1">
      <alignment horizontal="left" readingOrder="0"/>
    </xf>
    <xf borderId="0" fillId="0" fontId="28" numFmtId="0" xfId="0" applyAlignment="1" applyFont="1">
      <alignment readingOrder="0"/>
    </xf>
    <xf borderId="0" fillId="0" fontId="1" numFmtId="10" xfId="0" applyAlignment="1" applyFont="1" applyNumberFormat="1">
      <alignment horizontal="center"/>
    </xf>
    <xf borderId="0" fillId="0" fontId="29" numFmtId="0" xfId="0" applyAlignment="1" applyFont="1">
      <alignment readingOrder="0"/>
    </xf>
    <xf borderId="0" fillId="0" fontId="30" numFmtId="0" xfId="0" applyAlignment="1" applyFont="1">
      <alignment readingOrder="0"/>
    </xf>
    <xf borderId="0" fillId="0" fontId="1" numFmtId="49" xfId="0" applyAlignment="1" applyFont="1" applyNumberFormat="1">
      <alignment horizontal="center" vertical="center"/>
    </xf>
    <xf borderId="0" fillId="0" fontId="1" numFmtId="0" xfId="0" applyAlignment="1" applyFont="1">
      <alignment horizontal="left" vertical="center"/>
    </xf>
    <xf borderId="0" fillId="9" fontId="1" numFmtId="0" xfId="0" applyAlignment="1" applyFill="1" applyFont="1">
      <alignment horizontal="center" vertical="center"/>
    </xf>
    <xf borderId="0" fillId="10" fontId="1" numFmtId="0" xfId="0" applyAlignment="1" applyFill="1" applyFont="1">
      <alignment horizontal="center" vertical="center"/>
    </xf>
    <xf borderId="0" fillId="9" fontId="1" numFmtId="0" xfId="0" applyAlignment="1" applyFont="1">
      <alignment horizontal="center" shrinkToFit="0" vertical="center" wrapText="1"/>
    </xf>
    <xf borderId="0" fillId="10" fontId="1" numFmtId="0" xfId="0" applyAlignment="1" applyFont="1">
      <alignment horizontal="center" shrinkToFit="0" vertical="center" wrapText="1"/>
    </xf>
    <xf borderId="0" fillId="0" fontId="1" numFmtId="0" xfId="0" applyAlignment="1" applyFont="1">
      <alignment horizontal="center" shrinkToFit="0" vertical="center" wrapText="1"/>
    </xf>
    <xf borderId="0" fillId="0" fontId="1" numFmtId="10" xfId="0" applyAlignment="1" applyFont="1" applyNumberFormat="1">
      <alignment horizontal="center" vertical="center"/>
    </xf>
    <xf borderId="0" fillId="0" fontId="25" numFmtId="10" xfId="0" applyAlignment="1" applyFont="1" applyNumberFormat="1">
      <alignment horizontal="center" vertical="center"/>
    </xf>
    <xf borderId="0" fillId="0" fontId="31" numFmtId="0" xfId="0" applyAlignment="1" applyFont="1">
      <alignment readingOrder="0" shrinkToFit="0" vertical="top" wrapText="1"/>
    </xf>
    <xf borderId="0" fillId="0" fontId="31" numFmtId="0" xfId="0" applyAlignment="1" applyFont="1">
      <alignment readingOrder="0" vertical="top"/>
    </xf>
    <xf borderId="0" fillId="6" fontId="1" numFmtId="0" xfId="0" applyFont="1"/>
    <xf borderId="0" fillId="0" fontId="32" numFmtId="0" xfId="0" applyAlignment="1" applyFont="1">
      <alignment readingOrder="0"/>
    </xf>
    <xf borderId="0" fillId="0" fontId="32" numFmtId="0" xfId="0" applyFont="1"/>
    <xf borderId="21" fillId="11" fontId="2" numFmtId="0" xfId="0" applyBorder="1" applyFill="1" applyFont="1"/>
    <xf borderId="21" fillId="11" fontId="2" numFmtId="49" xfId="0" applyBorder="1" applyFont="1" applyNumberFormat="1"/>
    <xf borderId="21" fillId="0" fontId="1" numFmtId="0" xfId="0" applyAlignment="1" applyBorder="1" applyFont="1">
      <alignment readingOrder="0"/>
    </xf>
    <xf borderId="21" fillId="0" fontId="1" numFmtId="10" xfId="0" applyBorder="1" applyFont="1" applyNumberFormat="1"/>
    <xf borderId="21" fillId="11" fontId="2" numFmtId="10" xfId="0" applyBorder="1" applyFont="1" applyNumberFormat="1"/>
    <xf borderId="0" fillId="0" fontId="31" numFmtId="0" xfId="0" applyAlignment="1" applyFont="1">
      <alignment shrinkToFit="0" vertical="top" wrapText="1"/>
    </xf>
    <xf borderId="0" fillId="0" fontId="1" numFmtId="49" xfId="0" applyAlignment="1" applyFont="1" applyNumberFormat="1">
      <alignment horizontal="center"/>
    </xf>
    <xf borderId="0" fillId="0" fontId="31" numFmtId="0" xfId="0" applyAlignment="1" applyFont="1">
      <alignment readingOrder="0"/>
    </xf>
    <xf borderId="0" fillId="0" fontId="33" numFmtId="0" xfId="0" applyAlignment="1" applyFont="1">
      <alignment readingOrder="0"/>
    </xf>
    <xf borderId="0" fillId="0" fontId="33" numFmtId="0" xfId="0" applyFont="1"/>
    <xf borderId="0" fillId="0" fontId="34" numFmtId="0" xfId="0" applyFont="1"/>
    <xf borderId="0" fillId="0" fontId="34" numFmtId="0" xfId="0" applyFont="1"/>
    <xf borderId="0" fillId="0" fontId="33" numFmtId="0" xfId="0" applyFont="1"/>
    <xf borderId="0" fillId="0" fontId="1" numFmtId="0" xfId="0" applyAlignment="1" applyFont="1">
      <alignment readingOrder="0" shrinkToFit="0" vertical="top" wrapText="0"/>
    </xf>
    <xf borderId="0" fillId="0" fontId="1" numFmtId="0" xfId="0" applyAlignment="1" applyFont="1">
      <alignment readingOrder="0" shrinkToFit="0" vertical="top" wrapText="1"/>
    </xf>
    <xf borderId="0" fillId="0" fontId="1" numFmtId="0" xfId="0" applyAlignment="1" applyFont="1">
      <alignment readingOrder="0" shrinkToFit="0" wrapText="0"/>
    </xf>
    <xf borderId="0" fillId="0" fontId="1" numFmtId="0" xfId="0" applyAlignment="1" applyFont="1">
      <alignment horizontal="left" readingOrder="0" shrinkToFit="0" textRotation="0" vertical="top" wrapText="1"/>
    </xf>
    <xf borderId="0" fillId="0" fontId="31" numFmtId="0" xfId="0" applyAlignment="1" applyFont="1">
      <alignment horizontal="left" readingOrder="0" shrinkToFit="0" vertical="top" wrapText="1"/>
    </xf>
    <xf borderId="22" fillId="0" fontId="35" numFmtId="164" xfId="0" applyAlignment="1" applyBorder="1" applyFont="1" applyNumberFormat="1">
      <alignment horizontal="center" readingOrder="0"/>
    </xf>
    <xf borderId="23" fillId="0" fontId="35" numFmtId="0" xfId="0" applyAlignment="1" applyBorder="1" applyFont="1">
      <alignment horizontal="center" readingOrder="0"/>
    </xf>
    <xf borderId="23" fillId="0" fontId="35" numFmtId="49" xfId="0" applyAlignment="1" applyBorder="1" applyFont="1" applyNumberFormat="1">
      <alignment horizontal="center" readingOrder="0"/>
    </xf>
    <xf borderId="24" fillId="0" fontId="35" numFmtId="0" xfId="0" applyAlignment="1" applyBorder="1" applyFont="1">
      <alignment horizontal="center" readingOrder="0"/>
    </xf>
    <xf borderId="25" fillId="0" fontId="1" numFmtId="164" xfId="0" applyAlignment="1" applyBorder="1" applyFont="1" applyNumberFormat="1">
      <alignment readingOrder="0"/>
    </xf>
    <xf borderId="26" fillId="0" fontId="1" numFmtId="0" xfId="0" applyAlignment="1" applyBorder="1" applyFont="1">
      <alignment readingOrder="0"/>
    </xf>
    <xf borderId="27" fillId="0" fontId="1" numFmtId="0" xfId="0" applyAlignment="1" applyBorder="1" applyFont="1">
      <alignment readingOrder="0"/>
    </xf>
    <xf borderId="0" fillId="0" fontId="36" numFmtId="0" xfId="0" applyAlignment="1" applyFont="1">
      <alignment horizontal="center" shrinkToFit="0" wrapText="1"/>
    </xf>
  </cellXfs>
  <cellStyles count="1">
    <cellStyle xfId="0" name="Normal" builtinId="0"/>
  </cellStyles>
  <dxfs count="11">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
      <font/>
      <fill>
        <patternFill patternType="solid">
          <fgColor rgb="FFFCE8B2"/>
          <bgColor rgb="FFFCE8B2"/>
        </patternFill>
      </fill>
      <border/>
    </dxf>
    <dxf>
      <font>
        <color rgb="FF0B8043"/>
      </font>
      <fill>
        <patternFill patternType="none"/>
      </fill>
      <border/>
    </dxf>
    <dxf>
      <font>
        <color rgb="FFFF0000"/>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s>
  <tableStyles count="9">
    <tableStyle count="4" pivot="0" name="Copy of prestamos_biblioteca_pu-style">
      <tableStyleElement dxfId="1" type="headerRow"/>
      <tableStyleElement dxfId="2" type="firstRowStripe"/>
      <tableStyleElement dxfId="3" type="secondRowStripe"/>
      <tableStyleElement dxfId="4" size="0" type="wholeTable"/>
    </tableStyle>
    <tableStyle count="4" pivot="0" name="Cisco-style">
      <tableStyleElement dxfId="1" type="headerRow"/>
      <tableStyleElement dxfId="2" type="firstRowStripe"/>
      <tableStyleElement dxfId="3" type="secondRowStripe"/>
      <tableStyleElement dxfId="4" size="0" type="wholeTable"/>
    </tableStyle>
    <tableStyle count="4" pivot="0" name="Cheyenne-style">
      <tableStyleElement dxfId="1" type="headerRow"/>
      <tableStyleElement dxfId="2" type="firstRowStripe"/>
      <tableStyleElement dxfId="3" type="secondRowStripe"/>
      <tableStyleElement dxfId="4" size="0" type="wholeTable"/>
    </tableStyle>
    <tableStyle count="4" pivot="0" name="AGATA-style">
      <tableStyleElement dxfId="1" type="headerRow"/>
      <tableStyleElement dxfId="2" type="firstRowStripe"/>
      <tableStyleElement dxfId="3" type="secondRowStripe"/>
      <tableStyleElement dxfId="4" size="0" type="wholeTable"/>
    </tableStyle>
    <tableStyle count="4" pivot="0" name="Oksana-style">
      <tableStyleElement dxfId="1" type="headerRow"/>
      <tableStyleElement dxfId="2" type="firstRowStripe"/>
      <tableStyleElement dxfId="3" type="secondRowStripe"/>
      <tableStyleElement dxfId="4" size="0" type="wholeTable"/>
    </tableStyle>
    <tableStyle count="3" pivot="0" name="Detail4-divulgacion-no-style">
      <tableStyleElement dxfId="9" type="headerRow"/>
      <tableStyleElement dxfId="10" type="firstRowStripe"/>
      <tableStyleElement dxfId="2" type="secondRowStripe"/>
    </tableStyle>
    <tableStyle count="3" pivot="0" name="Detail3-style">
      <tableStyleElement dxfId="9" type="headerRow"/>
      <tableStyleElement dxfId="10" type="firstRowStripe"/>
      <tableStyleElement dxfId="2" type="secondRowStripe"/>
    </tableStyle>
    <tableStyle count="3" pivot="0" name="Detail2-novela_grafica-inglés-style">
      <tableStyleElement dxfId="9" type="headerRow"/>
      <tableStyleElement dxfId="10" type="firstRowStripe"/>
      <tableStyleElement dxfId="2" type="secondRowStripe"/>
    </tableStyle>
    <tableStyle count="3" pivot="0" name="Detail1-divulgacion-inglés-style">
      <tableStyleElement dxfId="9" type="headerRow"/>
      <tableStyleElement dxfId="10"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pivotCacheDefinition" Target="pivotCache/pivotCacheDefinition2.xml"/><Relationship Id="rId23"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pivotCacheDefinition" Target="pivotCache/pivotCacheDefinition4.xml"/><Relationship Id="rId25" Type="http://schemas.openxmlformats.org/officeDocument/2006/relationships/pivotCacheDefinition" Target="pivotCache/pivotCacheDefinition3.xml"/><Relationship Id="rId27" Type="http://schemas.openxmlformats.org/officeDocument/2006/relationships/pivotCacheDefinition" Target="pivotCache/pivotCacheDefinition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mañana y tarde</a:t>
            </a:r>
          </a:p>
        </c:rich>
      </c:tx>
      <c:overlay val="0"/>
    </c:title>
    <c:plotArea>
      <c:layout/>
      <c:barChart>
        <c:barDir val="col"/>
        <c:ser>
          <c:idx val="0"/>
          <c:order val="0"/>
          <c:tx>
            <c:strRef>
              <c:f>Alex!$M$1:$M$2</c:f>
            </c:strRef>
          </c:tx>
          <c:spPr>
            <a:solidFill>
              <a:schemeClr val="accent1"/>
            </a:solidFill>
            <a:ln cmpd="sng">
              <a:solidFill>
                <a:srgbClr val="000000"/>
              </a:solidFill>
            </a:ln>
          </c:spPr>
          <c:cat>
            <c:strRef>
              <c:f>Alex!$K$3:$K$15</c:f>
            </c:strRef>
          </c:cat>
          <c:val>
            <c:numRef>
              <c:f>Alex!$M$3:$M$15</c:f>
              <c:numCache/>
            </c:numRef>
          </c:val>
        </c:ser>
        <c:ser>
          <c:idx val="1"/>
          <c:order val="1"/>
          <c:tx>
            <c:strRef>
              <c:f>Alex!$N$1:$N$2</c:f>
            </c:strRef>
          </c:tx>
          <c:spPr>
            <a:solidFill>
              <a:schemeClr val="accent2"/>
            </a:solidFill>
            <a:ln cmpd="sng">
              <a:solidFill>
                <a:srgbClr val="000000"/>
              </a:solidFill>
            </a:ln>
          </c:spPr>
          <c:cat>
            <c:strRef>
              <c:f>Alex!$K$3:$K$15</c:f>
            </c:strRef>
          </c:cat>
          <c:val>
            <c:numRef>
              <c:f>Alex!$N$3:$N$15</c:f>
              <c:numCache/>
            </c:numRef>
          </c:val>
        </c:ser>
        <c:axId val="879008320"/>
        <c:axId val="1181402188"/>
      </c:barChart>
      <c:catAx>
        <c:axId val="8790083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mes-num</a:t>
                </a:r>
              </a:p>
            </c:rich>
          </c:tx>
          <c:overlay val="0"/>
        </c:title>
        <c:numFmt formatCode="General" sourceLinked="1"/>
        <c:majorTickMark val="none"/>
        <c:minorTickMark val="none"/>
        <c:spPr/>
        <c:txPr>
          <a:bodyPr/>
          <a:lstStyle/>
          <a:p>
            <a:pPr lvl="0">
              <a:defRPr b="0">
                <a:solidFill>
                  <a:srgbClr val="000000"/>
                </a:solidFill>
                <a:latin typeface="+mn-lt"/>
              </a:defRPr>
            </a:pPr>
          </a:p>
        </c:txPr>
        <c:crossAx val="1181402188"/>
      </c:catAx>
      <c:valAx>
        <c:axId val="11814021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900832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Devuelto a tiempo</a:t>
            </a:r>
          </a:p>
        </c:rich>
      </c:tx>
      <c:overlay val="0"/>
    </c:title>
    <c:plotArea>
      <c:layout/>
      <c:barChart>
        <c:barDir val="bar"/>
        <c:ser>
          <c:idx val="0"/>
          <c:order val="0"/>
          <c:tx>
            <c:strRef>
              <c:f>Cheyenne!$N$4:$N$5</c:f>
            </c:strRef>
          </c:tx>
          <c:spPr>
            <a:solidFill>
              <a:schemeClr val="accent1"/>
            </a:solidFill>
            <a:ln cmpd="sng">
              <a:solidFill>
                <a:srgbClr val="000000"/>
              </a:solidFill>
            </a:ln>
          </c:spPr>
          <c:cat>
            <c:strRef>
              <c:f>Cheyenne!$M$6:$M$12</c:f>
            </c:strRef>
          </c:cat>
          <c:val>
            <c:numRef>
              <c:f>Cheyenne!$N$6:$N$12</c:f>
              <c:numCache/>
            </c:numRef>
          </c:val>
        </c:ser>
        <c:ser>
          <c:idx val="1"/>
          <c:order val="1"/>
          <c:tx>
            <c:strRef>
              <c:f>Cheyenne!$O$4:$O$5</c:f>
            </c:strRef>
          </c:tx>
          <c:spPr>
            <a:solidFill>
              <a:schemeClr val="accent2"/>
            </a:solidFill>
            <a:ln cmpd="sng">
              <a:solidFill>
                <a:srgbClr val="000000"/>
              </a:solidFill>
            </a:ln>
          </c:spPr>
          <c:cat>
            <c:strRef>
              <c:f>Cheyenne!$M$6:$M$12</c:f>
            </c:strRef>
          </c:cat>
          <c:val>
            <c:numRef>
              <c:f>Cheyenne!$O$6:$O$12</c:f>
              <c:numCache/>
            </c:numRef>
          </c:val>
        </c:ser>
        <c:axId val="1275540881"/>
        <c:axId val="449620546"/>
      </c:barChart>
      <c:catAx>
        <c:axId val="127554088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categoria_libro</a:t>
                </a:r>
              </a:p>
            </c:rich>
          </c:tx>
          <c:overlay val="0"/>
        </c:title>
        <c:numFmt formatCode="General" sourceLinked="1"/>
        <c:majorTickMark val="none"/>
        <c:minorTickMark val="none"/>
        <c:spPr/>
        <c:txPr>
          <a:bodyPr/>
          <a:lstStyle/>
          <a:p>
            <a:pPr lvl="0">
              <a:defRPr b="0">
                <a:solidFill>
                  <a:srgbClr val="000000"/>
                </a:solidFill>
                <a:latin typeface="+mn-lt"/>
              </a:defRPr>
            </a:pPr>
          </a:p>
        </c:txPr>
        <c:crossAx val="449620546"/>
      </c:catAx>
      <c:valAx>
        <c:axId val="44962054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75540881"/>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a:solidFill>
                  <a:srgbClr val="999999"/>
                </a:solidFill>
                <a:latin typeface="+mn-lt"/>
              </a:defRPr>
            </a:pPr>
            <a:r>
              <a:rPr b="1" i="1">
                <a:solidFill>
                  <a:srgbClr val="999999"/>
                </a:solidFill>
                <a:latin typeface="+mn-lt"/>
              </a:rPr>
              <a:t>Qué genero literario sale más y en qué idioma:</a:t>
            </a:r>
          </a:p>
        </c:rich>
      </c:tx>
      <c:overlay val="0"/>
    </c:title>
    <c:view3D>
      <c:rotX val="15"/>
      <c:rotY val="20"/>
      <c:depthPercent val="100"/>
      <c:rAngAx val="1"/>
    </c:view3D>
    <c:plotArea>
      <c:layout/>
      <c:bar3DChart>
        <c:barDir val="col"/>
        <c:grouping val="clustered"/>
        <c:ser>
          <c:idx val="0"/>
          <c:order val="0"/>
          <c:tx>
            <c:strRef>
              <c:f>'Tablas dinamicas'!$B$4:$B$5</c:f>
            </c:strRef>
          </c:tx>
          <c:spPr>
            <a:solidFill>
              <a:schemeClr val="accent1"/>
            </a:solidFill>
            <a:ln cmpd="sng">
              <a:solidFill>
                <a:srgbClr val="000000"/>
              </a:solidFill>
            </a:ln>
          </c:spPr>
          <c:cat>
            <c:strRef>
              <c:f>'Tablas dinamicas'!$A$6:$A$13</c:f>
            </c:strRef>
          </c:cat>
          <c:val>
            <c:numRef>
              <c:f>'Tablas dinamicas'!$B$6:$B$13</c:f>
              <c:numCache/>
            </c:numRef>
          </c:val>
        </c:ser>
        <c:ser>
          <c:idx val="1"/>
          <c:order val="1"/>
          <c:tx>
            <c:strRef>
              <c:f>'Tablas dinamicas'!$C$4:$C$5</c:f>
            </c:strRef>
          </c:tx>
          <c:spPr>
            <a:solidFill>
              <a:schemeClr val="accent2"/>
            </a:solidFill>
            <a:ln cmpd="sng">
              <a:solidFill>
                <a:srgbClr val="000000"/>
              </a:solidFill>
            </a:ln>
          </c:spPr>
          <c:cat>
            <c:strRef>
              <c:f>'Tablas dinamicas'!$A$6:$A$13</c:f>
            </c:strRef>
          </c:cat>
          <c:val>
            <c:numRef>
              <c:f>'Tablas dinamicas'!$C$6:$C$13</c:f>
              <c:numCache/>
            </c:numRef>
          </c:val>
        </c:ser>
        <c:ser>
          <c:idx val="2"/>
          <c:order val="2"/>
          <c:tx>
            <c:strRef>
              <c:f>'Tablas dinamicas'!$D$4:$D$5</c:f>
            </c:strRef>
          </c:tx>
          <c:spPr>
            <a:solidFill>
              <a:schemeClr val="accent3"/>
            </a:solidFill>
            <a:ln cmpd="sng">
              <a:solidFill>
                <a:srgbClr val="000000"/>
              </a:solidFill>
            </a:ln>
          </c:spPr>
          <c:cat>
            <c:strRef>
              <c:f>'Tablas dinamicas'!$A$6:$A$13</c:f>
            </c:strRef>
          </c:cat>
          <c:val>
            <c:numRef>
              <c:f>'Tablas dinamicas'!$D$6:$D$13</c:f>
              <c:numCache/>
            </c:numRef>
          </c:val>
        </c:ser>
        <c:axId val="779569584"/>
        <c:axId val="1731554259"/>
      </c:bar3DChart>
      <c:catAx>
        <c:axId val="7795695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categoria_libro</a:t>
                </a:r>
              </a:p>
            </c:rich>
          </c:tx>
          <c:overlay val="0"/>
        </c:title>
        <c:numFmt formatCode="General" sourceLinked="1"/>
        <c:majorTickMark val="none"/>
        <c:minorTickMark val="none"/>
        <c:spPr/>
        <c:txPr>
          <a:bodyPr/>
          <a:lstStyle/>
          <a:p>
            <a:pPr lvl="0">
              <a:defRPr b="0">
                <a:solidFill>
                  <a:srgbClr val="000000"/>
                </a:solidFill>
                <a:latin typeface="+mn-lt"/>
              </a:defRPr>
            </a:pPr>
          </a:p>
        </c:txPr>
        <c:crossAx val="1731554259"/>
      </c:catAx>
      <c:valAx>
        <c:axId val="17315542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79569584"/>
      </c:valAx>
    </c:plotArea>
    <c:legend>
      <c:legendPos val="b"/>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a:solidFill>
                  <a:srgbClr val="666666"/>
                </a:solidFill>
                <a:latin typeface="+mn-lt"/>
              </a:defRPr>
            </a:pPr>
            <a:r>
              <a:rPr b="1" i="1">
                <a:solidFill>
                  <a:srgbClr val="666666"/>
                </a:solidFill>
                <a:latin typeface="+mn-lt"/>
              </a:rPr>
              <a:t>Descuadres en las duraciones de devolución</a:t>
            </a:r>
          </a:p>
        </c:rich>
      </c:tx>
      <c:overlay val="0"/>
    </c:title>
    <c:plotArea>
      <c:layout/>
      <c:barChart>
        <c:barDir val="col"/>
        <c:ser>
          <c:idx val="0"/>
          <c:order val="0"/>
          <c:tx>
            <c:v>devuelto a tiempo, MAX días</c:v>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'Tablas dinamicas'!$Q$29:$Q$35</c:f>
            </c:strRef>
          </c:cat>
          <c:val>
            <c:numRef>
              <c:f>'Tablas dinamicas'!$S$29:$S$35</c:f>
              <c:numCache/>
            </c:numRef>
          </c:val>
        </c:ser>
        <c:ser>
          <c:idx val="1"/>
          <c:order val="1"/>
          <c:tx>
            <c:v>NO devuleto a tiempo, MIN días</c:v>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'Tablas dinamicas'!$Q$29:$Q$35</c:f>
            </c:strRef>
          </c:cat>
          <c:val>
            <c:numRef>
              <c:f>'Tablas dinamicas'!$T$29:$T$35</c:f>
              <c:numCache/>
            </c:numRef>
          </c:val>
        </c:ser>
        <c:axId val="1133834684"/>
        <c:axId val="495869701"/>
      </c:barChart>
      <c:catAx>
        <c:axId val="11338346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categoria_libro</a:t>
                </a:r>
              </a:p>
            </c:rich>
          </c:tx>
          <c:overlay val="0"/>
        </c:title>
        <c:numFmt formatCode="General" sourceLinked="1"/>
        <c:majorTickMark val="none"/>
        <c:minorTickMark val="none"/>
        <c:spPr/>
        <c:txPr>
          <a:bodyPr/>
          <a:lstStyle/>
          <a:p>
            <a:pPr lvl="0">
              <a:defRPr b="0">
                <a:solidFill>
                  <a:srgbClr val="000000"/>
                </a:solidFill>
                <a:latin typeface="+mn-lt"/>
              </a:defRPr>
            </a:pPr>
          </a:p>
        </c:txPr>
        <c:crossAx val="495869701"/>
      </c:catAx>
      <c:valAx>
        <c:axId val="4958697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días de duración de préstamo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33834684"/>
      </c:valAx>
    </c:plotArea>
    <c:legend>
      <c:legendPos val="b"/>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Desviación относительно параметра "categoria_libro"</a:t>
            </a:r>
          </a:p>
        </c:rich>
      </c:tx>
      <c:overlay val="0"/>
    </c:title>
    <c:plotArea>
      <c:layout/>
      <c:barChart>
        <c:barDir val="col"/>
        <c:ser>
          <c:idx val="0"/>
          <c:order val="0"/>
          <c:tx>
            <c:strRef>
              <c:f>'Tablas dinamicas'!$X$4</c:f>
            </c:strRef>
          </c:tx>
          <c:spPr>
            <a:solidFill>
              <a:schemeClr val="accent1"/>
            </a:solidFill>
            <a:ln cmpd="sng">
              <a:solidFill>
                <a:srgbClr val="000000"/>
              </a:solidFill>
            </a:ln>
          </c:spPr>
          <c:cat>
            <c:strRef>
              <c:f>'Tablas dinamicas'!$V$5:$V$11</c:f>
            </c:strRef>
          </c:cat>
          <c:val>
            <c:numRef>
              <c:f>'Tablas dinamicas'!$X$5:$X$11</c:f>
              <c:numCache/>
            </c:numRef>
          </c:val>
        </c:ser>
        <c:axId val="823163638"/>
        <c:axId val="79123326"/>
      </c:barChart>
      <c:catAx>
        <c:axId val="8231636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categoria_libro</a:t>
                </a:r>
              </a:p>
            </c:rich>
          </c:tx>
          <c:overlay val="0"/>
        </c:title>
        <c:numFmt formatCode="General" sourceLinked="1"/>
        <c:majorTickMark val="none"/>
        <c:minorTickMark val="none"/>
        <c:spPr/>
        <c:txPr>
          <a:bodyPr/>
          <a:lstStyle/>
          <a:p>
            <a:pPr lvl="0">
              <a:defRPr b="0">
                <a:solidFill>
                  <a:srgbClr val="000000"/>
                </a:solidFill>
                <a:latin typeface="+mn-lt"/>
              </a:defRPr>
            </a:pPr>
          </a:p>
        </c:txPr>
        <c:crossAx val="79123326"/>
      </c:catAx>
      <c:valAx>
        <c:axId val="791233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Desviación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23163638"/>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a:solidFill>
                  <a:srgbClr val="000000"/>
                </a:solidFill>
                <a:latin typeface="+mn-lt"/>
              </a:defRPr>
            </a:pPr>
            <a:r>
              <a:rPr b="1" i="1">
                <a:solidFill>
                  <a:srgbClr val="000000"/>
                </a:solidFill>
                <a:latin typeface="+mn-lt"/>
              </a:rPr>
              <a:t>Qué genero literario sale más y en qué idioma</a:t>
            </a:r>
          </a:p>
        </c:rich>
      </c:tx>
      <c:overlay val="0"/>
    </c:title>
    <c:view3D>
      <c:rotX val="15"/>
      <c:rotY val="20"/>
      <c:depthPercent val="100"/>
      <c:rAngAx val="1"/>
    </c:view3D>
    <c:plotArea>
      <c:layout/>
      <c:bar3DChart>
        <c:barDir val="col"/>
        <c:grouping val="clustered"/>
        <c:ser>
          <c:idx val="0"/>
          <c:order val="0"/>
          <c:tx>
            <c:strRef>
              <c:f>'Tablas dinamicas'!$B$4:$B$5</c:f>
            </c:strRef>
          </c:tx>
          <c:spPr>
            <a:solidFill>
              <a:schemeClr val="accent1"/>
            </a:solidFill>
            <a:ln cmpd="sng">
              <a:solidFill>
                <a:srgbClr val="000000"/>
              </a:solidFill>
            </a:ln>
          </c:spPr>
          <c:cat>
            <c:strRef>
              <c:f>'Tablas dinamicas'!$A$6:$A$12</c:f>
            </c:strRef>
          </c:cat>
          <c:val>
            <c:numRef>
              <c:f>'Tablas dinamicas'!$B$6:$B$12</c:f>
              <c:numCache/>
            </c:numRef>
          </c:val>
        </c:ser>
        <c:ser>
          <c:idx val="1"/>
          <c:order val="1"/>
          <c:tx>
            <c:strRef>
              <c:f>'Tablas dinamicas'!$C$4:$C$5</c:f>
            </c:strRef>
          </c:tx>
          <c:spPr>
            <a:solidFill>
              <a:schemeClr val="accent2"/>
            </a:solidFill>
            <a:ln cmpd="sng">
              <a:solidFill>
                <a:srgbClr val="000000"/>
              </a:solidFill>
            </a:ln>
          </c:spPr>
          <c:cat>
            <c:strRef>
              <c:f>'Tablas dinamicas'!$A$6:$A$12</c:f>
            </c:strRef>
          </c:cat>
          <c:val>
            <c:numRef>
              <c:f>'Tablas dinamicas'!$C$6:$C$12</c:f>
              <c:numCache/>
            </c:numRef>
          </c:val>
        </c:ser>
        <c:ser>
          <c:idx val="2"/>
          <c:order val="2"/>
          <c:tx>
            <c:strRef>
              <c:f>'Tablas dinamicas'!$D$4:$D$5</c:f>
            </c:strRef>
          </c:tx>
          <c:spPr>
            <a:solidFill>
              <a:schemeClr val="accent3"/>
            </a:solidFill>
            <a:ln cmpd="sng">
              <a:solidFill>
                <a:srgbClr val="000000"/>
              </a:solidFill>
            </a:ln>
          </c:spPr>
          <c:cat>
            <c:strRef>
              <c:f>'Tablas dinamicas'!$A$6:$A$12</c:f>
            </c:strRef>
          </c:cat>
          <c:val>
            <c:numRef>
              <c:f>'Tablas dinamicas'!$D$6:$D$12</c:f>
              <c:numCache/>
            </c:numRef>
          </c:val>
        </c:ser>
        <c:axId val="1784847399"/>
        <c:axId val="520037658"/>
      </c:bar3DChart>
      <c:catAx>
        <c:axId val="17848473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categoria_libro</a:t>
                </a:r>
              </a:p>
            </c:rich>
          </c:tx>
          <c:overlay val="0"/>
        </c:title>
        <c:numFmt formatCode="General" sourceLinked="1"/>
        <c:majorTickMark val="none"/>
        <c:minorTickMark val="none"/>
        <c:spPr/>
        <c:txPr>
          <a:bodyPr/>
          <a:lstStyle/>
          <a:p>
            <a:pPr lvl="0">
              <a:defRPr b="0">
                <a:solidFill>
                  <a:srgbClr val="000000"/>
                </a:solidFill>
                <a:latin typeface="+mn-lt"/>
              </a:defRPr>
            </a:pPr>
          </a:p>
        </c:txPr>
        <c:crossAx val="520037658"/>
      </c:catAx>
      <c:valAx>
        <c:axId val="5200376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4847399"/>
      </c:valAx>
    </c:plotArea>
    <c:legend>
      <c:legendPos val="b"/>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a:solidFill>
                  <a:srgbClr val="000000"/>
                </a:solidFill>
                <a:latin typeface="+mn-lt"/>
              </a:defRPr>
            </a:pPr>
            <a:r>
              <a:rPr b="1" i="1">
                <a:solidFill>
                  <a:srgbClr val="000000"/>
                </a:solidFill>
                <a:latin typeface="+mn-lt"/>
              </a:rPr>
              <a:t>Prestación de los libros por genero literario</a:t>
            </a:r>
          </a:p>
        </c:rich>
      </c:tx>
      <c:overlay val="0"/>
    </c:title>
    <c:view3D>
      <c:rotX val="50"/>
      <c:perspective val="0"/>
    </c:view3D>
    <c:plotArea>
      <c:layout>
        <c:manualLayout>
          <c:xMode val="edge"/>
          <c:yMode val="edge"/>
          <c:x val="0.0613540197461213"/>
          <c:y val="0.1542444974963133"/>
          <c:w val="0.8716502115655853"/>
          <c:h val="0.7646379546719713"/>
        </c:manualLayout>
      </c:layout>
      <c:pie3DChart>
        <c:varyColors val="1"/>
        <c:ser>
          <c:idx val="0"/>
          <c:order val="0"/>
          <c:tx>
            <c:strRef>
              <c:f>'1_género literario'!$E$24:$E$25</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Lbls>
            <c:showLegendKey val="0"/>
            <c:showVal val="1"/>
            <c:showCatName val="0"/>
            <c:showSerName val="0"/>
            <c:showPercent val="0"/>
            <c:showBubbleSize val="0"/>
            <c:showLeaderLines val="1"/>
          </c:dLbls>
          <c:cat>
            <c:strRef>
              <c:f>'1_género literario'!$A$26:$A$32</c:f>
            </c:strRef>
          </c:cat>
          <c:val>
            <c:numRef>
              <c:f>'1_género literario'!$E$26:$E$32</c:f>
              <c:numCache/>
            </c:numRef>
          </c:val>
        </c:ser>
        <c:dLbls>
          <c:showLegendKey val="0"/>
          <c:showVal val="0"/>
          <c:showCatName val="0"/>
          <c:showSerName val="0"/>
          <c:showPercent val="0"/>
          <c:showBubbleSize val="0"/>
        </c:dLbls>
      </c:pie3DChart>
    </c:plotArea>
    <c:legend>
      <c:legendPos val="r"/>
      <c:layout>
        <c:manualLayout>
          <c:xMode val="edge"/>
          <c:yMode val="edge"/>
          <c:x val="0.015514809590973202"/>
          <c:y val="0.015659955257270694"/>
        </c:manualLayout>
      </c:layout>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000000"/>
                </a:solidFill>
                <a:latin typeface="Arial black"/>
              </a:defRPr>
            </a:pPr>
            <a:r>
              <a:rPr b="0" sz="2400">
                <a:solidFill>
                  <a:srgbClr val="000000"/>
                </a:solidFill>
                <a:latin typeface="Arial black"/>
              </a:rPr>
              <a:t>En que mes y que franja horaria se prestan mas libros</a:t>
            </a:r>
          </a:p>
        </c:rich>
      </c:tx>
      <c:overlay val="0"/>
    </c:title>
    <c:plotArea>
      <c:layout/>
      <c:barChart>
        <c:barDir val="col"/>
        <c:ser>
          <c:idx val="0"/>
          <c:order val="0"/>
          <c:tx>
            <c:strRef>
              <c:f>'2.1_meses'!$B$2:$B$3</c:f>
            </c:strRef>
          </c:tx>
          <c:spPr>
            <a:solidFill>
              <a:schemeClr val="accent1"/>
            </a:solidFill>
            <a:ln cmpd="sng">
              <a:solidFill>
                <a:srgbClr val="000000"/>
              </a:solidFill>
            </a:ln>
          </c:spPr>
          <c:cat>
            <c:strRef>
              <c:f>'2.1_meses'!$A$4:$A$15</c:f>
            </c:strRef>
          </c:cat>
          <c:val>
            <c:numRef>
              <c:f>'2.1_meses'!$B$4:$B$15</c:f>
              <c:numCache/>
            </c:numRef>
          </c:val>
        </c:ser>
        <c:ser>
          <c:idx val="1"/>
          <c:order val="1"/>
          <c:tx>
            <c:strRef>
              <c:f>'2.1_meses'!$C$2:$C$3</c:f>
            </c:strRef>
          </c:tx>
          <c:spPr>
            <a:solidFill>
              <a:schemeClr val="accent2"/>
            </a:solidFill>
            <a:ln cmpd="sng">
              <a:solidFill>
                <a:srgbClr val="000000"/>
              </a:solidFill>
            </a:ln>
          </c:spPr>
          <c:cat>
            <c:strRef>
              <c:f>'2.1_meses'!$A$4:$A$15</c:f>
            </c:strRef>
          </c:cat>
          <c:val>
            <c:numRef>
              <c:f>'2.1_meses'!$C$4:$C$15</c:f>
              <c:numCache/>
            </c:numRef>
          </c:val>
        </c:ser>
        <c:axId val="511581380"/>
        <c:axId val="2080476983"/>
      </c:barChart>
      <c:catAx>
        <c:axId val="5115813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80476983"/>
      </c:catAx>
      <c:valAx>
        <c:axId val="20804769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11581380"/>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000000"/>
                </a:solidFill>
                <a:latin typeface="+mn-lt"/>
              </a:defRPr>
            </a:pPr>
            <a:r>
              <a:rPr b="1" sz="2400">
                <a:solidFill>
                  <a:srgbClr val="000000"/>
                </a:solidFill>
                <a:latin typeface="+mn-lt"/>
              </a:rPr>
              <a:t>Prestamos de libros segun dia de la semana</a:t>
            </a:r>
          </a:p>
        </c:rich>
      </c:tx>
      <c:overlay val="0"/>
    </c:title>
    <c:plotArea>
      <c:layout/>
      <c:barChart>
        <c:barDir val="col"/>
        <c:ser>
          <c:idx val="0"/>
          <c:order val="0"/>
          <c:tx>
            <c:strRef>
              <c:f>'2.2_día, franja horaria'!$B$32:$B$33</c:f>
            </c:strRef>
          </c:tx>
          <c:spPr>
            <a:solidFill>
              <a:schemeClr val="accent1"/>
            </a:solidFill>
            <a:ln cmpd="sng">
              <a:solidFill>
                <a:srgbClr val="000000"/>
              </a:solidFill>
            </a:ln>
          </c:spPr>
          <c:cat>
            <c:strRef>
              <c:f>'2.2_día, franja horaria'!$A$34:$A$45</c:f>
            </c:strRef>
          </c:cat>
          <c:val>
            <c:numRef>
              <c:f>'2.2_día, franja horaria'!$B$34:$B$45</c:f>
              <c:numCache/>
            </c:numRef>
          </c:val>
        </c:ser>
        <c:ser>
          <c:idx val="1"/>
          <c:order val="1"/>
          <c:tx>
            <c:strRef>
              <c:f>'2.2_día, franja horaria'!$C$32:$C$33</c:f>
            </c:strRef>
          </c:tx>
          <c:spPr>
            <a:solidFill>
              <a:schemeClr val="accent2"/>
            </a:solidFill>
            <a:ln cmpd="sng">
              <a:solidFill>
                <a:srgbClr val="000000"/>
              </a:solidFill>
            </a:ln>
          </c:spPr>
          <c:cat>
            <c:strRef>
              <c:f>'2.2_día, franja horaria'!$A$34:$A$45</c:f>
            </c:strRef>
          </c:cat>
          <c:val>
            <c:numRef>
              <c:f>'2.2_día, franja horaria'!$C$34:$C$45</c:f>
              <c:numCache/>
            </c:numRef>
          </c:val>
        </c:ser>
        <c:ser>
          <c:idx val="2"/>
          <c:order val="2"/>
          <c:tx>
            <c:strRef>
              <c:f>'2.2_día, franja horaria'!$D$32:$D$33</c:f>
            </c:strRef>
          </c:tx>
          <c:spPr>
            <a:solidFill>
              <a:schemeClr val="accent3"/>
            </a:solidFill>
            <a:ln cmpd="sng">
              <a:solidFill>
                <a:srgbClr val="000000"/>
              </a:solidFill>
            </a:ln>
          </c:spPr>
          <c:cat>
            <c:strRef>
              <c:f>'2.2_día, franja horaria'!$A$34:$A$45</c:f>
            </c:strRef>
          </c:cat>
          <c:val>
            <c:numRef>
              <c:f>'2.2_día, franja horaria'!$D$34:$D$45</c:f>
              <c:numCache/>
            </c:numRef>
          </c:val>
        </c:ser>
        <c:ser>
          <c:idx val="3"/>
          <c:order val="3"/>
          <c:tx>
            <c:strRef>
              <c:f>'2.2_día, franja horaria'!$E$32:$E$33</c:f>
            </c:strRef>
          </c:tx>
          <c:spPr>
            <a:solidFill>
              <a:schemeClr val="accent4"/>
            </a:solidFill>
            <a:ln cmpd="sng">
              <a:solidFill>
                <a:srgbClr val="000000"/>
              </a:solidFill>
            </a:ln>
          </c:spPr>
          <c:cat>
            <c:strRef>
              <c:f>'2.2_día, franja horaria'!$A$34:$A$45</c:f>
            </c:strRef>
          </c:cat>
          <c:val>
            <c:numRef>
              <c:f>'2.2_día, franja horaria'!$E$34:$E$45</c:f>
              <c:numCache/>
            </c:numRef>
          </c:val>
        </c:ser>
        <c:ser>
          <c:idx val="4"/>
          <c:order val="4"/>
          <c:tx>
            <c:strRef>
              <c:f>'2.2_día, franja horaria'!$F$32:$F$33</c:f>
            </c:strRef>
          </c:tx>
          <c:spPr>
            <a:solidFill>
              <a:schemeClr val="accent5"/>
            </a:solidFill>
            <a:ln cmpd="sng">
              <a:solidFill>
                <a:srgbClr val="000000"/>
              </a:solidFill>
            </a:ln>
          </c:spPr>
          <c:cat>
            <c:strRef>
              <c:f>'2.2_día, franja horaria'!$A$34:$A$45</c:f>
            </c:strRef>
          </c:cat>
          <c:val>
            <c:numRef>
              <c:f>'2.2_día, franja horaria'!$F$34:$F$45</c:f>
              <c:numCache/>
            </c:numRef>
          </c:val>
        </c:ser>
        <c:ser>
          <c:idx val="5"/>
          <c:order val="5"/>
          <c:tx>
            <c:strRef>
              <c:f>'2.2_día, franja horaria'!$G$32:$G$33</c:f>
            </c:strRef>
          </c:tx>
          <c:spPr>
            <a:solidFill>
              <a:schemeClr val="accent6"/>
            </a:solidFill>
            <a:ln cmpd="sng">
              <a:solidFill>
                <a:srgbClr val="000000"/>
              </a:solidFill>
            </a:ln>
          </c:spPr>
          <c:cat>
            <c:strRef>
              <c:f>'2.2_día, franja horaria'!$A$34:$A$45</c:f>
            </c:strRef>
          </c:cat>
          <c:val>
            <c:numRef>
              <c:f>'2.2_día, franja horaria'!$G$34:$G$45</c:f>
              <c:numCache/>
            </c:numRef>
          </c:val>
        </c:ser>
        <c:ser>
          <c:idx val="6"/>
          <c:order val="6"/>
          <c:tx>
            <c:strRef>
              <c:f>'2.2_día, franja horaria'!$H$32:$H$33</c:f>
            </c:strRef>
          </c:tx>
          <c:spPr>
            <a:solidFill>
              <a:schemeClr val="accent1">
                <a:lumOff val="30000"/>
              </a:schemeClr>
            </a:solidFill>
            <a:ln cmpd="sng">
              <a:solidFill>
                <a:srgbClr val="000000"/>
              </a:solidFill>
            </a:ln>
          </c:spPr>
          <c:cat>
            <c:strRef>
              <c:f>'2.2_día, franja horaria'!$A$34:$A$45</c:f>
            </c:strRef>
          </c:cat>
          <c:val>
            <c:numRef>
              <c:f>'2.2_día, franja horaria'!$H$34:$H$45</c:f>
              <c:numCache/>
            </c:numRef>
          </c:val>
        </c:ser>
        <c:axId val="645715216"/>
        <c:axId val="569933134"/>
      </c:barChart>
      <c:catAx>
        <c:axId val="6457152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mes_num.</a:t>
                </a:r>
              </a:p>
            </c:rich>
          </c:tx>
          <c:overlay val="0"/>
        </c:title>
        <c:numFmt formatCode="General" sourceLinked="1"/>
        <c:majorTickMark val="none"/>
        <c:minorTickMark val="none"/>
        <c:spPr/>
        <c:txPr>
          <a:bodyPr/>
          <a:lstStyle/>
          <a:p>
            <a:pPr lvl="0">
              <a:defRPr b="0">
                <a:solidFill>
                  <a:srgbClr val="000000"/>
                </a:solidFill>
                <a:latin typeface="+mn-lt"/>
              </a:defRPr>
            </a:pPr>
          </a:p>
        </c:txPr>
        <c:crossAx val="569933134"/>
      </c:catAx>
      <c:valAx>
        <c:axId val="5699331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45715216"/>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MODA DE CATEGORÍA POR DÍA DE SEMANA</a:t>
            </a:r>
          </a:p>
        </c:rich>
      </c:tx>
      <c:overlay val="0"/>
    </c:title>
    <c:plotArea>
      <c:layout/>
      <c:barChart>
        <c:barDir val="col"/>
        <c:ser>
          <c:idx val="0"/>
          <c:order val="0"/>
          <c:tx>
            <c:strRef>
              <c:f>'2.2_día, franja horaria'!$B$58:$B$59</c:f>
            </c:strRef>
          </c:tx>
          <c:spPr>
            <a:solidFill>
              <a:schemeClr val="accent1"/>
            </a:solidFill>
            <a:ln cmpd="sng">
              <a:solidFill>
                <a:srgbClr val="000000"/>
              </a:solidFill>
            </a:ln>
          </c:spPr>
          <c:cat>
            <c:strRef>
              <c:f>'2.2_día, franja horaria'!$A$60:$A$66</c:f>
            </c:strRef>
          </c:cat>
          <c:val>
            <c:numRef>
              <c:f>'2.2_día, franja horaria'!$B$60:$B$66</c:f>
              <c:numCache/>
            </c:numRef>
          </c:val>
        </c:ser>
        <c:ser>
          <c:idx val="1"/>
          <c:order val="1"/>
          <c:tx>
            <c:strRef>
              <c:f>'2.2_día, franja horaria'!$C$58:$C$59</c:f>
            </c:strRef>
          </c:tx>
          <c:spPr>
            <a:solidFill>
              <a:schemeClr val="accent2"/>
            </a:solidFill>
            <a:ln cmpd="sng">
              <a:solidFill>
                <a:srgbClr val="000000"/>
              </a:solidFill>
            </a:ln>
          </c:spPr>
          <c:cat>
            <c:strRef>
              <c:f>'2.2_día, franja horaria'!$A$60:$A$66</c:f>
            </c:strRef>
          </c:cat>
          <c:val>
            <c:numRef>
              <c:f>'2.2_día, franja horaria'!$C$60:$C$66</c:f>
              <c:numCache/>
            </c:numRef>
          </c:val>
        </c:ser>
        <c:ser>
          <c:idx val="2"/>
          <c:order val="2"/>
          <c:tx>
            <c:strRef>
              <c:f>'2.2_día, franja horaria'!$D$58:$D$59</c:f>
            </c:strRef>
          </c:tx>
          <c:spPr>
            <a:solidFill>
              <a:schemeClr val="accent3"/>
            </a:solidFill>
            <a:ln cmpd="sng">
              <a:solidFill>
                <a:srgbClr val="000000"/>
              </a:solidFill>
            </a:ln>
          </c:spPr>
          <c:cat>
            <c:strRef>
              <c:f>'2.2_día, franja horaria'!$A$60:$A$66</c:f>
            </c:strRef>
          </c:cat>
          <c:val>
            <c:numRef>
              <c:f>'2.2_día, franja horaria'!$D$60:$D$66</c:f>
              <c:numCache/>
            </c:numRef>
          </c:val>
        </c:ser>
        <c:ser>
          <c:idx val="3"/>
          <c:order val="3"/>
          <c:tx>
            <c:strRef>
              <c:f>'2.2_día, franja horaria'!$E$58:$E$59</c:f>
            </c:strRef>
          </c:tx>
          <c:spPr>
            <a:solidFill>
              <a:schemeClr val="accent4"/>
            </a:solidFill>
            <a:ln cmpd="sng">
              <a:solidFill>
                <a:srgbClr val="000000"/>
              </a:solidFill>
            </a:ln>
          </c:spPr>
          <c:cat>
            <c:strRef>
              <c:f>'2.2_día, franja horaria'!$A$60:$A$66</c:f>
            </c:strRef>
          </c:cat>
          <c:val>
            <c:numRef>
              <c:f>'2.2_día, franja horaria'!$E$60:$E$66</c:f>
              <c:numCache/>
            </c:numRef>
          </c:val>
        </c:ser>
        <c:ser>
          <c:idx val="4"/>
          <c:order val="4"/>
          <c:tx>
            <c:strRef>
              <c:f>'2.2_día, franja horaria'!$F$58:$F$59</c:f>
            </c:strRef>
          </c:tx>
          <c:spPr>
            <a:solidFill>
              <a:schemeClr val="accent5"/>
            </a:solidFill>
            <a:ln cmpd="sng">
              <a:solidFill>
                <a:srgbClr val="000000"/>
              </a:solidFill>
            </a:ln>
          </c:spPr>
          <c:cat>
            <c:strRef>
              <c:f>'2.2_día, franja horaria'!$A$60:$A$66</c:f>
            </c:strRef>
          </c:cat>
          <c:val>
            <c:numRef>
              <c:f>'2.2_día, franja horaria'!$F$60:$F$66</c:f>
              <c:numCache/>
            </c:numRef>
          </c:val>
        </c:ser>
        <c:ser>
          <c:idx val="5"/>
          <c:order val="5"/>
          <c:tx>
            <c:strRef>
              <c:f>'2.2_día, franja horaria'!$G$58:$G$59</c:f>
            </c:strRef>
          </c:tx>
          <c:spPr>
            <a:solidFill>
              <a:schemeClr val="accent6"/>
            </a:solidFill>
            <a:ln cmpd="sng">
              <a:solidFill>
                <a:srgbClr val="000000"/>
              </a:solidFill>
            </a:ln>
          </c:spPr>
          <c:cat>
            <c:strRef>
              <c:f>'2.2_día, franja horaria'!$A$60:$A$66</c:f>
            </c:strRef>
          </c:cat>
          <c:val>
            <c:numRef>
              <c:f>'2.2_día, franja horaria'!$G$60:$G$66</c:f>
              <c:numCache/>
            </c:numRef>
          </c:val>
        </c:ser>
        <c:ser>
          <c:idx val="6"/>
          <c:order val="6"/>
          <c:tx>
            <c:strRef>
              <c:f>'2.2_día, franja horaria'!$H$58:$H$59</c:f>
            </c:strRef>
          </c:tx>
          <c:spPr>
            <a:solidFill>
              <a:schemeClr val="accent1">
                <a:lumOff val="30000"/>
              </a:schemeClr>
            </a:solidFill>
            <a:ln cmpd="sng">
              <a:solidFill>
                <a:srgbClr val="000000"/>
              </a:solidFill>
            </a:ln>
          </c:spPr>
          <c:cat>
            <c:strRef>
              <c:f>'2.2_día, franja horaria'!$A$60:$A$66</c:f>
            </c:strRef>
          </c:cat>
          <c:val>
            <c:numRef>
              <c:f>'2.2_día, franja horaria'!$H$60:$H$66</c:f>
              <c:numCache/>
            </c:numRef>
          </c:val>
        </c:ser>
        <c:axId val="385491243"/>
        <c:axId val="1790837349"/>
      </c:barChart>
      <c:catAx>
        <c:axId val="3854912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dia_semana</a:t>
                </a:r>
              </a:p>
            </c:rich>
          </c:tx>
          <c:overlay val="0"/>
        </c:title>
        <c:numFmt formatCode="General" sourceLinked="1"/>
        <c:majorTickMark val="none"/>
        <c:minorTickMark val="none"/>
        <c:spPr/>
        <c:txPr>
          <a:bodyPr/>
          <a:lstStyle/>
          <a:p>
            <a:pPr lvl="0">
              <a:defRPr b="0">
                <a:solidFill>
                  <a:srgbClr val="000000"/>
                </a:solidFill>
                <a:latin typeface="+mn-lt"/>
              </a:defRPr>
            </a:pPr>
          </a:p>
        </c:txPr>
        <c:crossAx val="1790837349"/>
      </c:catAx>
      <c:valAx>
        <c:axId val="17908373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85491243"/>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Media de días de préstamo de libros</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Lbls>
            <c:showLegendKey val="0"/>
            <c:showVal val="1"/>
            <c:showCatName val="0"/>
            <c:showSerName val="0"/>
            <c:showPercent val="0"/>
            <c:showBubbleSize val="0"/>
            <c:showLeaderLines val="1"/>
          </c:dLbls>
          <c:cat>
            <c:strRef>
              <c:f>'3_entregados fuera del plazo'!$F$4:$F$10</c:f>
            </c:strRef>
          </c:cat>
          <c:val>
            <c:numRef>
              <c:f>'3_entregados fuera del plazo'!$G$4:$G$10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Porcentaje de libros entregados fuera del plazo</a:t>
            </a:r>
          </a:p>
        </c:rich>
      </c:tx>
      <c:overlay val="0"/>
    </c:title>
    <c:plotArea>
      <c:layout/>
      <c:barChart>
        <c:barDir val="col"/>
        <c:ser>
          <c:idx val="0"/>
          <c:order val="0"/>
          <c:tx>
            <c:strRef>
              <c:f>'3_entregados fuera del plazo'!$A$39</c:f>
            </c:strRef>
          </c:tx>
          <c:spPr>
            <a:solidFill>
              <a:schemeClr val="accent1"/>
            </a:solidFill>
            <a:ln cmpd="sng">
              <a:solidFill>
                <a:srgbClr val="000000"/>
              </a:solidFill>
            </a:ln>
          </c:spPr>
          <c:cat>
            <c:strRef>
              <c:f>'3_entregados fuera del plazo'!$B$37:$K$37</c:f>
            </c:strRef>
          </c:cat>
          <c:val>
            <c:numRef>
              <c:f>'3_entregados fuera del plazo'!$B$39:$K$39</c:f>
              <c:numCache/>
            </c:numRef>
          </c:val>
        </c:ser>
        <c:ser>
          <c:idx val="1"/>
          <c:order val="1"/>
          <c:tx>
            <c:strRef>
              <c:f>'3_entregados fuera del plazo'!$A$40</c:f>
            </c:strRef>
          </c:tx>
          <c:spPr>
            <a:solidFill>
              <a:schemeClr val="accent2"/>
            </a:solidFill>
            <a:ln cmpd="sng">
              <a:solidFill>
                <a:srgbClr val="000000"/>
              </a:solidFill>
            </a:ln>
          </c:spPr>
          <c:cat>
            <c:strRef>
              <c:f>'3_entregados fuera del plazo'!$B$37:$K$37</c:f>
            </c:strRef>
          </c:cat>
          <c:val>
            <c:numRef>
              <c:f>'3_entregados fuera del plazo'!$B$40:$K$40</c:f>
              <c:numCache/>
            </c:numRef>
          </c:val>
        </c:ser>
        <c:ser>
          <c:idx val="2"/>
          <c:order val="2"/>
          <c:tx>
            <c:strRef>
              <c:f>'3_entregados fuera del plazo'!$A$41</c:f>
            </c:strRef>
          </c:tx>
          <c:spPr>
            <a:solidFill>
              <a:schemeClr val="accent3"/>
            </a:solidFill>
            <a:ln cmpd="sng">
              <a:solidFill>
                <a:srgbClr val="000000"/>
              </a:solidFill>
            </a:ln>
          </c:spPr>
          <c:cat>
            <c:strRef>
              <c:f>'3_entregados fuera del plazo'!$B$37:$K$37</c:f>
            </c:strRef>
          </c:cat>
          <c:val>
            <c:numRef>
              <c:f>'3_entregados fuera del plazo'!$B$41:$K$41</c:f>
              <c:numCache/>
            </c:numRef>
          </c:val>
        </c:ser>
        <c:ser>
          <c:idx val="3"/>
          <c:order val="3"/>
          <c:tx>
            <c:strRef>
              <c:f>'3_entregados fuera del plazo'!$A$42</c:f>
            </c:strRef>
          </c:tx>
          <c:spPr>
            <a:solidFill>
              <a:schemeClr val="accent4"/>
            </a:solidFill>
            <a:ln cmpd="sng">
              <a:solidFill>
                <a:srgbClr val="000000"/>
              </a:solidFill>
            </a:ln>
          </c:spPr>
          <c:cat>
            <c:strRef>
              <c:f>'3_entregados fuera del plazo'!$B$37:$K$37</c:f>
            </c:strRef>
          </c:cat>
          <c:val>
            <c:numRef>
              <c:f>'3_entregados fuera del plazo'!$B$42:$K$42</c:f>
              <c:numCache/>
            </c:numRef>
          </c:val>
        </c:ser>
        <c:ser>
          <c:idx val="4"/>
          <c:order val="4"/>
          <c:tx>
            <c:strRef>
              <c:f>'3_entregados fuera del plazo'!$A$43</c:f>
            </c:strRef>
          </c:tx>
          <c:cat>
            <c:strRef>
              <c:f>'3_entregados fuera del plazo'!$B$37:$K$37</c:f>
            </c:strRef>
          </c:cat>
          <c:val>
            <c:numRef>
              <c:f>'3_entregados fuera del plazo'!$B$43:$K$43</c:f>
              <c:numCache/>
            </c:numRef>
          </c:val>
        </c:ser>
        <c:ser>
          <c:idx val="5"/>
          <c:order val="5"/>
          <c:tx>
            <c:strRef>
              <c:f>'3_entregados fuera del plazo'!$A$44</c:f>
            </c:strRef>
          </c:tx>
          <c:cat>
            <c:strRef>
              <c:f>'3_entregados fuera del plazo'!$B$37:$K$37</c:f>
            </c:strRef>
          </c:cat>
          <c:val>
            <c:numRef>
              <c:f>'3_entregados fuera del plazo'!$B$44:$K$44</c:f>
              <c:numCache/>
            </c:numRef>
          </c:val>
        </c:ser>
        <c:axId val="183220987"/>
        <c:axId val="1354028334"/>
      </c:barChart>
      <c:catAx>
        <c:axId val="1832209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54028334"/>
      </c:catAx>
      <c:valAx>
        <c:axId val="13540283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3220987"/>
      </c:valAx>
    </c:plotArea>
    <c:legend>
      <c:legendPos val="b"/>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Porcentaje de géneros que se entregan fuera de plazo.</a:t>
            </a:r>
          </a:p>
        </c:rich>
      </c:tx>
      <c:overlay val="0"/>
    </c:title>
    <c:view3D>
      <c:rotX val="50"/>
      <c:perspective val="0"/>
    </c:view3D>
    <c:plotArea>
      <c:layout/>
      <c:doughnutChart>
        <c:varyColors val="1"/>
        <c:ser>
          <c:idx val="0"/>
          <c:order val="0"/>
          <c:tx>
            <c:strRef>
              <c:f>'3_entregados fuera del plazo'!$L$36</c:f>
            </c:strRef>
          </c:tx>
          <c:dPt>
            <c:idx val="0"/>
            <c:spPr>
              <a:solidFill>
                <a:schemeClr val="accent6"/>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dPt>
          <c:dLbls>
            <c:showLegendKey val="0"/>
            <c:showVal val="1"/>
            <c:showCatName val="0"/>
            <c:showSerName val="0"/>
            <c:showPercent val="0"/>
            <c:showBubbleSize val="0"/>
            <c:showLeaderLines val="1"/>
          </c:dLbls>
          <c:cat>
            <c:strRef>
              <c:f>'3_entregados fuera del plazo'!$M$37:$M$44</c:f>
            </c:strRef>
          </c:cat>
          <c:val>
            <c:numRef>
              <c:f>'3_entregados fuera del plazo'!$L$37:$L$44</c:f>
              <c:numCache/>
            </c:numRef>
          </c:val>
        </c:ser>
        <c:dLbls>
          <c:showLegendKey val="0"/>
          <c:showVal val="0"/>
          <c:showCatName val="0"/>
          <c:showSerName val="0"/>
          <c:showPercent val="0"/>
          <c:showBubbleSize val="0"/>
        </c:dLbls>
        <c:holeSize val="50"/>
      </c:doughnutChart>
    </c:plotArea>
    <c:legend>
      <c:legendPos val="b"/>
      <c:overlay val="0"/>
      <c:txPr>
        <a:bodyPr/>
        <a:lstStyle/>
        <a:p>
          <a:pPr lvl="0">
            <a:defRPr b="0">
              <a:solidFill>
                <a:srgbClr val="1A1A1A"/>
              </a:solidFill>
              <a:latin typeface="Roboto"/>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Devuelto a tiempo</a:t>
            </a:r>
          </a:p>
        </c:rich>
      </c:tx>
      <c:overlay val="0"/>
    </c:title>
    <c:plotArea>
      <c:layout/>
      <c:barChart>
        <c:barDir val="bar"/>
        <c:ser>
          <c:idx val="0"/>
          <c:order val="0"/>
          <c:tx>
            <c:strRef>
              <c:f>Cheyenne!$N$4:$N$5</c:f>
            </c:strRef>
          </c:tx>
          <c:spPr>
            <a:solidFill>
              <a:schemeClr val="accent1"/>
            </a:solidFill>
            <a:ln cmpd="sng">
              <a:solidFill>
                <a:srgbClr val="000000"/>
              </a:solidFill>
            </a:ln>
          </c:spPr>
          <c:cat>
            <c:strRef>
              <c:f>Cheyenne!$M$6:$M$12</c:f>
            </c:strRef>
          </c:cat>
          <c:val>
            <c:numRef>
              <c:f>Cheyenne!$N$6:$N$12</c:f>
              <c:numCache/>
            </c:numRef>
          </c:val>
        </c:ser>
        <c:ser>
          <c:idx val="1"/>
          <c:order val="1"/>
          <c:tx>
            <c:strRef>
              <c:f>Cheyenne!$O$4:$O$5</c:f>
            </c:strRef>
          </c:tx>
          <c:spPr>
            <a:solidFill>
              <a:schemeClr val="accent2"/>
            </a:solidFill>
            <a:ln cmpd="sng">
              <a:solidFill>
                <a:srgbClr val="000000"/>
              </a:solidFill>
            </a:ln>
          </c:spPr>
          <c:cat>
            <c:strRef>
              <c:f>Cheyenne!$M$6:$M$12</c:f>
            </c:strRef>
          </c:cat>
          <c:val>
            <c:numRef>
              <c:f>Cheyenne!$O$6:$O$12</c:f>
              <c:numCache/>
            </c:numRef>
          </c:val>
        </c:ser>
        <c:axId val="114018298"/>
        <c:axId val="211807230"/>
      </c:barChart>
      <c:catAx>
        <c:axId val="11401829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categoria_libro</a:t>
                </a:r>
              </a:p>
            </c:rich>
          </c:tx>
          <c:overlay val="0"/>
        </c:title>
        <c:numFmt formatCode="General" sourceLinked="1"/>
        <c:majorTickMark val="none"/>
        <c:minorTickMark val="none"/>
        <c:spPr/>
        <c:txPr>
          <a:bodyPr/>
          <a:lstStyle/>
          <a:p>
            <a:pPr lvl="0">
              <a:defRPr b="0">
                <a:solidFill>
                  <a:srgbClr val="000000"/>
                </a:solidFill>
                <a:latin typeface="+mn-lt"/>
              </a:defRPr>
            </a:pPr>
          </a:p>
        </c:txPr>
        <c:crossAx val="211807230"/>
      </c:catAx>
      <c:valAx>
        <c:axId val="21180723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4018298"/>
        <c:crosses val="max"/>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a:solidFill>
                  <a:srgbClr val="666666"/>
                </a:solidFill>
                <a:latin typeface="+mn-lt"/>
              </a:defRPr>
            </a:pPr>
            <a:r>
              <a:rPr b="1" i="1">
                <a:solidFill>
                  <a:srgbClr val="666666"/>
                </a:solidFill>
                <a:latin typeface="+mn-lt"/>
              </a:rPr>
              <a:t>Descuadres en las duraciones de devolución</a:t>
            </a:r>
          </a:p>
        </c:rich>
      </c:tx>
      <c:overlay val="0"/>
    </c:title>
    <c:plotArea>
      <c:layout/>
      <c:barChart>
        <c:barDir val="col"/>
        <c:ser>
          <c:idx val="0"/>
          <c:order val="0"/>
          <c:tx>
            <c:v>devuelto a tiempo, MAX días</c:v>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'Tablas dinamicas'!$Q$29:$Q$35</c:f>
            </c:strRef>
          </c:cat>
          <c:val>
            <c:numRef>
              <c:f>'Tablas dinamicas'!$S$29:$S$35</c:f>
              <c:numCache/>
            </c:numRef>
          </c:val>
        </c:ser>
        <c:ser>
          <c:idx val="1"/>
          <c:order val="1"/>
          <c:tx>
            <c:v>NO devuleto a tiempo, MIN días</c:v>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'Tablas dinamicas'!$Q$29:$Q$35</c:f>
            </c:strRef>
          </c:cat>
          <c:val>
            <c:numRef>
              <c:f>'Tablas dinamicas'!$T$29:$T$35</c:f>
              <c:numCache/>
            </c:numRef>
          </c:val>
        </c:ser>
        <c:axId val="1051687422"/>
        <c:axId val="2095542630"/>
      </c:barChart>
      <c:catAx>
        <c:axId val="10516874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categoria_libro</a:t>
                </a:r>
              </a:p>
            </c:rich>
          </c:tx>
          <c:overlay val="0"/>
        </c:title>
        <c:numFmt formatCode="General" sourceLinked="1"/>
        <c:majorTickMark val="none"/>
        <c:minorTickMark val="none"/>
        <c:spPr/>
        <c:txPr>
          <a:bodyPr/>
          <a:lstStyle/>
          <a:p>
            <a:pPr lvl="0">
              <a:defRPr b="0">
                <a:solidFill>
                  <a:srgbClr val="000000"/>
                </a:solidFill>
                <a:latin typeface="+mn-lt"/>
              </a:defRPr>
            </a:pPr>
          </a:p>
        </c:txPr>
        <c:crossAx val="2095542630"/>
      </c:catAx>
      <c:valAx>
        <c:axId val="20955426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días de duración de préstamo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51687422"/>
      </c:valAx>
    </c:plotArea>
    <c:legend>
      <c:legendPos val="b"/>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image" Target="../media/Chart10.png"/><Relationship Id="rId3"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 Id="rId3" Type="http://schemas.openxmlformats.org/officeDocument/2006/relationships/chart" Target="../charts/chart13.xml"/><Relationship Id="rId4"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47625</xdr:colOff>
      <xdr:row>0</xdr:row>
      <xdr:rowOff>9525</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238125</xdr:colOff>
      <xdr:row>2</xdr:row>
      <xdr:rowOff>180975</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19050</xdr:colOff>
      <xdr:row>0</xdr:row>
      <xdr:rowOff>104775</xdr:rowOff>
    </xdr:from>
    <xdr:ext cx="6753225"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23</xdr:col>
      <xdr:colOff>762000</xdr:colOff>
      <xdr:row>19</xdr:row>
      <xdr:rowOff>95250</xdr:rowOff>
    </xdr:from>
    <xdr:ext cx="6457950" cy="3533775"/>
    <xdr:graphicFrame>
      <xdr:nvGraphicFramePr>
        <xdr:cNvPr id="4" name="Chart 4"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25</xdr:col>
      <xdr:colOff>57150</xdr:colOff>
      <xdr:row>0</xdr:row>
      <xdr:rowOff>47625</xdr:rowOff>
    </xdr:from>
    <xdr:ext cx="5715000" cy="3533775"/>
    <xdr:graphicFrame>
      <xdr:nvGraphicFramePr>
        <xdr:cNvPr id="5" name="Chart 5" title="Диаграмма"/>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171450</xdr:rowOff>
    </xdr:from>
    <xdr:ext cx="6753225" cy="3533775"/>
    <xdr:graphicFrame>
      <xdr:nvGraphicFramePr>
        <xdr:cNvPr descr="Al analizar el volumen de préstamos, se observan tres tendencias principales:&#10;&#10;Liderazgo de Ficción: Es el género más popular (39.46%), con una fuerte presencia tanto en español como en inglés y catalán.&#10;&#10;Predominancia del Español: El 80.08% de los libros prestados son en español, destacando especialmente en las categorías de ficción, infantil y cómic.&#10;&#10;Segundos Segmentos: El género infantil ocupa el segundo lugar de relevancia con un 21.07%, seguido por el cómic con un 13.41%" id="6" name="Chart 6"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0</xdr:colOff>
      <xdr:row>22</xdr:row>
      <xdr:rowOff>190500</xdr:rowOff>
    </xdr:from>
    <xdr:ext cx="6753225" cy="4257675"/>
    <xdr:graphicFrame>
      <xdr:nvGraphicFramePr>
        <xdr:cNvPr id="7" name="Chart 7"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962025</xdr:colOff>
      <xdr:row>0</xdr:row>
      <xdr:rowOff>200025</xdr:rowOff>
    </xdr:from>
    <xdr:ext cx="6896100" cy="4267200"/>
    <xdr:graphicFrame>
      <xdr:nvGraphicFramePr>
        <xdr:cNvPr id="8" name="Chart 8"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30</xdr:row>
      <xdr:rowOff>190500</xdr:rowOff>
    </xdr:from>
    <xdr:ext cx="7543800" cy="3943350"/>
    <xdr:graphicFrame>
      <xdr:nvGraphicFramePr>
        <xdr:cNvPr id="9" name="Chart 9"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714375</xdr:colOff>
      <xdr:row>1</xdr:row>
      <xdr:rowOff>171450</xdr:rowOff>
    </xdr:from>
    <xdr:ext cx="7543800" cy="4181475"/>
    <xdr:pic>
      <xdr:nvPicPr>
        <xdr:cNvPr id="311781296" name="Chart10"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55</xdr:row>
      <xdr:rowOff>200025</xdr:rowOff>
    </xdr:from>
    <xdr:ext cx="7543800" cy="4181475"/>
    <xdr:graphicFrame>
      <xdr:nvGraphicFramePr>
        <xdr:cNvPr id="11" name="Chart 11" title="Gráfico"/>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676275</xdr:colOff>
      <xdr:row>1</xdr:row>
      <xdr:rowOff>190500</xdr:rowOff>
    </xdr:from>
    <xdr:ext cx="4448175" cy="2971800"/>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676275</xdr:colOff>
      <xdr:row>33</xdr:row>
      <xdr:rowOff>190500</xdr:rowOff>
    </xdr:from>
    <xdr:ext cx="4448175" cy="2600325"/>
    <xdr:graphicFrame>
      <xdr:nvGraphicFramePr>
        <xdr:cNvPr id="13" name="Chart 1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14</xdr:col>
      <xdr:colOff>685800</xdr:colOff>
      <xdr:row>48</xdr:row>
      <xdr:rowOff>200025</xdr:rowOff>
    </xdr:from>
    <xdr:ext cx="4448175" cy="2971800"/>
    <xdr:graphicFrame>
      <xdr:nvGraphicFramePr>
        <xdr:cNvPr id="14" name="Chart 14"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14</xdr:col>
      <xdr:colOff>676275</xdr:colOff>
      <xdr:row>17</xdr:row>
      <xdr:rowOff>190500</xdr:rowOff>
    </xdr:from>
    <xdr:ext cx="4448175" cy="2514600"/>
    <xdr:graphicFrame>
      <xdr:nvGraphicFramePr>
        <xdr:cNvPr id="15" name="Chart 15" title="Gráfico"/>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0</xdr:row>
      <xdr:rowOff>190500</xdr:rowOff>
    </xdr:from>
    <xdr:ext cx="6705600" cy="3667125"/>
    <xdr:graphicFrame>
      <xdr:nvGraphicFramePr>
        <xdr:cNvPr id="16" name="Chart 16"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gata Szlufcik" id="{9486bb53-950f-4229-bea3-9afbdc747a9d}" providerId="google-sheets"/>
  <x18tc:person displayName="Cheyenne Castro González" id="{1c05e832-00d1-4b85-bf91-14de051ebfa8}"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262" sheet="Alex"/>
  </cacheSource>
  <cacheFields>
    <cacheField name="fecha_prestamo" numFmtId="164">
      <sharedItems containsSemiMixedTypes="0" containsDate="1" containsString="0">
        <d v="2025-01-03T00:00:00Z"/>
        <d v="2025-01-05T00:00:00Z"/>
        <d v="2025-01-06T00:00:00Z"/>
        <d v="2025-01-07T00:00:00Z"/>
        <d v="2025-01-08T00:00:00Z"/>
        <d v="2025-01-09T00:00:00Z"/>
        <d v="2025-01-10T00:00:00Z"/>
        <d v="2025-01-11T00:00:00Z"/>
        <d v="2025-01-12T00:00:00Z"/>
        <d v="2025-01-13T00:00:00Z"/>
        <d v="2025-01-14T00:00:00Z"/>
        <d v="2025-01-15T00:00:00Z"/>
        <d v="2025-01-16T00:00:00Z"/>
        <d v="2025-01-17T00:00:00Z"/>
        <d v="2025-01-18T00:00:00Z"/>
        <d v="2025-01-19T00:00:00Z"/>
        <d v="2025-01-20T00:00:00Z"/>
        <d v="2025-01-21T00:00:00Z"/>
        <d v="2025-01-22T00:00:00Z"/>
        <d v="2025-01-23T00:00:00Z"/>
        <d v="2025-01-24T00:00:00Z"/>
        <d v="2025-01-25T00:00:00Z"/>
        <d v="2025-01-26T00:00:00Z"/>
        <d v="2025-01-27T00:00:00Z"/>
        <d v="2025-01-28T00:00:00Z"/>
        <d v="2025-01-29T00:00:00Z"/>
        <d v="2025-01-30T00:00:00Z"/>
        <d v="2025-01-31T00:00:00Z"/>
        <d v="2025-02-01T00:00:00Z"/>
        <d v="2025-02-02T00:00:00Z"/>
        <d v="2025-02-03T00:00:00Z"/>
        <d v="2025-02-04T00:00:00Z"/>
        <d v="2025-02-05T00:00:00Z"/>
        <d v="2025-02-06T00:00:00Z"/>
        <d v="2025-02-07T00:00:00Z"/>
        <d v="2025-02-08T00:00:00Z"/>
        <d v="2025-02-09T00:00:00Z"/>
        <d v="2025-02-10T00:00:00Z"/>
        <d v="2025-02-11T00:00:00Z"/>
        <d v="2025-02-12T00:00:00Z"/>
        <d v="2025-02-13T00:00:00Z"/>
        <d v="2025-02-14T00:00:00Z"/>
        <d v="2025-02-15T00:00:00Z"/>
        <d v="2025-02-16T00:00:00Z"/>
        <d v="2025-02-17T00:00:00Z"/>
        <d v="2025-02-18T00:00:00Z"/>
        <d v="2025-02-19T00:00:00Z"/>
        <d v="2025-02-20T00:00:00Z"/>
        <d v="2025-02-21T00:00:00Z"/>
        <d v="2025-02-22T00:00:00Z"/>
        <d v="2025-02-23T00:00:00Z"/>
        <d v="2025-02-24T00:00:00Z"/>
        <d v="2025-02-25T00:00:00Z"/>
        <d v="2025-02-26T00:00:00Z"/>
        <d v="2025-02-27T00:00:00Z"/>
        <d v="2025-02-28T00:00:00Z"/>
        <d v="2025-03-01T00:00:00Z"/>
        <d v="2025-03-02T00:00:00Z"/>
        <d v="2025-03-03T00:00:00Z"/>
        <d v="2025-03-04T00:00:00Z"/>
        <d v="2025-03-05T00:00:00Z"/>
        <d v="2025-03-06T00:00:00Z"/>
        <d v="2025-03-07T00:00:00Z"/>
        <d v="2025-03-08T00:00:00Z"/>
        <d v="2025-03-09T00:00:00Z"/>
        <d v="2025-03-10T00:00:00Z"/>
        <d v="2025-03-11T00:00:00Z"/>
        <d v="2025-03-12T00:00:00Z"/>
        <d v="2025-03-13T00:00:00Z"/>
        <d v="2025-03-14T00:00:00Z"/>
        <d v="2025-03-15T00:00:00Z"/>
        <d v="2025-03-16T00:00:00Z"/>
        <d v="2025-03-17T00:00:00Z"/>
        <d v="2025-03-18T00:00:00Z"/>
        <d v="2025-03-19T00:00:00Z"/>
        <d v="2025-03-20T00:00:00Z"/>
        <d v="2025-03-21T00:00:00Z"/>
        <d v="2025-03-22T00:00:00Z"/>
        <d v="2025-03-23T00:00:00Z"/>
        <d v="2025-03-24T00:00:00Z"/>
        <d v="2025-03-25T00:00:00Z"/>
        <d v="2025-03-26T00:00:00Z"/>
        <d v="2025-03-27T00:00:00Z"/>
        <d v="2025-03-28T00:00:00Z"/>
        <d v="2025-03-29T00:00:00Z"/>
        <d v="2025-03-30T00:00:00Z"/>
        <d v="2025-03-31T00:00:00Z"/>
        <d v="2025-04-01T00:00:00Z"/>
        <d v="2025-04-02T00:00:00Z"/>
        <d v="2025-04-03T00:00:00Z"/>
        <d v="2025-04-04T00:00:00Z"/>
        <d v="2025-04-05T00:00:00Z"/>
        <d v="2025-04-06T00:00:00Z"/>
        <d v="2025-04-07T00:00:00Z"/>
        <d v="2025-04-08T00:00:00Z"/>
        <d v="2025-04-09T00:00:00Z"/>
        <d v="2025-04-10T00:00:00Z"/>
        <d v="2025-04-11T00:00:00Z"/>
        <d v="2025-04-12T00:00:00Z"/>
        <d v="2025-04-13T00:00:00Z"/>
        <d v="2025-04-14T00:00:00Z"/>
        <d v="2025-04-15T00:00:00Z"/>
        <d v="2025-04-16T00:00:00Z"/>
        <d v="2025-04-17T00:00:00Z"/>
        <d v="2025-04-18T00:00:00Z"/>
        <d v="2025-04-19T00:00:00Z"/>
        <d v="2025-04-20T00:00:00Z"/>
        <d v="2025-04-21T00:00:00Z"/>
        <d v="2025-04-22T00:00:00Z"/>
        <d v="2025-04-23T00:00:00Z"/>
        <d v="2025-04-24T00:00:00Z"/>
        <d v="2025-04-25T00:00:00Z"/>
        <d v="2025-04-26T00:00:00Z"/>
        <d v="2025-04-27T00:00:00Z"/>
        <d v="2025-04-28T00:00:00Z"/>
        <d v="2025-04-29T00:00:00Z"/>
        <d v="2025-04-30T00:00:00Z"/>
        <d v="2025-05-01T00:00:00Z"/>
        <d v="2025-05-02T00:00:00Z"/>
        <d v="2025-05-03T00:00:00Z"/>
        <d v="2025-05-04T00:00:00Z"/>
        <d v="2025-05-05T00:00:00Z"/>
        <d v="2025-05-06T00:00:00Z"/>
        <d v="2025-05-07T00:00:00Z"/>
        <d v="2025-05-08T00:00:00Z"/>
        <d v="2025-05-09T00:00:00Z"/>
        <d v="2025-05-10T00:00:00Z"/>
        <d v="2025-05-11T00:00:00Z"/>
        <d v="2025-05-12T00:00:00Z"/>
        <d v="2025-05-13T00:00:00Z"/>
        <d v="2025-05-14T00:00:00Z"/>
        <d v="2025-05-15T00:00:00Z"/>
        <d v="2025-05-16T00:00:00Z"/>
        <d v="2025-05-17T00:00:00Z"/>
        <d v="2025-05-18T00:00:00Z"/>
        <d v="2025-05-19T00:00:00Z"/>
        <d v="2025-05-20T00:00:00Z"/>
        <d v="2025-05-21T00:00:00Z"/>
        <d v="2025-05-22T00:00:00Z"/>
        <d v="2025-05-23T00:00:00Z"/>
        <d v="2025-05-24T00:00:00Z"/>
        <d v="2025-05-25T00:00:00Z"/>
        <d v="2025-05-26T00:00:00Z"/>
        <d v="2025-05-27T00:00:00Z"/>
        <d v="2025-05-28T00:00:00Z"/>
        <d v="2025-05-29T00:00:00Z"/>
        <d v="2025-05-30T00:00:00Z"/>
        <d v="2025-05-31T00:00:00Z"/>
        <d v="2025-06-01T00:00:00Z"/>
        <d v="2025-06-03T00:00:00Z"/>
        <d v="2025-06-04T00:00:00Z"/>
        <d v="2025-06-06T00:00:00Z"/>
        <d v="2025-06-08T00:00:00Z"/>
        <d v="2025-06-10T00:00:00Z"/>
        <d v="2025-06-11T00:00:00Z"/>
        <d v="2025-06-13T00:00:00Z"/>
        <d v="2025-06-15T00:00:00Z"/>
        <d v="2025-06-17T00:00:00Z"/>
        <d v="2025-06-18T00:00:00Z"/>
        <d v="2025-06-20T00:00:00Z"/>
        <d v="2025-06-22T00:00:00Z"/>
        <d v="2025-06-24T00:00:00Z"/>
        <d v="2025-06-25T00:00:00Z"/>
        <d v="2025-06-27T00:00:00Z"/>
        <d v="2025-06-29T00:00:00Z"/>
        <d v="2025-07-01T00:00:00Z"/>
        <d v="2025-07-03T00:00:00Z"/>
        <d v="2025-07-06T00:00:00Z"/>
        <d v="2025-07-08T00:00:00Z"/>
        <d v="2025-07-10T00:00:00Z"/>
        <d v="2025-07-13T00:00:00Z"/>
        <d v="2025-07-15T00:00:00Z"/>
        <d v="2025-07-17T00:00:00Z"/>
        <d v="2025-07-20T00:00:00Z"/>
        <d v="2025-07-22T00:00:00Z"/>
        <d v="2025-07-24T00:00:00Z"/>
        <d v="2025-07-27T00:00:00Z"/>
        <d v="2025-07-29T00:00:00Z"/>
        <d v="2025-07-31T00:00:00Z"/>
        <d v="2025-08-03T00:00:00Z"/>
        <d v="2025-08-05T00:00:00Z"/>
        <d v="2025-08-07T00:00:00Z"/>
        <d v="2025-08-10T00:00:00Z"/>
        <d v="2025-08-12T00:00:00Z"/>
        <d v="2025-08-14T00:00:00Z"/>
        <d v="2025-08-17T00:00:00Z"/>
        <d v="2025-08-19T00:00:00Z"/>
        <d v="2025-08-21T00:00:00Z"/>
        <d v="2025-08-24T00:00:00Z"/>
        <d v="2025-08-26T00:00:00Z"/>
        <d v="2025-08-28T00:00:00Z"/>
        <d v="2025-08-31T00:00:00Z"/>
        <d v="2025-09-02T00:00:00Z"/>
        <d v="2025-09-03T00:00:00Z"/>
        <d v="2025-09-05T00:00:00Z"/>
        <d v="2025-09-07T00:00:00Z"/>
        <d v="2025-09-09T00:00:00Z"/>
        <d v="2025-09-10T00:00:00Z"/>
        <d v="2025-09-12T00:00:00Z"/>
        <d v="2025-09-14T00:00:00Z"/>
        <d v="2025-09-16T00:00:00Z"/>
        <d v="2025-09-17T00:00:00Z"/>
        <d v="2025-09-19T00:00:00Z"/>
        <d v="2025-09-21T00:00:00Z"/>
        <d v="2025-09-23T00:00:00Z"/>
        <d v="2025-09-24T00:00:00Z"/>
        <d v="2025-09-26T00:00:00Z"/>
        <d v="2025-09-28T00:00:00Z"/>
        <d v="2025-09-30T00:00:00Z"/>
        <d v="2025-10-01T00:00:00Z"/>
        <d v="2025-10-03T00:00:00Z"/>
        <d v="2025-10-05T00:00:00Z"/>
        <d v="2025-10-07T00:00:00Z"/>
        <d v="2025-10-08T00:00:00Z"/>
        <d v="2025-10-10T00:00:00Z"/>
        <d v="2025-10-12T00:00:00Z"/>
        <d v="2025-10-14T00:00:00Z"/>
        <d v="2025-10-15T00:00:00Z"/>
        <d v="2025-10-17T00:00:00Z"/>
        <d v="2025-10-19T00:00:00Z"/>
        <d v="2025-10-21T00:00:00Z"/>
        <d v="2025-10-22T00:00:00Z"/>
        <d v="2025-10-24T00:00:00Z"/>
        <d v="2025-10-26T00:00:00Z"/>
        <d v="2025-10-28T00:00:00Z"/>
        <d v="2025-10-29T00:00:00Z"/>
        <d v="2025-10-31T00:00:00Z"/>
        <d v="2025-11-02T00:00:00Z"/>
        <d v="2025-11-04T00:00:00Z"/>
        <d v="2025-11-05T00:00:00Z"/>
        <d v="2025-11-07T00:00:00Z"/>
        <d v="2025-11-09T00:00:00Z"/>
        <d v="2025-11-11T00:00:00Z"/>
        <d v="2025-11-12T00:00:00Z"/>
        <d v="2025-11-14T00:00:00Z"/>
        <d v="2025-11-16T00:00:00Z"/>
        <d v="2025-11-18T00:00:00Z"/>
        <d v="2025-11-19T00:00:00Z"/>
        <d v="2025-11-21T00:00:00Z"/>
        <d v="2025-11-23T00:00:00Z"/>
        <d v="2025-11-25T00:00:00Z"/>
        <d v="2025-11-26T00:00:00Z"/>
        <d v="2025-11-28T00:00:00Z"/>
        <d v="2025-11-30T00:00:00Z"/>
        <d v="2025-12-02T00:00:00Z"/>
        <d v="2025-12-03T00:00:00Z"/>
        <d v="2025-12-05T00:00:00Z"/>
        <d v="2025-12-07T00:00:00Z"/>
        <d v="2025-12-09T00:00:00Z"/>
        <d v="2025-12-10T00:00:00Z"/>
        <d v="2025-12-12T00:00:00Z"/>
        <d v="2025-12-14T00:00:00Z"/>
        <d v="2025-12-16T00:00:00Z"/>
        <d v="2025-12-17T00:00:00Z"/>
        <d v="2025-12-19T00:00:00Z"/>
        <d v="2025-12-21T00:00:00Z"/>
        <d v="2025-12-23T00:00:00Z"/>
        <d v="2025-12-24T00:00:00Z"/>
        <d v="2025-12-26T00:00:00Z"/>
        <d v="2025-12-28T00:00:00Z"/>
        <d v="2025-12-30T00:00:00Z"/>
      </sharedItems>
    </cacheField>
    <cacheField name="categoria libro" numFmtId="0">
      <sharedItems>
        <s v="ensayo"/>
        <s v="ficcion"/>
        <s v="infantil"/>
        <s v="comic"/>
        <s v="novela_grafica"/>
        <s v="poesia"/>
        <s v="divulgacion"/>
      </sharedItems>
    </cacheField>
    <cacheField name="idioma" numFmtId="49">
      <sharedItems>
        <s v="español"/>
        <s v="inglés"/>
        <s v="catalán"/>
      </sharedItems>
    </cacheField>
    <cacheField name="duracion_prestamo_dias" numFmtId="0">
      <sharedItems containsSemiMixedTypes="0" containsString="0" containsNumber="1" containsInteger="1">
        <n v="22.0"/>
        <n v="14.0"/>
        <n v="21.0"/>
        <n v="10.0"/>
        <n v="7.0"/>
        <n v="9.0"/>
        <n v="15.0"/>
        <n v="18.0"/>
        <n v="20.0"/>
        <n v="25.0"/>
        <n v="11.0"/>
        <n v="8.0"/>
        <n v="30.0"/>
        <n v="24.0"/>
        <n v="16.0"/>
        <n v="27.0"/>
        <n v="12.0"/>
        <n v="28.0"/>
        <n v="19.0"/>
        <n v="23.0"/>
        <n v="17.0"/>
        <n v="35.0"/>
        <n v="26.0"/>
      </sharedItems>
    </cacheField>
    <cacheField name="devuelto_a_tiempo" numFmtId="0">
      <sharedItems>
        <s v="si"/>
        <s v="no"/>
      </sharedItems>
    </cacheField>
    <cacheField name="franja_horaria" numFmtId="0">
      <sharedItems>
        <s v="tarde"/>
        <s v="mañana"/>
      </sharedItems>
    </cacheField>
    <cacheField name="mes" numFmtId="0">
      <sharedItems>
        <s v="enero"/>
        <s v="febrero"/>
        <s v="marzo"/>
        <s v="abril"/>
        <s v="mayo"/>
        <s v="junio"/>
        <s v="julio"/>
        <s v="agosto"/>
        <s v="septiembre"/>
        <s v="octubre"/>
        <s v="noviembre"/>
        <s v="diciembre"/>
      </sharedItems>
    </cacheField>
    <cacheField name="mes-num" numFmtId="0">
      <sharedItems containsSemiMixedTypes="0" containsString="0" containsNumber="1" containsInteger="1">
        <n v="1.0"/>
        <n v="2.0"/>
        <n v="3.0"/>
        <n v="4.0"/>
        <n v="5.0"/>
        <n v="6.0"/>
        <n v="7.0"/>
        <n v="8.0"/>
        <n v="9.0"/>
        <n v="10.0"/>
        <n v="11.0"/>
        <n v="12.0"/>
      </sharedItems>
    </cacheField>
    <cacheField name="dia_semana" numFmtId="0">
      <sharedItems>
        <s v="viernes"/>
        <s v="domingo"/>
        <s v="lunes"/>
        <s v="martes"/>
        <s v="miércoles"/>
        <s v="jueves"/>
        <s v="sábado"/>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262" sheet="Cisco"/>
  </cacheSource>
  <cacheFields>
    <cacheField name="fecha_prestamo" numFmtId="164">
      <sharedItems containsSemiMixedTypes="0" containsDate="1" containsString="0">
        <d v="2025-01-03T00:00:00Z"/>
        <d v="2025-01-05T00:00:00Z"/>
        <d v="2025-01-06T00:00:00Z"/>
        <d v="2025-01-07T00:00:00Z"/>
        <d v="2025-01-08T00:00:00Z"/>
        <d v="2025-01-09T00:00:00Z"/>
        <d v="2025-01-10T00:00:00Z"/>
        <d v="2025-01-11T00:00:00Z"/>
        <d v="2025-01-12T00:00:00Z"/>
        <d v="2025-01-13T00:00:00Z"/>
        <d v="2025-01-14T00:00:00Z"/>
        <d v="2025-01-15T00:00:00Z"/>
        <d v="2025-01-16T00:00:00Z"/>
        <d v="2025-01-17T00:00:00Z"/>
        <d v="2025-01-18T00:00:00Z"/>
        <d v="2025-01-19T00:00:00Z"/>
        <d v="2025-01-20T00:00:00Z"/>
        <d v="2025-01-21T00:00:00Z"/>
        <d v="2025-01-22T00:00:00Z"/>
        <d v="2025-01-23T00:00:00Z"/>
        <d v="2025-01-24T00:00:00Z"/>
        <d v="2025-01-25T00:00:00Z"/>
        <d v="2025-01-26T00:00:00Z"/>
        <d v="2025-01-27T00:00:00Z"/>
        <d v="2025-01-28T00:00:00Z"/>
        <d v="2025-01-29T00:00:00Z"/>
        <d v="2025-01-30T00:00:00Z"/>
        <d v="2025-01-31T00:00:00Z"/>
        <d v="2025-02-01T00:00:00Z"/>
        <d v="2025-02-02T00:00:00Z"/>
        <d v="2025-02-03T00:00:00Z"/>
        <d v="2025-02-04T00:00:00Z"/>
        <d v="2025-02-05T00:00:00Z"/>
        <d v="2025-02-06T00:00:00Z"/>
        <d v="2025-02-07T00:00:00Z"/>
        <d v="2025-02-08T00:00:00Z"/>
        <d v="2025-02-09T00:00:00Z"/>
        <d v="2025-02-10T00:00:00Z"/>
        <d v="2025-02-11T00:00:00Z"/>
        <d v="2025-02-12T00:00:00Z"/>
        <d v="2025-02-13T00:00:00Z"/>
        <d v="2025-02-14T00:00:00Z"/>
        <d v="2025-02-15T00:00:00Z"/>
        <d v="2025-02-16T00:00:00Z"/>
        <d v="2025-02-17T00:00:00Z"/>
        <d v="2025-02-18T00:00:00Z"/>
        <d v="2025-02-19T00:00:00Z"/>
        <d v="2025-02-20T00:00:00Z"/>
        <d v="2025-02-21T00:00:00Z"/>
        <d v="2025-02-22T00:00:00Z"/>
        <d v="2025-02-23T00:00:00Z"/>
        <d v="2025-02-24T00:00:00Z"/>
        <d v="2025-02-25T00:00:00Z"/>
        <d v="2025-02-26T00:00:00Z"/>
        <d v="2025-02-27T00:00:00Z"/>
        <d v="2025-02-28T00:00:00Z"/>
        <d v="2025-03-01T00:00:00Z"/>
        <d v="2025-03-02T00:00:00Z"/>
        <d v="2025-03-03T00:00:00Z"/>
        <d v="2025-03-04T00:00:00Z"/>
        <d v="2025-03-05T00:00:00Z"/>
        <d v="2025-03-06T00:00:00Z"/>
        <d v="2025-03-07T00:00:00Z"/>
        <d v="2025-03-08T00:00:00Z"/>
        <d v="2025-03-09T00:00:00Z"/>
        <d v="2025-03-10T00:00:00Z"/>
        <d v="2025-03-11T00:00:00Z"/>
        <d v="2025-03-12T00:00:00Z"/>
        <d v="2025-03-13T00:00:00Z"/>
        <d v="2025-03-14T00:00:00Z"/>
        <d v="2025-03-15T00:00:00Z"/>
        <d v="2025-03-16T00:00:00Z"/>
        <d v="2025-03-17T00:00:00Z"/>
        <d v="2025-03-18T00:00:00Z"/>
        <d v="2025-03-19T00:00:00Z"/>
        <d v="2025-03-20T00:00:00Z"/>
        <d v="2025-03-21T00:00:00Z"/>
        <d v="2025-03-22T00:00:00Z"/>
        <d v="2025-03-23T00:00:00Z"/>
        <d v="2025-03-24T00:00:00Z"/>
        <d v="2025-03-25T00:00:00Z"/>
        <d v="2025-03-26T00:00:00Z"/>
        <d v="2025-03-27T00:00:00Z"/>
        <d v="2025-03-28T00:00:00Z"/>
        <d v="2025-03-29T00:00:00Z"/>
        <d v="2025-03-30T00:00:00Z"/>
        <d v="2025-03-31T00:00:00Z"/>
        <d v="2025-04-01T00:00:00Z"/>
        <d v="2025-04-02T00:00:00Z"/>
        <d v="2025-04-03T00:00:00Z"/>
        <d v="2025-04-04T00:00:00Z"/>
        <d v="2025-04-05T00:00:00Z"/>
        <d v="2025-04-06T00:00:00Z"/>
        <d v="2025-04-07T00:00:00Z"/>
        <d v="2025-04-08T00:00:00Z"/>
        <d v="2025-04-09T00:00:00Z"/>
        <d v="2025-04-10T00:00:00Z"/>
        <d v="2025-04-11T00:00:00Z"/>
        <d v="2025-04-12T00:00:00Z"/>
        <d v="2025-04-13T00:00:00Z"/>
        <d v="2025-04-14T00:00:00Z"/>
        <d v="2025-04-15T00:00:00Z"/>
        <d v="2025-04-16T00:00:00Z"/>
        <d v="2025-04-17T00:00:00Z"/>
        <d v="2025-04-18T00:00:00Z"/>
        <d v="2025-04-19T00:00:00Z"/>
        <d v="2025-04-20T00:00:00Z"/>
        <d v="2025-04-21T00:00:00Z"/>
        <d v="2025-04-22T00:00:00Z"/>
        <d v="2025-04-23T00:00:00Z"/>
        <d v="2025-04-24T00:00:00Z"/>
        <d v="2025-04-25T00:00:00Z"/>
        <d v="2025-04-26T00:00:00Z"/>
        <d v="2025-04-27T00:00:00Z"/>
        <d v="2025-04-28T00:00:00Z"/>
        <d v="2025-04-29T00:00:00Z"/>
        <d v="2025-04-30T00:00:00Z"/>
        <d v="2025-05-01T00:00:00Z"/>
        <d v="2025-05-02T00:00:00Z"/>
        <d v="2025-05-03T00:00:00Z"/>
        <d v="2025-05-04T00:00:00Z"/>
        <d v="2025-05-05T00:00:00Z"/>
        <d v="2025-05-06T00:00:00Z"/>
        <d v="2025-05-07T00:00:00Z"/>
        <d v="2025-05-08T00:00:00Z"/>
        <d v="2025-05-09T00:00:00Z"/>
        <d v="2025-05-10T00:00:00Z"/>
        <d v="2025-05-11T00:00:00Z"/>
        <d v="2025-05-12T00:00:00Z"/>
        <d v="2025-05-13T00:00:00Z"/>
        <d v="2025-05-14T00:00:00Z"/>
        <d v="2025-05-15T00:00:00Z"/>
        <d v="2025-05-16T00:00:00Z"/>
        <d v="2025-05-17T00:00:00Z"/>
        <d v="2025-05-18T00:00:00Z"/>
        <d v="2025-05-19T00:00:00Z"/>
        <d v="2025-05-20T00:00:00Z"/>
        <d v="2025-05-21T00:00:00Z"/>
        <d v="2025-05-22T00:00:00Z"/>
        <d v="2025-05-23T00:00:00Z"/>
        <d v="2025-05-24T00:00:00Z"/>
        <d v="2025-05-25T00:00:00Z"/>
        <d v="2025-05-26T00:00:00Z"/>
        <d v="2025-05-27T00:00:00Z"/>
        <d v="2025-05-28T00:00:00Z"/>
        <d v="2025-05-29T00:00:00Z"/>
        <d v="2025-05-30T00:00:00Z"/>
        <d v="2025-05-31T00:00:00Z"/>
        <d v="2025-06-01T00:00:00Z"/>
        <d v="2025-06-03T00:00:00Z"/>
        <d v="2025-06-04T00:00:00Z"/>
        <d v="2025-06-06T00:00:00Z"/>
        <d v="2025-06-08T00:00:00Z"/>
        <d v="2025-06-10T00:00:00Z"/>
        <d v="2025-06-11T00:00:00Z"/>
        <d v="2025-06-13T00:00:00Z"/>
        <d v="2025-06-15T00:00:00Z"/>
        <d v="2025-06-17T00:00:00Z"/>
        <d v="2025-06-18T00:00:00Z"/>
        <d v="2025-06-20T00:00:00Z"/>
        <d v="2025-06-22T00:00:00Z"/>
        <d v="2025-06-24T00:00:00Z"/>
        <d v="2025-06-25T00:00:00Z"/>
        <d v="2025-06-27T00:00:00Z"/>
        <d v="2025-06-29T00:00:00Z"/>
        <d v="2025-07-01T00:00:00Z"/>
        <d v="2025-07-03T00:00:00Z"/>
        <d v="2025-07-06T00:00:00Z"/>
        <d v="2025-07-08T00:00:00Z"/>
        <d v="2025-07-10T00:00:00Z"/>
        <d v="2025-07-13T00:00:00Z"/>
        <d v="2025-07-15T00:00:00Z"/>
        <d v="2025-07-17T00:00:00Z"/>
        <d v="2025-07-20T00:00:00Z"/>
        <d v="2025-07-22T00:00:00Z"/>
        <d v="2025-07-24T00:00:00Z"/>
        <d v="2025-07-27T00:00:00Z"/>
        <d v="2025-07-29T00:00:00Z"/>
        <d v="2025-07-31T00:00:00Z"/>
        <d v="2025-08-03T00:00:00Z"/>
        <d v="2025-08-05T00:00:00Z"/>
        <d v="2025-08-07T00:00:00Z"/>
        <d v="2025-08-10T00:00:00Z"/>
        <d v="2025-08-12T00:00:00Z"/>
        <d v="2025-08-14T00:00:00Z"/>
        <d v="2025-08-17T00:00:00Z"/>
        <d v="2025-08-19T00:00:00Z"/>
        <d v="2025-08-21T00:00:00Z"/>
        <d v="2025-08-24T00:00:00Z"/>
        <d v="2025-08-26T00:00:00Z"/>
        <d v="2025-08-28T00:00:00Z"/>
        <d v="2025-08-31T00:00:00Z"/>
        <d v="2025-09-02T00:00:00Z"/>
        <d v="2025-09-03T00:00:00Z"/>
        <d v="2025-09-05T00:00:00Z"/>
        <d v="2025-09-07T00:00:00Z"/>
        <d v="2025-09-09T00:00:00Z"/>
        <d v="2025-09-10T00:00:00Z"/>
        <d v="2025-09-12T00:00:00Z"/>
        <d v="2025-09-14T00:00:00Z"/>
        <d v="2025-09-16T00:00:00Z"/>
        <d v="2025-09-17T00:00:00Z"/>
        <d v="2025-09-19T00:00:00Z"/>
        <d v="2025-09-21T00:00:00Z"/>
        <d v="2025-09-23T00:00:00Z"/>
        <d v="2025-09-24T00:00:00Z"/>
        <d v="2025-09-26T00:00:00Z"/>
        <d v="2025-09-28T00:00:00Z"/>
        <d v="2025-09-30T00:00:00Z"/>
        <d v="2025-10-01T00:00:00Z"/>
        <d v="2025-10-03T00:00:00Z"/>
        <d v="2025-10-05T00:00:00Z"/>
        <d v="2025-10-07T00:00:00Z"/>
        <d v="2025-10-08T00:00:00Z"/>
        <d v="2025-10-10T00:00:00Z"/>
        <d v="2025-10-12T00:00:00Z"/>
        <d v="2025-10-14T00:00:00Z"/>
        <d v="2025-10-15T00:00:00Z"/>
        <d v="2025-10-17T00:00:00Z"/>
        <d v="2025-10-19T00:00:00Z"/>
        <d v="2025-10-21T00:00:00Z"/>
        <d v="2025-10-22T00:00:00Z"/>
        <d v="2025-10-24T00:00:00Z"/>
        <d v="2025-10-26T00:00:00Z"/>
        <d v="2025-10-28T00:00:00Z"/>
        <d v="2025-10-29T00:00:00Z"/>
        <d v="2025-10-31T00:00:00Z"/>
        <d v="2025-11-02T00:00:00Z"/>
        <d v="2025-11-04T00:00:00Z"/>
        <d v="2025-11-05T00:00:00Z"/>
        <d v="2025-11-07T00:00:00Z"/>
        <d v="2025-11-09T00:00:00Z"/>
        <d v="2025-11-11T00:00:00Z"/>
        <d v="2025-11-12T00:00:00Z"/>
        <d v="2025-11-14T00:00:00Z"/>
        <d v="2025-11-16T00:00:00Z"/>
        <d v="2025-11-18T00:00:00Z"/>
        <d v="2025-11-19T00:00:00Z"/>
        <d v="2025-11-21T00:00:00Z"/>
        <d v="2025-11-23T00:00:00Z"/>
        <d v="2025-11-25T00:00:00Z"/>
        <d v="2025-11-26T00:00:00Z"/>
        <d v="2025-11-28T00:00:00Z"/>
        <d v="2025-11-30T00:00:00Z"/>
        <d v="2025-12-02T00:00:00Z"/>
        <d v="2025-12-03T00:00:00Z"/>
        <d v="2025-12-05T00:00:00Z"/>
        <d v="2025-12-07T00:00:00Z"/>
        <d v="2025-12-09T00:00:00Z"/>
        <d v="2025-12-10T00:00:00Z"/>
        <d v="2025-12-12T00:00:00Z"/>
        <d v="2025-12-14T00:00:00Z"/>
        <d v="2025-12-16T00:00:00Z"/>
        <d v="2025-12-17T00:00:00Z"/>
        <d v="2025-12-19T00:00:00Z"/>
        <d v="2025-12-21T00:00:00Z"/>
        <d v="2025-12-23T00:00:00Z"/>
        <d v="2025-12-24T00:00:00Z"/>
        <d v="2025-12-26T00:00:00Z"/>
        <d v="2025-12-28T00:00:00Z"/>
        <d v="2025-12-30T00:00:00Z"/>
      </sharedItems>
    </cacheField>
    <cacheField name="Categoria" numFmtId="0">
      <sharedItems>
        <s v="ensayo"/>
        <s v="ficcion"/>
        <s v="infantil"/>
        <s v="comic"/>
        <s v="novela_grafica"/>
        <s v="poesia"/>
        <s v="divulgacion"/>
      </sharedItems>
    </cacheField>
    <cacheField name="idioma" numFmtId="49">
      <sharedItems>
        <s v="español"/>
        <s v="inglés"/>
        <s v="catalán"/>
      </sharedItems>
    </cacheField>
    <cacheField name="duracion_prestamo_dias" numFmtId="0">
      <sharedItems containsSemiMixedTypes="0" containsString="0" containsNumber="1" containsInteger="1">
        <n v="22.0"/>
        <n v="14.0"/>
        <n v="21.0"/>
        <n v="10.0"/>
        <n v="7.0"/>
        <n v="9.0"/>
        <n v="15.0"/>
        <n v="18.0"/>
        <n v="20.0"/>
        <n v="25.0"/>
        <n v="11.0"/>
        <n v="8.0"/>
        <n v="30.0"/>
        <n v="24.0"/>
        <n v="16.0"/>
        <n v="27.0"/>
        <n v="12.0"/>
        <n v="28.0"/>
        <n v="19.0"/>
        <n v="23.0"/>
        <n v="17.0"/>
        <n v="35.0"/>
        <n v="26.0"/>
      </sharedItems>
    </cacheField>
    <cacheField name="devuelto_a_tiempo" numFmtId="0">
      <sharedItems>
        <s v="si"/>
        <s v="no"/>
      </sharedItems>
    </cacheField>
    <cacheField name="franja_horaria" numFmtId="0">
      <sharedItems>
        <s v="tarde"/>
        <s v="mañana"/>
      </sharedItems>
    </cacheField>
    <cacheField name="mes" numFmtId="0">
      <sharedItems>
        <s v="enero"/>
        <s v="febrero"/>
        <s v="marzo"/>
        <s v="abril"/>
        <s v="mayo"/>
        <s v="junio"/>
        <s v="julio"/>
        <s v="agosto"/>
        <s v="septiembre"/>
        <s v="octubre"/>
        <s v="noviembre"/>
        <s v="diciembre"/>
      </sharedItems>
    </cacheField>
    <cacheField name="mes en numeros" numFmtId="0">
      <sharedItems containsSemiMixedTypes="0" containsString="0" containsNumber="1" containsInteger="1">
        <n v="1.0"/>
        <n v="2.0"/>
        <n v="3.0"/>
        <n v="4.0"/>
        <n v="5.0"/>
        <n v="6.0"/>
        <n v="7.0"/>
        <n v="8.0"/>
        <n v="9.0"/>
        <n v="10.0"/>
        <n v="11.0"/>
        <n v="12.0"/>
      </sharedItems>
    </cacheField>
    <cacheField name="dia_semana" numFmtId="0">
      <sharedItems>
        <s v="viernes"/>
        <s v="domingo"/>
        <s v="lunes"/>
        <s v="martes"/>
        <s v="miércoles"/>
        <s v="jueves"/>
        <s v="sábado              "/>
        <s v="sábado"/>
      </sharedItems>
    </cacheField>
    <cacheField name="Column 1" numFmtId="0">
      <sharedItems containsBlank="1">
        <m/>
        <s v=" "/>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262" sheet="Cheyenne"/>
  </cacheSource>
  <cacheFields>
    <cacheField name="fecha_prestamo" numFmtId="166">
      <sharedItems containsSemiMixedTypes="0" containsDate="1" containsString="0">
        <d v="2025-01-03T00:00:00Z"/>
        <d v="2025-01-05T00:00:00Z"/>
        <d v="2025-01-06T00:00:00Z"/>
        <d v="2025-01-07T00:00:00Z"/>
        <d v="2025-01-08T00:00:00Z"/>
        <d v="2025-01-09T00:00:00Z"/>
        <d v="2025-01-10T00:00:00Z"/>
        <d v="2025-01-11T00:00:00Z"/>
        <d v="2025-01-12T00:00:00Z"/>
        <d v="2025-01-13T00:00:00Z"/>
        <d v="2025-01-14T00:00:00Z"/>
        <d v="2025-01-15T00:00:00Z"/>
        <d v="2025-01-16T00:00:00Z"/>
        <d v="2025-01-17T00:00:00Z"/>
        <d v="2025-01-18T00:00:00Z"/>
        <d v="2025-01-19T00:00:00Z"/>
        <d v="2025-01-20T00:00:00Z"/>
        <d v="2025-01-21T00:00:00Z"/>
        <d v="2025-01-22T00:00:00Z"/>
        <d v="2025-01-23T00:00:00Z"/>
        <d v="2025-01-24T00:00:00Z"/>
        <d v="2025-01-25T00:00:00Z"/>
        <d v="2025-01-26T00:00:00Z"/>
        <d v="2025-01-27T00:00:00Z"/>
        <d v="2025-01-28T00:00:00Z"/>
        <d v="2025-01-29T00:00:00Z"/>
        <d v="2025-01-30T00:00:00Z"/>
        <d v="2025-01-31T00:00:00Z"/>
        <d v="2025-02-01T00:00:00Z"/>
        <d v="2025-02-02T00:00:00Z"/>
        <d v="2025-02-03T00:00:00Z"/>
        <d v="2025-02-04T00:00:00Z"/>
        <d v="2025-02-05T00:00:00Z"/>
        <d v="2025-02-06T00:00:00Z"/>
        <d v="2025-02-07T00:00:00Z"/>
        <d v="2025-02-08T00:00:00Z"/>
        <d v="2025-02-09T00:00:00Z"/>
        <d v="2025-02-10T00:00:00Z"/>
        <d v="2025-02-11T00:00:00Z"/>
        <d v="2025-02-12T00:00:00Z"/>
        <d v="2025-02-13T00:00:00Z"/>
        <d v="2025-02-14T00:00:00Z"/>
        <d v="2025-02-15T00:00:00Z"/>
        <d v="2025-02-16T00:00:00Z"/>
        <d v="2025-02-17T00:00:00Z"/>
        <d v="2025-02-18T00:00:00Z"/>
        <d v="2025-02-19T00:00:00Z"/>
        <d v="2025-02-20T00:00:00Z"/>
        <d v="2025-02-21T00:00:00Z"/>
        <d v="2025-02-22T00:00:00Z"/>
        <d v="2025-02-23T00:00:00Z"/>
        <d v="2025-02-24T00:00:00Z"/>
        <d v="2025-02-25T00:00:00Z"/>
        <d v="2025-02-26T00:00:00Z"/>
        <d v="2025-02-27T00:00:00Z"/>
        <d v="2025-02-28T00:00:00Z"/>
        <d v="2025-03-01T00:00:00Z"/>
        <d v="2025-03-02T00:00:00Z"/>
        <d v="2025-03-03T00:00:00Z"/>
        <d v="2025-03-04T00:00:00Z"/>
        <d v="2025-03-05T00:00:00Z"/>
        <d v="2025-03-06T00:00:00Z"/>
        <d v="2025-03-07T00:00:00Z"/>
        <d v="2025-03-08T00:00:00Z"/>
        <d v="2025-03-09T00:00:00Z"/>
        <d v="2025-03-10T00:00:00Z"/>
        <d v="2025-03-11T00:00:00Z"/>
        <d v="2025-03-12T00:00:00Z"/>
        <d v="2025-03-13T00:00:00Z"/>
        <d v="2025-03-14T00:00:00Z"/>
        <d v="2025-03-15T00:00:00Z"/>
        <d v="2025-03-16T00:00:00Z"/>
        <d v="2025-03-17T00:00:00Z"/>
        <d v="2025-03-18T00:00:00Z"/>
        <d v="2025-03-19T00:00:00Z"/>
        <d v="2025-03-20T00:00:00Z"/>
        <d v="2025-03-21T00:00:00Z"/>
        <d v="2025-03-22T00:00:00Z"/>
        <d v="2025-03-23T00:00:00Z"/>
        <d v="2025-03-24T00:00:00Z"/>
        <d v="2025-03-25T00:00:00Z"/>
        <d v="2025-03-26T00:00:00Z"/>
        <d v="2025-03-27T00:00:00Z"/>
        <d v="2025-03-28T00:00:00Z"/>
        <d v="2025-03-29T00:00:00Z"/>
        <d v="2025-03-30T00:00:00Z"/>
        <d v="2025-03-31T00:00:00Z"/>
        <d v="2025-04-01T00:00:00Z"/>
        <d v="2025-04-02T00:00:00Z"/>
        <d v="2025-04-03T00:00:00Z"/>
        <d v="2025-04-04T00:00:00Z"/>
        <d v="2025-04-05T00:00:00Z"/>
        <d v="2025-04-06T00:00:00Z"/>
        <d v="2025-04-07T00:00:00Z"/>
        <d v="2025-04-08T00:00:00Z"/>
        <d v="2025-04-09T00:00:00Z"/>
        <d v="2025-04-10T00:00:00Z"/>
        <d v="2025-04-11T00:00:00Z"/>
        <d v="2025-04-12T00:00:00Z"/>
        <d v="2025-04-13T00:00:00Z"/>
        <d v="2025-04-14T00:00:00Z"/>
        <d v="2025-04-15T00:00:00Z"/>
        <d v="2025-04-16T00:00:00Z"/>
        <d v="2025-04-17T00:00:00Z"/>
        <d v="2025-04-18T00:00:00Z"/>
        <d v="2025-04-19T00:00:00Z"/>
        <d v="2025-04-20T00:00:00Z"/>
        <d v="2025-04-21T00:00:00Z"/>
        <d v="2025-04-22T00:00:00Z"/>
        <d v="2025-04-23T00:00:00Z"/>
        <d v="2025-04-24T00:00:00Z"/>
        <d v="2025-04-25T00:00:00Z"/>
        <d v="2025-04-26T00:00:00Z"/>
        <d v="2025-04-27T00:00:00Z"/>
        <d v="2025-04-28T00:00:00Z"/>
        <d v="2025-04-29T00:00:00Z"/>
        <d v="2025-04-30T00:00:00Z"/>
        <d v="2025-05-01T00:00:00Z"/>
        <d v="2025-05-02T00:00:00Z"/>
        <d v="2025-05-03T00:00:00Z"/>
        <d v="2025-05-04T00:00:00Z"/>
        <d v="2025-05-05T00:00:00Z"/>
        <d v="2025-05-06T00:00:00Z"/>
        <d v="2025-05-07T00:00:00Z"/>
        <d v="2025-05-08T00:00:00Z"/>
        <d v="2025-05-09T00:00:00Z"/>
        <d v="2025-05-10T00:00:00Z"/>
        <d v="2025-05-11T00:00:00Z"/>
        <d v="2025-05-12T00:00:00Z"/>
        <d v="2025-05-13T00:00:00Z"/>
        <d v="2025-05-14T00:00:00Z"/>
        <d v="2025-05-15T00:00:00Z"/>
        <d v="2025-05-16T00:00:00Z"/>
        <d v="2025-05-17T00:00:00Z"/>
        <d v="2025-05-18T00:00:00Z"/>
        <d v="2025-05-19T00:00:00Z"/>
        <d v="2025-05-20T00:00:00Z"/>
        <d v="2025-05-21T00:00:00Z"/>
        <d v="2025-05-22T00:00:00Z"/>
        <d v="2025-05-23T00:00:00Z"/>
        <d v="2025-05-24T00:00:00Z"/>
        <d v="2025-05-25T00:00:00Z"/>
        <d v="2025-05-26T00:00:00Z"/>
        <d v="2025-05-27T00:00:00Z"/>
        <d v="2025-05-28T00:00:00Z"/>
        <d v="2025-05-29T00:00:00Z"/>
        <d v="2025-05-30T00:00:00Z"/>
        <d v="2025-05-31T00:00:00Z"/>
        <d v="2025-06-01T00:00:00Z"/>
        <d v="2025-06-03T00:00:00Z"/>
        <d v="2025-06-04T00:00:00Z"/>
        <d v="2025-06-06T00:00:00Z"/>
        <d v="2025-06-08T00:00:00Z"/>
        <d v="2025-06-10T00:00:00Z"/>
        <d v="2025-06-11T00:00:00Z"/>
        <d v="2025-06-13T00:00:00Z"/>
        <d v="2025-06-15T00:00:00Z"/>
        <d v="2025-06-17T00:00:00Z"/>
        <d v="2025-06-18T00:00:00Z"/>
        <d v="2025-06-20T00:00:00Z"/>
        <d v="2025-06-22T00:00:00Z"/>
        <d v="2025-06-24T00:00:00Z"/>
        <d v="2025-06-25T00:00:00Z"/>
        <d v="2025-06-27T00:00:00Z"/>
        <d v="2025-06-29T00:00:00Z"/>
        <d v="2025-07-01T00:00:00Z"/>
        <d v="2025-07-03T00:00:00Z"/>
        <d v="2025-07-06T00:00:00Z"/>
        <d v="2025-07-08T00:00:00Z"/>
        <d v="2025-07-10T00:00:00Z"/>
        <d v="2025-07-13T00:00:00Z"/>
        <d v="2025-07-15T00:00:00Z"/>
        <d v="2025-07-17T00:00:00Z"/>
        <d v="2025-07-20T00:00:00Z"/>
        <d v="2025-07-22T00:00:00Z"/>
        <d v="2025-07-24T00:00:00Z"/>
        <d v="2025-07-27T00:00:00Z"/>
        <d v="2025-07-29T00:00:00Z"/>
        <d v="2025-07-31T00:00:00Z"/>
        <d v="2025-08-03T00:00:00Z"/>
        <d v="2025-08-05T00:00:00Z"/>
        <d v="2025-08-07T00:00:00Z"/>
        <d v="2025-08-10T00:00:00Z"/>
        <d v="2025-08-12T00:00:00Z"/>
        <d v="2025-08-14T00:00:00Z"/>
        <d v="2025-08-17T00:00:00Z"/>
        <d v="2025-08-19T00:00:00Z"/>
        <d v="2025-08-21T00:00:00Z"/>
        <d v="2025-08-24T00:00:00Z"/>
        <d v="2025-08-26T00:00:00Z"/>
        <d v="2025-08-28T00:00:00Z"/>
        <d v="2025-08-31T00:00:00Z"/>
        <d v="2025-09-02T00:00:00Z"/>
        <d v="2025-09-03T00:00:00Z"/>
        <d v="2025-09-05T00:00:00Z"/>
        <d v="2025-09-07T00:00:00Z"/>
        <d v="2025-09-09T00:00:00Z"/>
        <d v="2025-09-10T00:00:00Z"/>
        <d v="2025-09-12T00:00:00Z"/>
        <d v="2025-09-14T00:00:00Z"/>
        <d v="2025-09-16T00:00:00Z"/>
        <d v="2025-09-17T00:00:00Z"/>
        <d v="2025-09-19T00:00:00Z"/>
        <d v="2025-09-21T00:00:00Z"/>
        <d v="2025-09-23T00:00:00Z"/>
        <d v="2025-09-24T00:00:00Z"/>
        <d v="2025-09-26T00:00:00Z"/>
        <d v="2025-09-28T00:00:00Z"/>
        <d v="2025-09-30T00:00:00Z"/>
        <d v="2025-10-01T00:00:00Z"/>
        <d v="2025-10-03T00:00:00Z"/>
        <d v="2025-10-05T00:00:00Z"/>
        <d v="2025-10-07T00:00:00Z"/>
        <d v="2025-10-08T00:00:00Z"/>
        <d v="2025-10-10T00:00:00Z"/>
        <d v="2025-10-12T00:00:00Z"/>
        <d v="2025-10-14T00:00:00Z"/>
        <d v="2025-10-15T00:00:00Z"/>
        <d v="2025-10-17T00:00:00Z"/>
        <d v="2025-10-19T00:00:00Z"/>
        <d v="2025-10-21T00:00:00Z"/>
        <d v="2025-10-22T00:00:00Z"/>
        <d v="2025-10-24T00:00:00Z"/>
        <d v="2025-10-26T00:00:00Z"/>
        <d v="2025-10-28T00:00:00Z"/>
        <d v="2025-10-29T00:00:00Z"/>
        <d v="2025-10-31T00:00:00Z"/>
        <d v="2025-11-02T00:00:00Z"/>
        <d v="2025-11-04T00:00:00Z"/>
        <d v="2025-11-05T00:00:00Z"/>
        <d v="2025-11-07T00:00:00Z"/>
        <d v="2025-11-09T00:00:00Z"/>
        <d v="2025-11-11T00:00:00Z"/>
        <d v="2025-11-12T00:00:00Z"/>
        <d v="2025-11-14T00:00:00Z"/>
        <d v="2025-11-16T00:00:00Z"/>
        <d v="2025-11-18T00:00:00Z"/>
        <d v="2025-11-19T00:00:00Z"/>
        <d v="2025-11-21T00:00:00Z"/>
        <d v="2025-11-23T00:00:00Z"/>
        <d v="2025-11-25T00:00:00Z"/>
        <d v="2025-11-26T00:00:00Z"/>
        <d v="2025-11-28T00:00:00Z"/>
        <d v="2025-11-30T00:00:00Z"/>
        <d v="2025-12-02T00:00:00Z"/>
        <d v="2025-12-03T00:00:00Z"/>
        <d v="2025-12-05T00:00:00Z"/>
        <d v="2025-12-07T00:00:00Z"/>
        <d v="2025-12-09T00:00:00Z"/>
        <d v="2025-12-10T00:00:00Z"/>
        <d v="2025-12-12T00:00:00Z"/>
        <d v="2025-12-14T00:00:00Z"/>
        <d v="2025-12-16T00:00:00Z"/>
        <d v="2025-12-17T00:00:00Z"/>
        <d v="2025-12-19T00:00:00Z"/>
        <d v="2025-12-21T00:00:00Z"/>
        <d v="2025-12-23T00:00:00Z"/>
        <d v="2025-12-24T00:00:00Z"/>
        <d v="2025-12-26T00:00:00Z"/>
        <d v="2025-12-28T00:00:00Z"/>
        <d v="2025-12-30T00:00:00Z"/>
      </sharedItems>
    </cacheField>
    <cacheField name="categoria_libro" numFmtId="0">
      <sharedItems>
        <s v="ensayo"/>
        <s v="ficcion"/>
        <s v="infantil"/>
        <s v="comic"/>
        <s v="novela_grafica"/>
        <s v="poesia"/>
        <s v="divulgacion"/>
      </sharedItems>
    </cacheField>
    <cacheField name="idioma" numFmtId="0">
      <sharedItems>
        <s v="español"/>
        <s v="inglés"/>
        <s v="catalán"/>
      </sharedItems>
    </cacheField>
    <cacheField name="duracion_prestamo_dias" numFmtId="0">
      <sharedItems containsSemiMixedTypes="0" containsString="0" containsNumber="1" containsInteger="1">
        <n v="22.0"/>
        <n v="14.0"/>
        <n v="21.0"/>
        <n v="10.0"/>
        <n v="7.0"/>
        <n v="9.0"/>
        <n v="15.0"/>
        <n v="18.0"/>
        <n v="20.0"/>
        <n v="25.0"/>
        <n v="11.0"/>
        <n v="8.0"/>
        <n v="30.0"/>
        <n v="24.0"/>
        <n v="16.0"/>
        <n v="27.0"/>
        <n v="12.0"/>
        <n v="28.0"/>
        <n v="19.0"/>
        <n v="23.0"/>
        <n v="17.0"/>
        <n v="35.0"/>
        <n v="26.0"/>
      </sharedItems>
    </cacheField>
    <cacheField name="devuelto_a_tiempo" numFmtId="0">
      <sharedItems>
        <s v="si"/>
        <s v="no"/>
      </sharedItems>
    </cacheField>
    <cacheField name="franja_horaria" numFmtId="0">
      <sharedItems>
        <s v="tarde"/>
        <s v="mañana"/>
      </sharedItems>
    </cacheField>
    <cacheField name="mes" numFmtId="0">
      <sharedItems>
        <s v="enero"/>
        <s v="febrero"/>
        <s v="marzo"/>
        <s v="abril"/>
        <s v="mayo"/>
        <s v="junio"/>
        <s v="julio"/>
        <s v="agosto"/>
        <s v="septiembre"/>
        <s v="octubre"/>
        <s v="noviembre"/>
        <s v="diciembre"/>
      </sharedItems>
    </cacheField>
    <cacheField name="mes por orden" numFmtId="0">
      <sharedItems containsSemiMixedTypes="0" containsString="0" containsNumber="1" containsInteger="1">
        <n v="1.0"/>
        <n v="2.0"/>
        <n v="3.0"/>
        <n v="4.0"/>
        <n v="5.0"/>
        <n v="6.0"/>
        <n v="7.0"/>
        <n v="8.0"/>
        <n v="9.0"/>
        <n v="10.0"/>
        <n v="11.0"/>
        <n v="12.0"/>
      </sharedItems>
    </cacheField>
    <cacheField name="dia_semana" numFmtId="0">
      <sharedItems>
        <s v="viernes"/>
        <s v="domingo"/>
        <s v="lunes"/>
        <s v="martes"/>
        <s v="miércoles"/>
        <s v="jueves"/>
        <s v="sábado"/>
      </sharedItems>
    </cacheField>
    <cacheField name="orden semana" numFmtId="0">
      <sharedItems containsSemiMixedTypes="0" containsString="0" containsNumber="1" containsInteger="1">
        <n v="5.0"/>
        <n v="7.0"/>
        <n v="1.0"/>
        <n v="2.0"/>
        <n v="3.0"/>
        <n v="4.0"/>
        <n v="6.0"/>
      </sharedItems>
    </cacheField>
    <cacheField name="orden y nombre semana" numFmtId="0">
      <sharedItems>
        <s v="5viernes"/>
        <s v="7domingo"/>
        <s v="1lunes"/>
        <s v="2martes"/>
        <s v="3miércoles"/>
        <s v="4jueves"/>
        <s v="6sábado"/>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262" sheet="AGATA"/>
  </cacheSource>
  <cacheFields>
    <cacheField name="fecha_prestamo" numFmtId="166">
      <sharedItems containsSemiMixedTypes="0" containsDate="1" containsString="0">
        <d v="2025-01-03T00:00:00Z"/>
        <d v="2025-01-05T00:00:00Z"/>
        <d v="2025-01-06T00:00:00Z"/>
        <d v="2025-01-07T00:00:00Z"/>
        <d v="2025-01-08T00:00:00Z"/>
        <d v="2025-01-09T00:00:00Z"/>
        <d v="2025-01-10T00:00:00Z"/>
        <d v="2025-01-11T00:00:00Z"/>
        <d v="2025-01-12T00:00:00Z"/>
        <d v="2025-01-13T00:00:00Z"/>
        <d v="2025-01-14T00:00:00Z"/>
        <d v="2025-01-15T00:00:00Z"/>
        <d v="2025-01-16T00:00:00Z"/>
        <d v="2025-01-17T00:00:00Z"/>
        <d v="2025-01-18T00:00:00Z"/>
        <d v="2025-01-19T00:00:00Z"/>
        <d v="2025-01-20T00:00:00Z"/>
        <d v="2025-01-21T00:00:00Z"/>
        <d v="2025-01-22T00:00:00Z"/>
        <d v="2025-01-23T00:00:00Z"/>
        <d v="2025-01-24T00:00:00Z"/>
        <d v="2025-01-25T00:00:00Z"/>
        <d v="2025-01-26T00:00:00Z"/>
        <d v="2025-01-27T00:00:00Z"/>
        <d v="2025-01-28T00:00:00Z"/>
        <d v="2025-01-29T00:00:00Z"/>
        <d v="2025-01-30T00:00:00Z"/>
        <d v="2025-01-31T00:00:00Z"/>
        <d v="2025-02-01T00:00:00Z"/>
        <d v="2025-02-02T00:00:00Z"/>
        <d v="2025-02-03T00:00:00Z"/>
        <d v="2025-02-04T00:00:00Z"/>
        <d v="2025-02-05T00:00:00Z"/>
        <d v="2025-02-06T00:00:00Z"/>
        <d v="2025-02-07T00:00:00Z"/>
        <d v="2025-02-08T00:00:00Z"/>
        <d v="2025-02-09T00:00:00Z"/>
        <d v="2025-02-10T00:00:00Z"/>
        <d v="2025-02-11T00:00:00Z"/>
        <d v="2025-02-12T00:00:00Z"/>
        <d v="2025-02-13T00:00:00Z"/>
        <d v="2025-02-14T00:00:00Z"/>
        <d v="2025-02-15T00:00:00Z"/>
        <d v="2025-02-16T00:00:00Z"/>
        <d v="2025-02-17T00:00:00Z"/>
        <d v="2025-02-18T00:00:00Z"/>
        <d v="2025-02-19T00:00:00Z"/>
        <d v="2025-02-20T00:00:00Z"/>
        <d v="2025-02-21T00:00:00Z"/>
        <d v="2025-02-22T00:00:00Z"/>
        <d v="2025-02-23T00:00:00Z"/>
        <d v="2025-02-24T00:00:00Z"/>
        <d v="2025-02-25T00:00:00Z"/>
        <d v="2025-02-26T00:00:00Z"/>
        <d v="2025-02-27T00:00:00Z"/>
        <d v="2025-02-28T00:00:00Z"/>
        <d v="2025-03-01T00:00:00Z"/>
        <d v="2025-03-02T00:00:00Z"/>
        <d v="2025-03-03T00:00:00Z"/>
        <d v="2025-03-04T00:00:00Z"/>
        <d v="2025-03-05T00:00:00Z"/>
        <d v="2025-03-06T00:00:00Z"/>
        <d v="2025-03-07T00:00:00Z"/>
        <d v="2025-03-08T00:00:00Z"/>
        <d v="2025-03-09T00:00:00Z"/>
        <d v="2025-03-10T00:00:00Z"/>
        <d v="2025-03-11T00:00:00Z"/>
        <d v="2025-03-12T00:00:00Z"/>
        <d v="2025-03-13T00:00:00Z"/>
        <d v="2025-03-14T00:00:00Z"/>
        <d v="2025-03-15T00:00:00Z"/>
        <d v="2025-03-16T00:00:00Z"/>
        <d v="2025-03-17T00:00:00Z"/>
        <d v="2025-03-18T00:00:00Z"/>
        <d v="2025-03-19T00:00:00Z"/>
        <d v="2025-03-20T00:00:00Z"/>
        <d v="2025-03-21T00:00:00Z"/>
        <d v="2025-03-22T00:00:00Z"/>
        <d v="2025-03-23T00:00:00Z"/>
        <d v="2025-03-24T00:00:00Z"/>
        <d v="2025-03-25T00:00:00Z"/>
        <d v="2025-03-26T00:00:00Z"/>
        <d v="2025-03-27T00:00:00Z"/>
        <d v="2025-03-28T00:00:00Z"/>
        <d v="2025-03-29T00:00:00Z"/>
        <d v="2025-03-30T00:00:00Z"/>
        <d v="2025-03-31T00:00:00Z"/>
        <d v="2025-04-01T00:00:00Z"/>
        <d v="2025-04-02T00:00:00Z"/>
        <d v="2025-04-03T00:00:00Z"/>
        <d v="2025-04-04T00:00:00Z"/>
        <d v="2025-04-05T00:00:00Z"/>
        <d v="2025-04-06T00:00:00Z"/>
        <d v="2025-04-07T00:00:00Z"/>
        <d v="2025-04-08T00:00:00Z"/>
        <d v="2025-04-09T00:00:00Z"/>
        <d v="2025-04-10T00:00:00Z"/>
        <d v="2025-04-11T00:00:00Z"/>
        <d v="2025-04-12T00:00:00Z"/>
        <d v="2025-04-13T00:00:00Z"/>
        <d v="2025-04-14T00:00:00Z"/>
        <d v="2025-04-15T00:00:00Z"/>
        <d v="2025-04-16T00:00:00Z"/>
        <d v="2025-04-17T00:00:00Z"/>
        <d v="2025-04-18T00:00:00Z"/>
        <d v="2025-04-19T00:00:00Z"/>
        <d v="2025-04-20T00:00:00Z"/>
        <d v="2025-04-21T00:00:00Z"/>
        <d v="2025-04-22T00:00:00Z"/>
        <d v="2025-04-23T00:00:00Z"/>
        <d v="2025-04-24T00:00:00Z"/>
        <d v="2025-04-25T00:00:00Z"/>
        <d v="2025-04-26T00:00:00Z"/>
        <d v="2025-04-27T00:00:00Z"/>
        <d v="2025-04-28T00:00:00Z"/>
        <d v="2025-04-29T00:00:00Z"/>
        <d v="2025-04-30T00:00:00Z"/>
        <d v="2025-05-01T00:00:00Z"/>
        <d v="2025-05-02T00:00:00Z"/>
        <d v="2025-05-03T00:00:00Z"/>
        <d v="2025-05-04T00:00:00Z"/>
        <d v="2025-05-05T00:00:00Z"/>
        <d v="2025-05-06T00:00:00Z"/>
        <d v="2025-05-07T00:00:00Z"/>
        <d v="2025-05-08T00:00:00Z"/>
        <d v="2025-05-09T00:00:00Z"/>
        <d v="2025-05-10T00:00:00Z"/>
        <d v="2025-05-11T00:00:00Z"/>
        <d v="2025-05-12T00:00:00Z"/>
        <d v="2025-05-13T00:00:00Z"/>
        <d v="2025-05-14T00:00:00Z"/>
        <d v="2025-05-15T00:00:00Z"/>
        <d v="2025-05-16T00:00:00Z"/>
        <d v="2025-05-17T00:00:00Z"/>
        <d v="2025-05-18T00:00:00Z"/>
        <d v="2025-05-19T00:00:00Z"/>
        <d v="2025-05-20T00:00:00Z"/>
        <d v="2025-05-21T00:00:00Z"/>
        <d v="2025-05-22T00:00:00Z"/>
        <d v="2025-05-23T00:00:00Z"/>
        <d v="2025-05-24T00:00:00Z"/>
        <d v="2025-05-25T00:00:00Z"/>
        <d v="2025-05-26T00:00:00Z"/>
        <d v="2025-05-27T00:00:00Z"/>
        <d v="2025-05-28T00:00:00Z"/>
        <d v="2025-05-29T00:00:00Z"/>
        <d v="2025-05-30T00:00:00Z"/>
        <d v="2025-05-31T00:00:00Z"/>
        <d v="2025-06-01T00:00:00Z"/>
        <d v="2025-06-03T00:00:00Z"/>
        <d v="2025-06-04T00:00:00Z"/>
        <d v="2025-06-06T00:00:00Z"/>
        <d v="2025-06-08T00:00:00Z"/>
        <d v="2025-06-10T00:00:00Z"/>
        <d v="2025-06-11T00:00:00Z"/>
        <d v="2025-06-13T00:00:00Z"/>
        <d v="2025-06-15T00:00:00Z"/>
        <d v="2025-06-17T00:00:00Z"/>
        <d v="2025-06-18T00:00:00Z"/>
        <d v="2025-06-20T00:00:00Z"/>
        <d v="2025-06-22T00:00:00Z"/>
        <d v="2025-06-24T00:00:00Z"/>
        <d v="2025-06-25T00:00:00Z"/>
        <d v="2025-06-27T00:00:00Z"/>
        <d v="2025-06-29T00:00:00Z"/>
        <d v="2025-07-01T00:00:00Z"/>
        <d v="2025-07-03T00:00:00Z"/>
        <d v="2025-07-06T00:00:00Z"/>
        <d v="2025-07-08T00:00:00Z"/>
        <d v="2025-07-10T00:00:00Z"/>
        <d v="2025-07-13T00:00:00Z"/>
        <d v="2025-07-15T00:00:00Z"/>
        <d v="2025-07-17T00:00:00Z"/>
        <d v="2025-07-20T00:00:00Z"/>
        <d v="2025-07-22T00:00:00Z"/>
        <d v="2025-07-24T00:00:00Z"/>
        <d v="2025-07-27T00:00:00Z"/>
        <d v="2025-07-29T00:00:00Z"/>
        <d v="2025-07-31T00:00:00Z"/>
        <d v="2025-08-03T00:00:00Z"/>
        <d v="2025-08-05T00:00:00Z"/>
        <d v="2025-08-07T00:00:00Z"/>
        <d v="2025-08-10T00:00:00Z"/>
        <d v="2025-08-12T00:00:00Z"/>
        <d v="2025-08-14T00:00:00Z"/>
        <d v="2025-08-17T00:00:00Z"/>
        <d v="2025-08-19T00:00:00Z"/>
        <d v="2025-08-21T00:00:00Z"/>
        <d v="2025-08-24T00:00:00Z"/>
        <d v="2025-08-26T00:00:00Z"/>
        <d v="2025-08-28T00:00:00Z"/>
        <d v="2025-08-31T00:00:00Z"/>
        <d v="2025-09-02T00:00:00Z"/>
        <d v="2025-09-03T00:00:00Z"/>
        <d v="2025-09-05T00:00:00Z"/>
        <d v="2025-09-07T00:00:00Z"/>
        <d v="2025-09-09T00:00:00Z"/>
        <d v="2025-09-10T00:00:00Z"/>
        <d v="2025-09-12T00:00:00Z"/>
        <d v="2025-09-14T00:00:00Z"/>
        <d v="2025-09-16T00:00:00Z"/>
        <d v="2025-09-17T00:00:00Z"/>
        <d v="2025-09-19T00:00:00Z"/>
        <d v="2025-09-21T00:00:00Z"/>
        <d v="2025-09-23T00:00:00Z"/>
        <d v="2025-09-24T00:00:00Z"/>
        <d v="2025-09-26T00:00:00Z"/>
        <d v="2025-09-28T00:00:00Z"/>
        <d v="2025-09-30T00:00:00Z"/>
        <d v="2025-10-01T00:00:00Z"/>
        <d v="2025-10-03T00:00:00Z"/>
        <d v="2025-10-05T00:00:00Z"/>
        <d v="2025-10-07T00:00:00Z"/>
        <d v="2025-10-08T00:00:00Z"/>
        <d v="2025-10-10T00:00:00Z"/>
        <d v="2025-10-12T00:00:00Z"/>
        <d v="2025-10-14T00:00:00Z"/>
        <d v="2025-10-15T00:00:00Z"/>
        <d v="2025-10-17T00:00:00Z"/>
        <d v="2025-10-19T00:00:00Z"/>
        <d v="2025-10-21T00:00:00Z"/>
        <d v="2025-10-22T00:00:00Z"/>
        <d v="2025-10-24T00:00:00Z"/>
        <d v="2025-10-26T00:00:00Z"/>
        <d v="2025-10-28T00:00:00Z"/>
        <d v="2025-10-29T00:00:00Z"/>
        <d v="2025-10-31T00:00:00Z"/>
        <d v="2025-11-02T00:00:00Z"/>
        <d v="2025-11-04T00:00:00Z"/>
        <d v="2025-11-05T00:00:00Z"/>
        <d v="2025-11-07T00:00:00Z"/>
        <d v="2025-11-09T00:00:00Z"/>
        <d v="2025-11-11T00:00:00Z"/>
        <d v="2025-11-12T00:00:00Z"/>
        <d v="2025-11-14T00:00:00Z"/>
        <d v="2025-11-16T00:00:00Z"/>
        <d v="2025-11-18T00:00:00Z"/>
        <d v="2025-11-19T00:00:00Z"/>
        <d v="2025-11-21T00:00:00Z"/>
        <d v="2025-11-23T00:00:00Z"/>
        <d v="2025-11-25T00:00:00Z"/>
        <d v="2025-11-26T00:00:00Z"/>
        <d v="2025-11-28T00:00:00Z"/>
        <d v="2025-11-30T00:00:00Z"/>
        <d v="2025-12-02T00:00:00Z"/>
        <d v="2025-12-03T00:00:00Z"/>
        <d v="2025-12-05T00:00:00Z"/>
        <d v="2025-12-07T00:00:00Z"/>
        <d v="2025-12-09T00:00:00Z"/>
        <d v="2025-12-10T00:00:00Z"/>
        <d v="2025-12-12T00:00:00Z"/>
        <d v="2025-12-14T00:00:00Z"/>
        <d v="2025-12-16T00:00:00Z"/>
        <d v="2025-12-17T00:00:00Z"/>
        <d v="2025-12-19T00:00:00Z"/>
        <d v="2025-12-21T00:00:00Z"/>
        <d v="2025-12-23T00:00:00Z"/>
        <d v="2025-12-24T00:00:00Z"/>
        <d v="2025-12-26T00:00:00Z"/>
        <d v="2025-12-28T00:00:00Z"/>
        <d v="2025-12-30T00:00:00Z"/>
      </sharedItems>
    </cacheField>
    <cacheField name="categoria_libro" numFmtId="0">
      <sharedItems>
        <s v="ensayo"/>
        <s v="ficcion"/>
        <s v="infantil"/>
        <s v="comic"/>
        <s v="novela_grafica"/>
        <s v="poesia"/>
        <s v="divulgacion"/>
      </sharedItems>
    </cacheField>
    <cacheField name="idioma" numFmtId="0">
      <sharedItems>
        <s v="español"/>
        <s v="inglés"/>
        <s v="catalán"/>
      </sharedItems>
    </cacheField>
    <cacheField name="duracion_prestamo_dias" numFmtId="0">
      <sharedItems containsSemiMixedTypes="0" containsString="0" containsNumber="1" containsInteger="1">
        <n v="22.0"/>
        <n v="14.0"/>
        <n v="21.0"/>
        <n v="10.0"/>
        <n v="7.0"/>
        <n v="9.0"/>
        <n v="15.0"/>
        <n v="18.0"/>
        <n v="20.0"/>
        <n v="25.0"/>
        <n v="11.0"/>
        <n v="8.0"/>
        <n v="30.0"/>
        <n v="24.0"/>
        <n v="16.0"/>
        <n v="27.0"/>
        <n v="12.0"/>
        <n v="28.0"/>
        <n v="19.0"/>
        <n v="23.0"/>
        <n v="17.0"/>
        <n v="35.0"/>
        <n v="26.0"/>
      </sharedItems>
    </cacheField>
    <cacheField name="devuelto_a_tiempo" numFmtId="0">
      <sharedItems>
        <s v="si"/>
        <s v="no"/>
      </sharedItems>
    </cacheField>
    <cacheField name="franja_horaria" numFmtId="0">
      <sharedItems>
        <s v="tarde"/>
        <s v="mañana"/>
      </sharedItems>
    </cacheField>
    <cacheField name="mes" numFmtId="0">
      <sharedItems>
        <s v="enero"/>
        <s v="febrero"/>
        <s v="marzo"/>
        <s v="abril"/>
        <s v="mayo"/>
        <s v="junio"/>
        <s v="julio"/>
        <s v="agosto"/>
        <s v="septiembre"/>
        <s v="octubre"/>
        <s v="noviembre"/>
        <s v="diciembre"/>
      </sharedItems>
    </cacheField>
    <cacheField name="mes numero" numFmtId="0">
      <sharedItems containsSemiMixedTypes="0" containsString="0" containsNumber="1" containsInteger="1">
        <n v="1.0"/>
        <n v="2.0"/>
        <n v="3.0"/>
        <n v="4.0"/>
        <n v="5.0"/>
        <n v="6.0"/>
        <n v="7.0"/>
        <n v="8.0"/>
        <n v="9.0"/>
        <n v="10.0"/>
        <n v="11.0"/>
        <n v="12.0"/>
      </sharedItems>
    </cacheField>
    <cacheField name="dia_semana" numFmtId="0">
      <sharedItems>
        <s v="viernes"/>
        <s v="domingo"/>
        <s v="lunes"/>
        <s v="martes"/>
        <s v="miércoles"/>
        <s v="jueves"/>
        <s v="sábado"/>
      </sharedItems>
    </cacheField>
    <cacheField name="Column 1" numFmtId="0">
      <sharedItems containsBlank="1">
        <e v="#ERROR!"/>
        <m/>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262" sheet="Oksana"/>
  </cacheSource>
  <cacheFields>
    <cacheField name="fecha_prestamo" numFmtId="164">
      <sharedItems containsSemiMixedTypes="0" containsDate="1" containsString="0">
        <d v="2025-01-03T00:00:00Z"/>
        <d v="2025-01-05T00:00:00Z"/>
        <d v="2025-01-06T00:00:00Z"/>
        <d v="2025-01-07T00:00:00Z"/>
        <d v="2025-01-08T00:00:00Z"/>
        <d v="2025-01-09T00:00:00Z"/>
        <d v="2025-01-10T00:00:00Z"/>
        <d v="2025-01-11T00:00:00Z"/>
        <d v="2025-01-12T00:00:00Z"/>
        <d v="2025-01-13T00:00:00Z"/>
        <d v="2025-01-14T00:00:00Z"/>
        <d v="2025-01-15T00:00:00Z"/>
        <d v="2025-01-16T00:00:00Z"/>
        <d v="2025-01-17T00:00:00Z"/>
        <d v="2025-01-18T00:00:00Z"/>
        <d v="2025-01-19T00:00:00Z"/>
        <d v="2025-01-20T00:00:00Z"/>
        <d v="2025-01-21T00:00:00Z"/>
        <d v="2025-01-22T00:00:00Z"/>
        <d v="2025-01-23T00:00:00Z"/>
        <d v="2025-01-24T00:00:00Z"/>
        <d v="2025-01-25T00:00:00Z"/>
        <d v="2025-01-26T00:00:00Z"/>
        <d v="2025-01-27T00:00:00Z"/>
        <d v="2025-01-28T00:00:00Z"/>
        <d v="2025-01-29T00:00:00Z"/>
        <d v="2025-01-30T00:00:00Z"/>
        <d v="2025-01-31T00:00:00Z"/>
        <d v="2025-02-01T00:00:00Z"/>
        <d v="2025-02-02T00:00:00Z"/>
        <d v="2025-02-03T00:00:00Z"/>
        <d v="2025-02-04T00:00:00Z"/>
        <d v="2025-02-05T00:00:00Z"/>
        <d v="2025-02-06T00:00:00Z"/>
        <d v="2025-02-07T00:00:00Z"/>
        <d v="2025-02-08T00:00:00Z"/>
        <d v="2025-02-09T00:00:00Z"/>
        <d v="2025-02-10T00:00:00Z"/>
        <d v="2025-02-11T00:00:00Z"/>
        <d v="2025-02-12T00:00:00Z"/>
        <d v="2025-02-13T00:00:00Z"/>
        <d v="2025-02-14T00:00:00Z"/>
        <d v="2025-02-15T00:00:00Z"/>
        <d v="2025-02-16T00:00:00Z"/>
        <d v="2025-02-17T00:00:00Z"/>
        <d v="2025-02-18T00:00:00Z"/>
        <d v="2025-02-19T00:00:00Z"/>
        <d v="2025-02-20T00:00:00Z"/>
        <d v="2025-02-21T00:00:00Z"/>
        <d v="2025-02-22T00:00:00Z"/>
        <d v="2025-02-23T00:00:00Z"/>
        <d v="2025-02-24T00:00:00Z"/>
        <d v="2025-02-25T00:00:00Z"/>
        <d v="2025-02-26T00:00:00Z"/>
        <d v="2025-02-27T00:00:00Z"/>
        <d v="2025-02-28T00:00:00Z"/>
        <d v="2025-03-01T00:00:00Z"/>
        <d v="2025-03-02T00:00:00Z"/>
        <d v="2025-03-03T00:00:00Z"/>
        <d v="2025-03-04T00:00:00Z"/>
        <d v="2025-03-05T00:00:00Z"/>
        <d v="2025-03-06T00:00:00Z"/>
        <d v="2025-03-07T00:00:00Z"/>
        <d v="2025-03-08T00:00:00Z"/>
        <d v="2025-03-09T00:00:00Z"/>
        <d v="2025-03-10T00:00:00Z"/>
        <d v="2025-03-11T00:00:00Z"/>
        <d v="2025-03-12T00:00:00Z"/>
        <d v="2025-03-13T00:00:00Z"/>
        <d v="2025-03-14T00:00:00Z"/>
        <d v="2025-03-15T00:00:00Z"/>
        <d v="2025-03-16T00:00:00Z"/>
        <d v="2025-03-17T00:00:00Z"/>
        <d v="2025-03-18T00:00:00Z"/>
        <d v="2025-03-19T00:00:00Z"/>
        <d v="2025-03-20T00:00:00Z"/>
        <d v="2025-03-21T00:00:00Z"/>
        <d v="2025-03-22T00:00:00Z"/>
        <d v="2025-03-23T00:00:00Z"/>
        <d v="2025-03-24T00:00:00Z"/>
        <d v="2025-03-25T00:00:00Z"/>
        <d v="2025-03-26T00:00:00Z"/>
        <d v="2025-03-27T00:00:00Z"/>
        <d v="2025-03-28T00:00:00Z"/>
        <d v="2025-03-29T00:00:00Z"/>
        <d v="2025-03-30T00:00:00Z"/>
        <d v="2025-03-31T00:00:00Z"/>
        <d v="2025-04-01T00:00:00Z"/>
        <d v="2025-04-02T00:00:00Z"/>
        <d v="2025-04-03T00:00:00Z"/>
        <d v="2025-04-04T00:00:00Z"/>
        <d v="2025-04-05T00:00:00Z"/>
        <d v="2025-04-06T00:00:00Z"/>
        <d v="2025-04-07T00:00:00Z"/>
        <d v="2025-04-08T00:00:00Z"/>
        <d v="2025-04-09T00:00:00Z"/>
        <d v="2025-04-10T00:00:00Z"/>
        <d v="2025-04-11T00:00:00Z"/>
        <d v="2025-04-12T00:00:00Z"/>
        <d v="2025-04-13T00:00:00Z"/>
        <d v="2025-04-14T00:00:00Z"/>
        <d v="2025-04-15T00:00:00Z"/>
        <d v="2025-04-16T00:00:00Z"/>
        <d v="2025-04-17T00:00:00Z"/>
        <d v="2025-04-18T00:00:00Z"/>
        <d v="2025-04-19T00:00:00Z"/>
        <d v="2025-04-20T00:00:00Z"/>
        <d v="2025-04-21T00:00:00Z"/>
        <d v="2025-04-22T00:00:00Z"/>
        <d v="2025-04-23T00:00:00Z"/>
        <d v="2025-04-24T00:00:00Z"/>
        <d v="2025-04-25T00:00:00Z"/>
        <d v="2025-04-26T00:00:00Z"/>
        <d v="2025-04-27T00:00:00Z"/>
        <d v="2025-04-28T00:00:00Z"/>
        <d v="2025-04-29T00:00:00Z"/>
        <d v="2025-04-30T00:00:00Z"/>
        <d v="2025-05-01T00:00:00Z"/>
        <d v="2025-05-02T00:00:00Z"/>
        <d v="2025-05-03T00:00:00Z"/>
        <d v="2025-05-04T00:00:00Z"/>
        <d v="2025-05-05T00:00:00Z"/>
        <d v="2025-05-06T00:00:00Z"/>
        <d v="2025-05-07T00:00:00Z"/>
        <d v="2025-05-08T00:00:00Z"/>
        <d v="2025-05-09T00:00:00Z"/>
        <d v="2025-05-10T00:00:00Z"/>
        <d v="2025-05-11T00:00:00Z"/>
        <d v="2025-05-12T00:00:00Z"/>
        <d v="2025-05-13T00:00:00Z"/>
        <d v="2025-05-14T00:00:00Z"/>
        <d v="2025-05-15T00:00:00Z"/>
        <d v="2025-05-16T00:00:00Z"/>
        <d v="2025-05-17T00:00:00Z"/>
        <d v="2025-05-18T00:00:00Z"/>
        <d v="2025-05-19T00:00:00Z"/>
        <d v="2025-05-20T00:00:00Z"/>
        <d v="2025-05-21T00:00:00Z"/>
        <d v="2025-05-22T00:00:00Z"/>
        <d v="2025-05-23T00:00:00Z"/>
        <d v="2025-05-24T00:00:00Z"/>
        <d v="2025-05-25T00:00:00Z"/>
        <d v="2025-05-26T00:00:00Z"/>
        <d v="2025-05-27T00:00:00Z"/>
        <d v="2025-05-28T00:00:00Z"/>
        <d v="2025-05-29T00:00:00Z"/>
        <d v="2025-05-30T00:00:00Z"/>
        <d v="2025-05-31T00:00:00Z"/>
        <d v="2025-06-01T00:00:00Z"/>
        <d v="2025-06-03T00:00:00Z"/>
        <d v="2025-06-04T00:00:00Z"/>
        <d v="2025-06-06T00:00:00Z"/>
        <d v="2025-06-08T00:00:00Z"/>
        <d v="2025-06-10T00:00:00Z"/>
        <d v="2025-06-11T00:00:00Z"/>
        <d v="2025-06-13T00:00:00Z"/>
        <d v="2025-06-15T00:00:00Z"/>
        <d v="2025-06-17T00:00:00Z"/>
        <d v="2025-06-18T00:00:00Z"/>
        <d v="2025-06-20T00:00:00Z"/>
        <d v="2025-06-22T00:00:00Z"/>
        <d v="2025-06-24T00:00:00Z"/>
        <d v="2025-06-25T00:00:00Z"/>
        <d v="2025-06-27T00:00:00Z"/>
        <d v="2025-06-29T00:00:00Z"/>
        <d v="2025-07-01T00:00:00Z"/>
        <d v="2025-07-03T00:00:00Z"/>
        <d v="2025-07-06T00:00:00Z"/>
        <d v="2025-07-08T00:00:00Z"/>
        <d v="2025-07-10T00:00:00Z"/>
        <d v="2025-07-13T00:00:00Z"/>
        <d v="2025-07-15T00:00:00Z"/>
        <d v="2025-07-17T00:00:00Z"/>
        <d v="2025-07-20T00:00:00Z"/>
        <d v="2025-07-22T00:00:00Z"/>
        <d v="2025-07-24T00:00:00Z"/>
        <d v="2025-07-27T00:00:00Z"/>
        <d v="2025-07-29T00:00:00Z"/>
        <d v="2025-07-31T00:00:00Z"/>
        <d v="2025-08-03T00:00:00Z"/>
        <d v="2025-08-05T00:00:00Z"/>
        <d v="2025-08-07T00:00:00Z"/>
        <d v="2025-08-10T00:00:00Z"/>
        <d v="2025-08-12T00:00:00Z"/>
        <d v="2025-08-14T00:00:00Z"/>
        <d v="2025-08-17T00:00:00Z"/>
        <d v="2025-08-19T00:00:00Z"/>
        <d v="2025-08-21T00:00:00Z"/>
        <d v="2025-08-24T00:00:00Z"/>
        <d v="2025-08-26T00:00:00Z"/>
        <d v="2025-08-28T00:00:00Z"/>
        <d v="2025-08-31T00:00:00Z"/>
        <d v="2025-09-02T00:00:00Z"/>
        <d v="2025-09-03T00:00:00Z"/>
        <d v="2025-09-05T00:00:00Z"/>
        <d v="2025-09-07T00:00:00Z"/>
        <d v="2025-09-09T00:00:00Z"/>
        <d v="2025-09-10T00:00:00Z"/>
        <d v="2025-09-12T00:00:00Z"/>
        <d v="2025-09-14T00:00:00Z"/>
        <d v="2025-09-16T00:00:00Z"/>
        <d v="2025-09-17T00:00:00Z"/>
        <d v="2025-09-19T00:00:00Z"/>
        <d v="2025-09-21T00:00:00Z"/>
        <d v="2025-09-23T00:00:00Z"/>
        <d v="2025-09-24T00:00:00Z"/>
        <d v="2025-09-26T00:00:00Z"/>
        <d v="2025-09-28T00:00:00Z"/>
        <d v="2025-09-30T00:00:00Z"/>
        <d v="2025-10-01T00:00:00Z"/>
        <d v="2025-10-03T00:00:00Z"/>
        <d v="2025-10-05T00:00:00Z"/>
        <d v="2025-10-07T00:00:00Z"/>
        <d v="2025-10-08T00:00:00Z"/>
        <d v="2025-10-10T00:00:00Z"/>
        <d v="2025-10-12T00:00:00Z"/>
        <d v="2025-10-14T00:00:00Z"/>
        <d v="2025-10-15T00:00:00Z"/>
        <d v="2025-10-17T00:00:00Z"/>
        <d v="2025-10-19T00:00:00Z"/>
        <d v="2025-10-21T00:00:00Z"/>
        <d v="2025-10-22T00:00:00Z"/>
        <d v="2025-10-24T00:00:00Z"/>
        <d v="2025-10-26T00:00:00Z"/>
        <d v="2025-10-28T00:00:00Z"/>
        <d v="2025-10-29T00:00:00Z"/>
        <d v="2025-10-31T00:00:00Z"/>
        <d v="2025-11-02T00:00:00Z"/>
        <d v="2025-11-04T00:00:00Z"/>
        <d v="2025-11-05T00:00:00Z"/>
        <d v="2025-11-07T00:00:00Z"/>
        <d v="2025-11-09T00:00:00Z"/>
        <d v="2025-11-11T00:00:00Z"/>
        <d v="2025-11-12T00:00:00Z"/>
        <d v="2025-11-14T00:00:00Z"/>
        <d v="2025-11-16T00:00:00Z"/>
        <d v="2025-11-18T00:00:00Z"/>
        <d v="2025-11-19T00:00:00Z"/>
        <d v="2025-11-21T00:00:00Z"/>
        <d v="2025-11-23T00:00:00Z"/>
        <d v="2025-11-25T00:00:00Z"/>
        <d v="2025-11-26T00:00:00Z"/>
        <d v="2025-11-28T00:00:00Z"/>
        <d v="2025-11-30T00:00:00Z"/>
        <d v="2025-12-02T00:00:00Z"/>
        <d v="2025-12-03T00:00:00Z"/>
        <d v="2025-12-05T00:00:00Z"/>
        <d v="2025-12-07T00:00:00Z"/>
        <d v="2025-12-09T00:00:00Z"/>
        <d v="2025-12-10T00:00:00Z"/>
        <d v="2025-12-12T00:00:00Z"/>
        <d v="2025-12-14T00:00:00Z"/>
        <d v="2025-12-16T00:00:00Z"/>
        <d v="2025-12-17T00:00:00Z"/>
        <d v="2025-12-19T00:00:00Z"/>
        <d v="2025-12-21T00:00:00Z"/>
        <d v="2025-12-23T00:00:00Z"/>
        <d v="2025-12-24T00:00:00Z"/>
        <d v="2025-12-26T00:00:00Z"/>
        <d v="2025-12-28T00:00:00Z"/>
        <d v="2025-12-30T00:00:00Z"/>
      </sharedItems>
    </cacheField>
    <cacheField name="categoria_libro" numFmtId="0">
      <sharedItems>
        <s v="ensayo"/>
        <s v="ficcion"/>
        <s v="infantil"/>
        <s v="comic"/>
        <s v="novela_grafica"/>
        <s v="poesia"/>
        <s v="divulgacion"/>
      </sharedItems>
    </cacheField>
    <cacheField name="idioma" numFmtId="0">
      <sharedItems>
        <s v="español"/>
        <s v="inglés"/>
        <s v="catalán"/>
      </sharedItems>
    </cacheField>
    <cacheField name="duracion_prestamo_dias" numFmtId="0">
      <sharedItems containsSemiMixedTypes="0" containsString="0" containsNumber="1" containsInteger="1">
        <n v="22.0"/>
        <n v="14.0"/>
        <n v="21.0"/>
        <n v="10.0"/>
        <n v="7.0"/>
        <n v="9.0"/>
        <n v="15.0"/>
        <n v="18.0"/>
        <n v="20.0"/>
        <n v="25.0"/>
        <n v="11.0"/>
        <n v="8.0"/>
        <n v="30.0"/>
        <n v="24.0"/>
        <n v="16.0"/>
        <n v="27.0"/>
        <n v="12.0"/>
        <n v="28.0"/>
        <n v="19.0"/>
        <n v="23.0"/>
        <n v="17.0"/>
        <n v="35.0"/>
        <n v="26.0"/>
      </sharedItems>
    </cacheField>
    <cacheField name="devuelto_a_tiempo" numFmtId="0">
      <sharedItems>
        <s v="si"/>
        <s v="no"/>
      </sharedItems>
    </cacheField>
    <cacheField name="franja_horaria" numFmtId="0">
      <sharedItems>
        <s v="tarde"/>
        <s v="mañana"/>
      </sharedItems>
    </cacheField>
    <cacheField name="mes" numFmtId="0">
      <sharedItems>
        <s v="enero"/>
        <s v="febrero"/>
        <s v="marzo"/>
        <s v="abril"/>
        <s v="mayo"/>
        <s v="junio"/>
        <s v="julio"/>
        <s v="agosto"/>
        <s v="septiembre"/>
        <s v="octubre"/>
        <s v="noviembre"/>
        <s v="diciembre"/>
      </sharedItems>
    </cacheField>
    <cacheField name="mes_num." numFmtId="0">
      <sharedItems containsSemiMixedTypes="0" containsString="0" containsNumber="1" containsInteger="1">
        <n v="1.0"/>
        <n v="2.0"/>
        <n v="3.0"/>
        <n v="4.0"/>
        <n v="5.0"/>
        <n v="6.0"/>
        <n v="7.0"/>
        <n v="8.0"/>
        <n v="9.0"/>
        <n v="10.0"/>
        <n v="11.0"/>
        <n v="12.0"/>
      </sharedItems>
    </cacheField>
    <cacheField name="dia_semana" numFmtId="0">
      <sharedItems>
        <s v="5. viernes"/>
        <s v="7. domingo"/>
        <s v="1. lunes"/>
        <s v="2. martes"/>
        <s v="3. miércoles"/>
        <s v="4. jueves"/>
        <s v="6. sábado"/>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Alex" cacheId="0" dataCaption="" compact="0" compactData="0">
  <location ref="K1:O15" firstHeaderRow="0" firstDataRow="2" firstDataCol="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 libro" dataField="1" compact="0" outline="0" multipleItemSelectionAllowed="1" showAll="0">
      <items>
        <item x="0"/>
        <item x="1"/>
        <item x="2"/>
        <item x="3"/>
        <item x="4"/>
        <item x="5"/>
        <item x="6"/>
        <item t="default"/>
      </items>
    </pivotField>
    <pivotField name="idioma" compact="0" numFmtId="49"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_horaria" axis="axisCol" compact="0" outline="0" multipleItemSelectionAllowed="1" showAll="0" sortType="ascending">
      <items>
        <item x="1"/>
        <item x="0"/>
        <item t="default"/>
      </items>
    </pivotField>
    <pivotField name="mes" compact="0" outline="0" multipleItemSelectionAllowed="1" showAll="0">
      <items>
        <item x="0"/>
        <item x="1"/>
        <item x="2"/>
        <item x="3"/>
        <item x="4"/>
        <item x="5"/>
        <item x="6"/>
        <item x="7"/>
        <item x="8"/>
        <item x="9"/>
        <item x="10"/>
        <item x="11"/>
        <item t="default"/>
      </items>
    </pivotField>
    <pivotField name="mes-num" axis="axisRow" compact="0" outline="0" multipleItemSelectionAllowed="1" showAll="0" sortType="ascending">
      <items>
        <item x="0"/>
        <item x="1"/>
        <item x="2"/>
        <item x="3"/>
        <item x="4"/>
        <item x="5"/>
        <item x="6"/>
        <item x="7"/>
        <item x="8"/>
        <item x="9"/>
        <item x="10"/>
        <item x="11"/>
        <item t="default"/>
      </items>
    </pivotField>
    <pivotField name="dia_semana" axis="axisRow" compact="0" outline="0" multipleItemSelectionAllowed="1" showAll="0" sortType="ascending">
      <items>
        <item x="1"/>
        <item x="5"/>
        <item x="2"/>
        <item x="3"/>
        <item x="4"/>
        <item x="6"/>
        <item x="0"/>
        <item t="default"/>
      </items>
    </pivotField>
  </pivotFields>
  <rowFields>
    <field x="7"/>
    <field x="8"/>
  </rowFields>
  <colFields>
    <field x="5"/>
  </colFields>
  <dataFields>
    <dataField name="COUNTA of categoria libro" fld="1" subtotal="count" showDataAs="percentOfTotal" baseField="0" numFmtId="10"/>
  </dataFields>
</pivotTableDefinition>
</file>

<file path=xl/pivotTables/pivotTable2.xml><?xml version="1.0" encoding="utf-8"?>
<pivotTableDefinition xmlns="http://schemas.openxmlformats.org/spreadsheetml/2006/main" name="Cisco" cacheId="1" dataCaption="" compact="0" compactData="0">
  <location ref="L2:Z8" firstHeaderRow="0" firstDataRow="1" firstDataCol="2"/>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 axis="axisCol" dataField="1" compact="0" outline="0" multipleItemSelectionAllowed="1" showAll="0" sortType="ascending">
      <items>
        <item x="3"/>
        <item x="6"/>
        <item x="0"/>
        <item x="1"/>
        <item x="2"/>
        <item x="4"/>
        <item x="5"/>
        <item t="default"/>
      </items>
    </pivotField>
    <pivotField name="idioma" axis="axisRow" compact="0" numFmtId="49" outline="0" multipleItemSelectionAllowed="1" showAll="0" sortType="ascending">
      <items>
        <item x="2"/>
        <item x="0"/>
        <item x="1"/>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axis="axisCol" compact="0" outline="0" multipleItemSelectionAllowed="1" showAll="0" sortType="ascending">
      <items>
        <item x="1"/>
        <item x="0"/>
        <item t="default"/>
      </items>
    </pivotField>
    <pivotField name="franja_horaria" compact="0" outline="0" multipleItemSelectionAllowed="1" showAll="0">
      <items>
        <item x="0"/>
        <item x="1"/>
        <item t="default"/>
      </items>
    </pivotField>
    <pivotField name="mes" compact="0" outline="0" multipleItemSelectionAllowed="1" showAll="0">
      <items>
        <item x="0"/>
        <item x="1"/>
        <item x="2"/>
        <item x="3"/>
        <item x="4"/>
        <item x="5"/>
        <item x="6"/>
        <item x="7"/>
        <item x="8"/>
        <item x="9"/>
        <item x="10"/>
        <item x="11"/>
        <item t="default"/>
      </items>
    </pivotField>
    <pivotField name="mes en numeros" compact="0" outline="0" multipleItemSelectionAllowed="1" showAll="0">
      <items>
        <item x="0"/>
        <item x="1"/>
        <item x="2"/>
        <item x="3"/>
        <item x="4"/>
        <item x="5"/>
        <item x="6"/>
        <item x="7"/>
        <item x="8"/>
        <item x="9"/>
        <item x="10"/>
        <item x="11"/>
        <item t="default"/>
      </items>
    </pivotField>
    <pivotField name="dia_semana" compact="0" outline="0" multipleItemSelectionAllowed="1" showAll="0">
      <items>
        <item x="0"/>
        <item x="1"/>
        <item x="2"/>
        <item x="3"/>
        <item x="4"/>
        <item x="5"/>
        <item x="6"/>
        <item x="7"/>
        <item t="default"/>
      </items>
    </pivotField>
    <pivotField name="Column 1" compact="0" outline="0" multipleItemSelectionAllowed="1" showAll="0">
      <items>
        <item x="0"/>
        <item x="1"/>
        <item t="default"/>
      </items>
    </pivotField>
  </pivotFields>
  <rowFields>
    <field x="2"/>
  </rowFields>
  <colFields>
    <field x="4"/>
    <field x="1"/>
  </colFields>
  <dataFields>
    <dataField name="COUNTA of Categoria" fld="1" subtotal="count" baseField="0"/>
  </dataFields>
</pivotTableDefinition>
</file>

<file path=xl/pivotTables/pivotTable3.xml><?xml version="1.0" encoding="utf-8"?>
<pivotTableDefinition xmlns="http://schemas.openxmlformats.org/spreadsheetml/2006/main" name="Cheyenne" cacheId="2" dataCaption="" compact="0" compactData="0">
  <location ref="M4:P13" firstHeaderRow="0" firstDataRow="1" firstDataCol="1"/>
  <pivotFields>
    <pivotField name="fecha_prestamo"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axis="axisRow" compact="0" outline="0" multipleItemSelectionAllowed="1" showAll="0" sortType="ascending">
      <items>
        <item x="3"/>
        <item x="6"/>
        <item x="0"/>
        <item x="1"/>
        <item x="2"/>
        <item x="4"/>
        <item x="5"/>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axis="axisCol" dataField="1" compact="0" outline="0" multipleItemSelectionAllowed="1" showAll="0" sortType="ascending">
      <items>
        <item x="1"/>
        <item x="0"/>
        <item t="default"/>
      </items>
    </pivotField>
    <pivotField name="franja_horaria" compact="0" outline="0" multipleItemSelectionAllowed="1" showAll="0">
      <items>
        <item x="0"/>
        <item x="1"/>
        <item t="default"/>
      </items>
    </pivotField>
    <pivotField name="mes" compact="0" outline="0" multipleItemSelectionAllowed="1" showAll="0">
      <items>
        <item x="0"/>
        <item x="1"/>
        <item x="2"/>
        <item x="3"/>
        <item x="4"/>
        <item x="5"/>
        <item x="6"/>
        <item x="7"/>
        <item x="8"/>
        <item x="9"/>
        <item x="10"/>
        <item x="11"/>
        <item t="default"/>
      </items>
    </pivotField>
    <pivotField name="mes por orden" compact="0" outline="0" multipleItemSelectionAllowed="1" showAll="0">
      <items>
        <item x="0"/>
        <item x="1"/>
        <item x="2"/>
        <item x="3"/>
        <item x="4"/>
        <item x="5"/>
        <item x="6"/>
        <item x="7"/>
        <item x="8"/>
        <item x="9"/>
        <item x="10"/>
        <item x="11"/>
        <item t="default"/>
      </items>
    </pivotField>
    <pivotField name="dia_semana" compact="0" outline="0" multipleItemSelectionAllowed="1" showAll="0">
      <items>
        <item x="0"/>
        <item x="1"/>
        <item x="2"/>
        <item x="3"/>
        <item x="4"/>
        <item x="5"/>
        <item x="6"/>
        <item t="default"/>
      </items>
    </pivotField>
    <pivotField name="orden semana" compact="0" outline="0" multipleItemSelectionAllowed="1" showAll="0">
      <items>
        <item x="0"/>
        <item x="1"/>
        <item x="2"/>
        <item x="3"/>
        <item x="4"/>
        <item x="5"/>
        <item x="6"/>
        <item t="default"/>
      </items>
    </pivotField>
    <pivotField name="orden y nombre semana" compact="0" outline="0" multipleItemSelectionAllowed="1" showAll="0">
      <items>
        <item x="0"/>
        <item x="1"/>
        <item x="2"/>
        <item x="3"/>
        <item x="4"/>
        <item x="5"/>
        <item x="6"/>
        <item t="default"/>
      </items>
    </pivotField>
  </pivotFields>
  <rowFields>
    <field x="1"/>
  </rowFields>
  <colFields>
    <field x="4"/>
  </colFields>
  <dataFields>
    <dataField name="COUNTA of devuelto_a_tiempo" fld="4" subtotal="count" baseField="0"/>
  </dataFields>
</pivotTableDefinition>
</file>

<file path=xl/pivotTables/pivotTable4.xml><?xml version="1.0" encoding="utf-8"?>
<pivotTableDefinition xmlns="http://schemas.openxmlformats.org/spreadsheetml/2006/main" name="AGATA" cacheId="3" dataCaption="" compact="0" compactData="0">
  <location ref="K2:P30" firstHeaderRow="0" firstDataRow="3" firstDataCol="1"/>
  <pivotFields>
    <pivotField name="fecha_prestamo"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axis="axisRow" dataField="1" compact="0" outline="0" multipleItemSelectionAllowed="1" showAll="0" sortType="ascending">
      <items>
        <item x="3"/>
        <item x="6"/>
        <item x="0"/>
        <item x="1"/>
        <item x="2"/>
        <item x="4"/>
        <item x="5"/>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_horaria" axis="axisCol" compact="0" outline="0" multipleItemSelectionAllowed="1" showAll="0" sortType="ascending">
      <items>
        <item x="1"/>
        <item x="0"/>
        <item t="default"/>
      </items>
    </pivotField>
    <pivotField name="mes" compact="0" outline="0" multipleItemSelectionAllowed="1" showAll="0">
      <items>
        <item x="0"/>
        <item x="1"/>
        <item x="2"/>
        <item x="3"/>
        <item x="4"/>
        <item x="5"/>
        <item x="6"/>
        <item x="7"/>
        <item x="8"/>
        <item x="9"/>
        <item x="10"/>
        <item x="11"/>
        <item t="default"/>
      </items>
    </pivotField>
    <pivotField name="mes numero" axis="axisRow" compact="0" outline="0" multipleItemSelectionAllowed="1" showAll="0" sortType="ascending">
      <items>
        <item sd="0" x="0"/>
        <item x="1"/>
        <item x="2"/>
        <item x="3"/>
        <item x="4"/>
        <item x="5"/>
        <item x="6"/>
        <item x="7"/>
        <item x="8"/>
        <item x="9"/>
        <item x="10"/>
        <item x="11"/>
        <item t="default"/>
      </items>
    </pivotField>
    <pivotField name="dia_semana" axis="axisRow" compact="0" outline="0" multipleItemSelectionAllowed="1" showAll="0" sortType="ascending">
      <items>
        <item x="1"/>
        <item x="5"/>
        <item x="2"/>
        <item x="3"/>
        <item x="4"/>
        <item x="6"/>
        <item x="0"/>
        <item t="default"/>
      </items>
    </pivotField>
    <pivotField name="Column 1" compact="0" outline="0" multipleItemSelectionAllowed="1" showAll="0">
      <items>
        <item x="0"/>
        <item x="1"/>
        <item t="default"/>
      </items>
    </pivotField>
  </pivotFields>
  <rowFields>
    <field x="7"/>
    <field x="8"/>
    <field x="1"/>
  </rowFields>
  <colFields>
    <field x="5"/>
  </colFields>
  <dataFields>
    <dataField name="COUNTA of categoria_libro" fld="1" subtotal="count" showDataAs="percentOfTotal" baseField="0" numFmtId="10"/>
  </dataFields>
</pivotTableDefinition>
</file>

<file path=xl/pivotTables/pivotTable5.xml><?xml version="1.0" encoding="utf-8"?>
<pivotTableDefinition xmlns="http://schemas.openxmlformats.org/spreadsheetml/2006/main" name="AGATA 2" cacheId="3" dataCaption="" compact="0" compactData="0">
  <location ref="V3:AD17" firstHeaderRow="0" firstDataRow="1" firstDataCol="1"/>
  <pivotFields>
    <pivotField name="fecha_prestamo"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axis="axisCol" compact="0" outline="0" multipleItemSelectionAllowed="1" showAll="0" sortType="ascending">
      <items>
        <item x="3"/>
        <item x="6"/>
        <item x="0"/>
        <item x="1"/>
        <item x="2"/>
        <item x="4"/>
        <item x="5"/>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dataField="1" compact="0" outline="0" multipleItemSelectionAllowed="1" showAll="0">
      <items>
        <item x="0"/>
        <item x="1"/>
        <item t="default"/>
      </items>
    </pivotField>
    <pivotField name="franja_horaria" compact="0" outline="0" multipleItemSelectionAllowed="1" showAll="0">
      <items>
        <item x="0"/>
        <item x="1"/>
        <item t="default"/>
      </items>
    </pivotField>
    <pivotField name="mes" compact="0" outline="0" multipleItemSelectionAllowed="1" showAll="0">
      <items>
        <item x="0"/>
        <item x="1"/>
        <item x="2"/>
        <item x="3"/>
        <item x="4"/>
        <item x="5"/>
        <item x="6"/>
        <item x="7"/>
        <item x="8"/>
        <item x="9"/>
        <item x="10"/>
        <item x="11"/>
        <item t="default"/>
      </items>
    </pivotField>
    <pivotField name="mes numero" axis="axisRow" compact="0" outline="0" multipleItemSelectionAllowed="1" showAll="0" sortType="ascending">
      <items>
        <item x="0"/>
        <item x="1"/>
        <item x="2"/>
        <item x="3"/>
        <item x="4"/>
        <item x="5"/>
        <item x="6"/>
        <item x="7"/>
        <item x="8"/>
        <item x="9"/>
        <item x="10"/>
        <item x="11"/>
        <item t="default"/>
      </items>
    </pivotField>
    <pivotField name="dia_semana" compact="0" outline="0" multipleItemSelectionAllowed="1" showAll="0">
      <items>
        <item x="0"/>
        <item x="1"/>
        <item x="2"/>
        <item x="3"/>
        <item x="4"/>
        <item x="5"/>
        <item x="6"/>
        <item t="default"/>
      </items>
    </pivotField>
    <pivotField name="Column 1" compact="0" outline="0" multipleItemSelectionAllowed="1" showAll="0">
      <items>
        <item x="0"/>
        <item x="1"/>
        <item t="default"/>
      </items>
    </pivotField>
  </pivotFields>
  <rowFields>
    <field x="7"/>
  </rowFields>
  <colFields>
    <field x="1"/>
  </colFields>
  <dataFields>
    <dataField name="COUNTA of devuelto_a_tiempo" fld="4" subtotal="count" baseField="0"/>
  </dataFields>
</pivotTableDefinition>
</file>

<file path=xl/pivotTables/pivotTable6.xml><?xml version="1.0" encoding="utf-8"?>
<pivotTableDefinition xmlns="http://schemas.openxmlformats.org/spreadsheetml/2006/main" name="AGATA 3" cacheId="3" dataCaption="" compact="0" compactData="0">
  <location ref="R5:T54" firstHeaderRow="0" firstDataRow="2" firstDataCol="0"/>
  <pivotFields>
    <pivotField name="fecha_prestamo"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dataField="1" compact="0" outline="0" multipleItemSelectionAllowed="1" showAll="0">
      <items>
        <item x="0"/>
        <item x="1"/>
        <item x="2"/>
        <item x="3"/>
        <item x="4"/>
        <item x="5"/>
        <item x="6"/>
        <item t="default"/>
      </items>
    </pivotField>
    <pivotField name="idioma" axis="axisRow" compact="0" outline="0" multipleItemSelectionAllowed="1" showAll="0" sortType="ascending">
      <items>
        <item x="2"/>
        <item x="0"/>
        <item x="1"/>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_horaria" compact="0" outline="0" multipleItemSelectionAllowed="1" showAll="0">
      <items>
        <item x="0"/>
        <item x="1"/>
        <item t="default"/>
      </items>
    </pivotField>
    <pivotField name="mes" compact="0" outline="0" multipleItemSelectionAllowed="1" showAll="0">
      <items>
        <item x="0"/>
        <item x="1"/>
        <item x="2"/>
        <item x="3"/>
        <item x="4"/>
        <item x="5"/>
        <item x="6"/>
        <item x="7"/>
        <item x="8"/>
        <item x="9"/>
        <item x="10"/>
        <item x="11"/>
        <item t="default"/>
      </items>
    </pivotField>
    <pivotField name="mes numero" axis="axisRow" compact="0" outline="0" multipleItemSelectionAllowed="1" showAll="0" sortType="ascending">
      <items>
        <item x="0"/>
        <item x="1"/>
        <item x="2"/>
        <item x="3"/>
        <item x="4"/>
        <item x="5"/>
        <item x="6"/>
        <item x="7"/>
        <item x="8"/>
        <item x="9"/>
        <item x="10"/>
        <item x="11"/>
        <item t="default"/>
      </items>
    </pivotField>
    <pivotField name="dia_semana" compact="0" outline="0" multipleItemSelectionAllowed="1" showAll="0">
      <items>
        <item x="0"/>
        <item x="1"/>
        <item x="2"/>
        <item x="3"/>
        <item x="4"/>
        <item x="5"/>
        <item x="6"/>
        <item t="default"/>
      </items>
    </pivotField>
    <pivotField name="Column 1" compact="0" outline="0" multipleItemSelectionAllowed="1" showAll="0">
      <items>
        <item x="0"/>
        <item x="1"/>
        <item t="default"/>
      </items>
    </pivotField>
  </pivotFields>
  <rowFields>
    <field x="7"/>
    <field x="2"/>
  </rowFields>
  <dataFields>
    <dataField name="COUNTA of categoria_libro" fld="1" subtotal="count" baseField="0"/>
  </dataFields>
</pivotTableDefinition>
</file>

<file path=xl/pivotTables/pivotTable7.xml><?xml version="1.0" encoding="utf-8"?>
<pivotTableDefinition xmlns="http://schemas.openxmlformats.org/spreadsheetml/2006/main" name="Tablas dinamicas" cacheId="4" dataCaption="" compact="0" compactData="0">
  <location ref="A4:E13" firstHeaderRow="0" firstDataRow="1" firstDataCol="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axis="axisRow" dataField="1" compact="0" outline="0" multipleItemSelectionAllowed="1" showAll="0" sortType="ascending">
      <items>
        <item x="3"/>
        <item x="6"/>
        <item x="0"/>
        <item x="1"/>
        <item x="2"/>
        <item x="4"/>
        <item x="5"/>
        <item t="default"/>
      </items>
    </pivotField>
    <pivotField name="idioma" axis="axisCol" compact="0" outline="0" multipleItemSelectionAllowed="1" showAll="0" sortType="ascending">
      <items>
        <item x="2"/>
        <item x="0"/>
        <item x="1"/>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_horaria" compact="0" outline="0" multipleItemSelectionAllowed="1" showAll="0">
      <items>
        <item x="0"/>
        <item x="1"/>
        <item t="default"/>
      </items>
    </pivotField>
    <pivotField name="mes" compact="0" outline="0" multipleItemSelectionAllowed="1" showAll="0">
      <items>
        <item x="0"/>
        <item x="1"/>
        <item x="2"/>
        <item x="3"/>
        <item x="4"/>
        <item x="5"/>
        <item x="6"/>
        <item x="7"/>
        <item x="8"/>
        <item x="9"/>
        <item x="10"/>
        <item x="11"/>
        <item t="default"/>
      </items>
    </pivotField>
    <pivotField name="mes_num." compact="0" outline="0" multipleItemSelectionAllowed="1" showAll="0">
      <items>
        <item x="0"/>
        <item x="1"/>
        <item x="2"/>
        <item x="3"/>
        <item x="4"/>
        <item x="5"/>
        <item x="6"/>
        <item x="7"/>
        <item x="8"/>
        <item x="9"/>
        <item x="10"/>
        <item x="11"/>
        <item t="default"/>
      </items>
    </pivotField>
    <pivotField name="dia_semana" compact="0" outline="0" multipleItemSelectionAllowed="1" showAll="0">
      <items>
        <item x="0"/>
        <item x="1"/>
        <item x="2"/>
        <item x="3"/>
        <item x="4"/>
        <item x="5"/>
        <item x="6"/>
        <item t="default"/>
      </items>
    </pivotField>
  </pivotFields>
  <rowFields>
    <field x="1"/>
  </rowFields>
  <colFields>
    <field x="2"/>
  </colFields>
  <dataFields>
    <dataField name="COUNTA of categoria_libro" fld="1" subtotal="count" showDataAs="percentOfTotal" baseField="0" numFmtId="10"/>
  </dataFields>
</pivotTableDefinition>
</file>

<file path=xl/pivotTables/pivotTable8.xml><?xml version="1.0" encoding="utf-8"?>
<pivotTableDefinition xmlns="http://schemas.openxmlformats.org/spreadsheetml/2006/main" name="Tablas dinamicas 2" cacheId="4" dataCaption="" compact="0" compactData="0">
  <location ref="A26:N36" firstHeaderRow="0" firstDataRow="1" firstDataCol="2"/>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axis="axisRow" dataField="1" compact="0" outline="0" multipleItemSelectionAllowed="1" showAll="0" sortType="ascending">
      <items>
        <item x="3"/>
        <item x="6"/>
        <item x="0"/>
        <item x="1"/>
        <item x="2"/>
        <item x="4"/>
        <item x="5"/>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axis="axisCol" compact="0" outline="0" multipleItemSelectionAllowed="1" showAll="0" sortType="ascending">
      <items>
        <item x="1"/>
        <item sd="0" x="0"/>
        <item t="default"/>
      </items>
    </pivotField>
    <pivotField name="franja_horaria" compact="0" outline="0" multipleItemSelectionAllowed="1" showAll="0">
      <items>
        <item x="0"/>
        <item x="1"/>
        <item t="default"/>
      </items>
    </pivotField>
    <pivotField name="mes" compact="0" outline="0" multipleItemSelectionAllowed="1" showAll="0">
      <items>
        <item x="0"/>
        <item x="1"/>
        <item x="2"/>
        <item x="3"/>
        <item x="4"/>
        <item x="5"/>
        <item x="6"/>
        <item x="7"/>
        <item x="8"/>
        <item x="9"/>
        <item x="10"/>
        <item x="11"/>
        <item t="default"/>
      </items>
    </pivotField>
    <pivotField name="mes_num." axis="axisCol" compact="0" outline="0" multipleItemSelectionAllowed="1" showAll="0" sortType="ascending">
      <items>
        <item x="0"/>
        <item x="1"/>
        <item x="2"/>
        <item x="3"/>
        <item x="4"/>
        <item x="5"/>
        <item x="6"/>
        <item x="7"/>
        <item x="8"/>
        <item x="9"/>
        <item x="10"/>
        <item x="11"/>
        <item t="default"/>
      </items>
    </pivotField>
    <pivotField name="dia_semana" compact="0" outline="0" multipleItemSelectionAllowed="1" showAll="0">
      <items>
        <item x="0"/>
        <item x="1"/>
        <item x="2"/>
        <item x="3"/>
        <item x="4"/>
        <item x="5"/>
        <item x="6"/>
        <item t="default"/>
      </items>
    </pivotField>
  </pivotFields>
  <rowFields>
    <field x="1"/>
  </rowFields>
  <colFields>
    <field x="4"/>
    <field x="7"/>
  </colFields>
  <dataFields>
    <dataField name="COUNTA of categoria_libro" fld="1" subtotal="count" showDataAs="percentOfTotal" baseField="0" numFmtId="10"/>
  </dataFields>
</pivotTableDefinition>
</file>

<file path=xl/pivotTables/pivotTable9.xml><?xml version="1.0" encoding="utf-8"?>
<pivotTableDefinition xmlns="http://schemas.openxmlformats.org/spreadsheetml/2006/main" name="Tablas dinamicas 3" cacheId="4" dataCaption="" compact="0" compactData="0">
  <location ref="Q26:W36" firstHeaderRow="0" firstDataRow="2" firstDataCol="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axis="axisRow" compact="0" outline="0" multipleItemSelectionAllowed="1" showAll="0" sortType="ascending">
      <items>
        <item x="3"/>
        <item x="6"/>
        <item x="0"/>
        <item x="1"/>
        <item x="2"/>
        <item x="4"/>
        <item x="5"/>
        <item t="default"/>
      </items>
    </pivotField>
    <pivotField name="idioma" compact="0" outline="0" multipleItemSelectionAllowed="1" showAll="0">
      <items>
        <item x="0"/>
        <item x="1"/>
        <item x="2"/>
        <item t="default"/>
      </items>
    </pivotField>
    <pivotField name="duracion_prestamo_dias" dataField="1"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axis="axisCol" compact="0" outline="0" multipleItemSelectionAllowed="1" showAll="0" sortType="descending">
      <items>
        <item x="0"/>
        <item x="1"/>
        <item t="default"/>
      </items>
    </pivotField>
    <pivotField name="franja_horaria" compact="0" outline="0" multipleItemSelectionAllowed="1" showAll="0">
      <items>
        <item x="0"/>
        <item x="1"/>
        <item t="default"/>
      </items>
    </pivotField>
    <pivotField name="mes" compact="0" outline="0" multipleItemSelectionAllowed="1" showAll="0">
      <items>
        <item x="0"/>
        <item x="1"/>
        <item x="2"/>
        <item x="3"/>
        <item x="4"/>
        <item x="5"/>
        <item x="6"/>
        <item x="7"/>
        <item x="8"/>
        <item x="9"/>
        <item x="10"/>
        <item x="11"/>
        <item t="default"/>
      </items>
    </pivotField>
    <pivotField name="mes_num." compact="0" outline="0" multipleItemSelectionAllowed="1" showAll="0">
      <items>
        <item x="0"/>
        <item x="1"/>
        <item x="2"/>
        <item x="3"/>
        <item x="4"/>
        <item x="5"/>
        <item x="6"/>
        <item x="7"/>
        <item x="8"/>
        <item x="9"/>
        <item x="10"/>
        <item x="11"/>
        <item t="default"/>
      </items>
    </pivotField>
    <pivotField name="dia_semana" compact="0" outline="0" multipleItemSelectionAllowed="1" showAll="0">
      <items>
        <item x="0"/>
        <item x="1"/>
        <item x="2"/>
        <item x="3"/>
        <item x="4"/>
        <item x="5"/>
        <item x="6"/>
        <item t="default"/>
      </items>
    </pivotField>
  </pivotFields>
  <rowFields>
    <field x="1"/>
  </rowFields>
  <colFields>
    <field x="4"/>
    <field x="-2"/>
  </colFields>
  <dataFields>
    <dataField name="MIN of duracion" fld="3" subtotal="min" baseField="0"/>
    <dataField name="MAX of duracion" fld="3" subtotal="max" baseField="0"/>
  </dataFields>
</pivotTableDefinition>
</file>

<file path=xl/pivotTables/pivotTable10.xml><?xml version="1.0" encoding="utf-8"?>
<pivotTableDefinition xmlns="http://schemas.openxmlformats.org/spreadsheetml/2006/main" name="Tablas dinamicas 4" cacheId="4" dataCaption="" compact="0" compactData="0">
  <location ref="A46:E60" firstHeaderRow="0" firstDataRow="2" firstDataCol="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dataField="1" compact="0" outline="0" multipleItemSelectionAllowed="1" showAll="0">
      <items>
        <item x="0"/>
        <item x="1"/>
        <item x="2"/>
        <item x="3"/>
        <item x="4"/>
        <item x="5"/>
        <item x="6"/>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_horaria" axis="axisCol" compact="0" outline="0" multipleItemSelectionAllowed="1" showAll="0" sortType="ascending">
      <items>
        <item x="1"/>
        <item x="0"/>
        <item t="default"/>
      </items>
    </pivotField>
    <pivotField name="mes" compact="0" outline="0" multipleItemSelectionAllowed="1" showAll="0">
      <items>
        <item x="0"/>
        <item x="1"/>
        <item x="2"/>
        <item x="3"/>
        <item x="4"/>
        <item x="5"/>
        <item x="6"/>
        <item x="7"/>
        <item x="8"/>
        <item x="9"/>
        <item x="10"/>
        <item x="11"/>
        <item t="default"/>
      </items>
    </pivotField>
    <pivotField name="mes_num." axis="axisRow" compact="0" outline="0" multipleItemSelectionAllowed="1" showAll="0" sortType="ascending">
      <items>
        <item sd="0" x="0"/>
        <item sd="0" x="1"/>
        <item sd="0" x="2"/>
        <item sd="0" x="3"/>
        <item sd="0" x="4"/>
        <item sd="0" x="5"/>
        <item sd="0" x="6"/>
        <item sd="0" x="7"/>
        <item sd="0" x="8"/>
        <item sd="0" x="9"/>
        <item sd="0" x="10"/>
        <item sd="0" x="11"/>
        <item t="default"/>
      </items>
    </pivotField>
    <pivotField name="dia_semana" axis="axisRow" compact="0" outline="0" multipleItemSelectionAllowed="1" showAll="0" sortType="ascending">
      <items>
        <item x="2"/>
        <item x="3"/>
        <item x="4"/>
        <item x="5"/>
        <item x="0"/>
        <item x="6"/>
        <item x="1"/>
        <item t="default"/>
      </items>
    </pivotField>
  </pivotFields>
  <rowFields>
    <field x="7"/>
    <field x="8"/>
  </rowFields>
  <colFields>
    <field x="5"/>
  </colFields>
  <dataFields>
    <dataField name="COUNTA of categoria_libro" fld="1" subtotal="count" showDataAs="percentOfTotal" baseField="0" numFmtId="10"/>
  </dataFields>
</pivotTableDefinition>
</file>

<file path=xl/pivotTables/pivotTable11.xml><?xml version="1.0" encoding="utf-8"?>
<pivotTableDefinition xmlns="http://schemas.openxmlformats.org/spreadsheetml/2006/main" name="1_género literario" cacheId="4" dataCaption="" compact="0" compactData="0">
  <location ref="A4:E13" firstHeaderRow="0" firstDataRow="1" firstDataCol="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axis="axisRow" dataField="1" compact="0" outline="0" multipleItemSelectionAllowed="1" showAll="0" sortType="ascending">
      <items>
        <item x="3"/>
        <item x="6"/>
        <item x="0"/>
        <item x="1"/>
        <item x="2"/>
        <item x="4"/>
        <item x="5"/>
        <item t="default"/>
      </items>
    </pivotField>
    <pivotField name="idioma" axis="axisCol" compact="0" outline="0" multipleItemSelectionAllowed="1" showAll="0" sortType="ascending">
      <items>
        <item x="2"/>
        <item x="0"/>
        <item x="1"/>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_horaria" compact="0" outline="0" multipleItemSelectionAllowed="1" showAll="0">
      <items>
        <item x="0"/>
        <item x="1"/>
        <item t="default"/>
      </items>
    </pivotField>
    <pivotField name="mes" compact="0" outline="0" multipleItemSelectionAllowed="1" showAll="0">
      <items>
        <item x="0"/>
        <item x="1"/>
        <item x="2"/>
        <item x="3"/>
        <item x="4"/>
        <item x="5"/>
        <item x="6"/>
        <item x="7"/>
        <item x="8"/>
        <item x="9"/>
        <item x="10"/>
        <item x="11"/>
        <item t="default"/>
      </items>
    </pivotField>
    <pivotField name="mes_num." compact="0" outline="0" multipleItemSelectionAllowed="1" showAll="0">
      <items>
        <item x="0"/>
        <item x="1"/>
        <item x="2"/>
        <item x="3"/>
        <item x="4"/>
        <item x="5"/>
        <item x="6"/>
        <item x="7"/>
        <item x="8"/>
        <item x="9"/>
        <item x="10"/>
        <item x="11"/>
        <item t="default"/>
      </items>
    </pivotField>
    <pivotField name="dia_semana" compact="0" outline="0" multipleItemSelectionAllowed="1" showAll="0">
      <items>
        <item x="0"/>
        <item x="1"/>
        <item x="2"/>
        <item x="3"/>
        <item x="4"/>
        <item x="5"/>
        <item x="6"/>
        <item t="default"/>
      </items>
    </pivotField>
  </pivotFields>
  <rowFields>
    <field x="1"/>
  </rowFields>
  <colFields>
    <field x="2"/>
  </colFields>
  <dataFields>
    <dataField name="COUNTA of categoria_libro" fld="1" subtotal="count" showDataAs="percentOfTotal" baseField="0" numFmtId="10"/>
  </dataFields>
</pivotTableDefinition>
</file>

<file path=xl/pivotTables/pivotTable12.xml><?xml version="1.0" encoding="utf-8"?>
<pivotTableDefinition xmlns="http://schemas.openxmlformats.org/spreadsheetml/2006/main" name="1_género literario 2" cacheId="4" dataCaption="" compact="0" compactData="0">
  <location ref="A24:E33" firstHeaderRow="0" firstDataRow="1" firstDataCol="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axis="axisRow" dataField="1" compact="0" outline="0" multipleItemSelectionAllowed="1" showAll="0" sortType="ascending">
      <items>
        <item x="3"/>
        <item x="6"/>
        <item x="0"/>
        <item x="1"/>
        <item x="2"/>
        <item x="4"/>
        <item x="5"/>
        <item t="default"/>
      </items>
    </pivotField>
    <pivotField name="idioma" axis="axisCol" compact="0" outline="0" multipleItemSelectionAllowed="1" showAll="0" sortType="ascending">
      <items>
        <item x="2"/>
        <item x="0"/>
        <item x="1"/>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_horaria" compact="0" outline="0" multipleItemSelectionAllowed="1" showAll="0">
      <items>
        <item x="0"/>
        <item x="1"/>
        <item t="default"/>
      </items>
    </pivotField>
    <pivotField name="mes" compact="0" outline="0" multipleItemSelectionAllowed="1" showAll="0">
      <items>
        <item x="0"/>
        <item x="1"/>
        <item x="2"/>
        <item x="3"/>
        <item x="4"/>
        <item x="5"/>
        <item x="6"/>
        <item x="7"/>
        <item x="8"/>
        <item x="9"/>
        <item x="10"/>
        <item x="11"/>
        <item t="default"/>
      </items>
    </pivotField>
    <pivotField name="mes_num." compact="0" outline="0" multipleItemSelectionAllowed="1" showAll="0">
      <items>
        <item x="0"/>
        <item x="1"/>
        <item x="2"/>
        <item x="3"/>
        <item x="4"/>
        <item x="5"/>
        <item x="6"/>
        <item x="7"/>
        <item x="8"/>
        <item x="9"/>
        <item x="10"/>
        <item x="11"/>
        <item t="default"/>
      </items>
    </pivotField>
    <pivotField name="dia_semana" compact="0" outline="0" multipleItemSelectionAllowed="1" showAll="0">
      <items>
        <item x="0"/>
        <item x="1"/>
        <item x="2"/>
        <item x="3"/>
        <item x="4"/>
        <item x="5"/>
        <item x="6"/>
        <item t="default"/>
      </items>
    </pivotField>
  </pivotFields>
  <rowFields>
    <field x="1"/>
  </rowFields>
  <colFields>
    <field x="2"/>
  </colFields>
  <dataFields>
    <dataField name="COUNTA of categoria_libro" fld="1" subtotal="count" baseField="0"/>
  </dataFields>
</pivotTableDefinition>
</file>

<file path=xl/pivotTables/pivotTable13.xml><?xml version="1.0" encoding="utf-8"?>
<pivotTableDefinition xmlns="http://schemas.openxmlformats.org/spreadsheetml/2006/main" name="2.2_día, franja horaria" cacheId="4" dataCaption="" compact="0" compactData="0">
  <location ref="A3:E17" firstHeaderRow="0" firstDataRow="2" firstDataCol="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dataField="1" compact="0" outline="0" multipleItemSelectionAllowed="1" showAll="0">
      <items>
        <item x="0"/>
        <item x="1"/>
        <item x="2"/>
        <item x="3"/>
        <item x="4"/>
        <item x="5"/>
        <item x="6"/>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_horaria" axis="axisCol" compact="0" outline="0" multipleItemSelectionAllowed="1" showAll="0" sortType="ascending">
      <items>
        <item x="1"/>
        <item x="0"/>
        <item t="default"/>
      </items>
    </pivotField>
    <pivotField name="mes" compact="0" outline="0" multipleItemSelectionAllowed="1" showAll="0">
      <items>
        <item x="0"/>
        <item x="1"/>
        <item x="2"/>
        <item x="3"/>
        <item x="4"/>
        <item x="5"/>
        <item x="6"/>
        <item x="7"/>
        <item x="8"/>
        <item x="9"/>
        <item x="10"/>
        <item x="11"/>
        <item t="default"/>
      </items>
    </pivotField>
    <pivotField name="mes_num." axis="axisRow" compact="0" outline="0" multipleItemSelectionAllowed="1" showAll="0" sortType="ascending">
      <items>
        <item sd="0" x="0"/>
        <item x="1"/>
        <item x="2"/>
        <item x="3"/>
        <item x="4"/>
        <item x="5"/>
        <item x="6"/>
        <item x="7"/>
        <item x="8"/>
        <item x="9"/>
        <item x="10"/>
        <item x="11"/>
        <item t="default"/>
      </items>
    </pivotField>
    <pivotField name="dia_semana" axis="axisRow" compact="0" outline="0" multipleItemSelectionAllowed="1" showAll="0" sortType="ascending">
      <items>
        <item x="2"/>
        <item x="3"/>
        <item x="4"/>
        <item x="5"/>
        <item x="0"/>
        <item x="6"/>
        <item x="1"/>
        <item t="default"/>
      </items>
    </pivotField>
  </pivotFields>
  <rowFields>
    <field x="7"/>
    <field x="8"/>
  </rowFields>
  <colFields>
    <field x="5"/>
  </colFields>
  <dataFields>
    <dataField name="COUNTA of categoria_libro" fld="1" subtotal="count" showDataAs="percentOfTotal" baseField="0" numFmtId="10"/>
  </dataFields>
</pivotTableDefinition>
</file>

<file path=xl/pivotTables/pivotTable14.xml><?xml version="1.0" encoding="utf-8"?>
<pivotTableDefinition xmlns="http://schemas.openxmlformats.org/spreadsheetml/2006/main" name="2.2_día, franja horaria 2" cacheId="4" dataCaption="" compact="0" compactData="0">
  <location ref="A32:I46" firstHeaderRow="0" firstDataRow="1" firstDataCol="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dataField="1" compact="0" outline="0" multipleItemSelectionAllowed="1" showAll="0">
      <items>
        <item x="0"/>
        <item x="1"/>
        <item x="2"/>
        <item x="3"/>
        <item x="4"/>
        <item x="5"/>
        <item x="6"/>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_horaria" compact="0" outline="0" multipleItemSelectionAllowed="1" showAll="0">
      <items>
        <item x="0"/>
        <item x="1"/>
        <item t="default"/>
      </items>
    </pivotField>
    <pivotField name="mes" compact="0" outline="0" multipleItemSelectionAllowed="1" showAll="0">
      <items>
        <item x="0"/>
        <item x="1"/>
        <item x="2"/>
        <item x="3"/>
        <item x="4"/>
        <item x="5"/>
        <item x="6"/>
        <item x="7"/>
        <item x="8"/>
        <item x="9"/>
        <item x="10"/>
        <item x="11"/>
        <item t="default"/>
      </items>
    </pivotField>
    <pivotField name="mes_num." axis="axisRow" compact="0" outline="0" multipleItemSelectionAllowed="1" showAll="0" sortType="ascending">
      <items>
        <item x="0"/>
        <item x="1"/>
        <item x="2"/>
        <item x="3"/>
        <item x="4"/>
        <item x="5"/>
        <item x="6"/>
        <item x="7"/>
        <item x="8"/>
        <item x="9"/>
        <item x="10"/>
        <item x="11"/>
        <item t="default"/>
      </items>
    </pivotField>
    <pivotField name="dia_semana" axis="axisCol" compact="0" outline="0" multipleItemSelectionAllowed="1" showAll="0" sortType="ascending">
      <items>
        <item x="2"/>
        <item x="3"/>
        <item x="4"/>
        <item x="5"/>
        <item x="0"/>
        <item x="6"/>
        <item x="1"/>
        <item t="default"/>
      </items>
    </pivotField>
  </pivotFields>
  <rowFields>
    <field x="7"/>
  </rowFields>
  <colFields>
    <field x="8"/>
  </colFields>
  <dataFields>
    <dataField name="COUNTA of categoria_libro" fld="1" subtotal="count" baseField="0"/>
  </dataFields>
</pivotTableDefinition>
</file>

<file path=xl/pivotTables/pivotTable15.xml><?xml version="1.0" encoding="utf-8"?>
<pivotTableDefinition xmlns="http://schemas.openxmlformats.org/spreadsheetml/2006/main" name="2.2_día, franja horaria 3" cacheId="4" dataCaption="" compact="0" compactData="0">
  <location ref="A58:I67" firstHeaderRow="0" firstDataRow="1" firstDataCol="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axis="axisCol" dataField="1" compact="0" outline="0" multipleItemSelectionAllowed="1" showAll="0" sortType="ascending">
      <items>
        <item x="3"/>
        <item x="6"/>
        <item x="0"/>
        <item x="1"/>
        <item x="2"/>
        <item x="4"/>
        <item x="5"/>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_horaria" compact="0" outline="0" multipleItemSelectionAllowed="1" showAll="0">
      <items>
        <item x="0"/>
        <item x="1"/>
        <item t="default"/>
      </items>
    </pivotField>
    <pivotField name="mes" compact="0" outline="0" multipleItemSelectionAllowed="1" showAll="0">
      <items>
        <item x="0"/>
        <item x="1"/>
        <item x="2"/>
        <item x="3"/>
        <item x="4"/>
        <item x="5"/>
        <item x="6"/>
        <item x="7"/>
        <item x="8"/>
        <item x="9"/>
        <item x="10"/>
        <item x="11"/>
        <item t="default"/>
      </items>
    </pivotField>
    <pivotField name="mes_num." compact="0" outline="0" multipleItemSelectionAllowed="1" showAll="0">
      <items>
        <item x="0"/>
        <item x="1"/>
        <item x="2"/>
        <item x="3"/>
        <item x="4"/>
        <item x="5"/>
        <item x="6"/>
        <item x="7"/>
        <item x="8"/>
        <item x="9"/>
        <item x="10"/>
        <item x="11"/>
        <item t="default"/>
      </items>
    </pivotField>
    <pivotField name="dia_semana" axis="axisRow" compact="0" outline="0" multipleItemSelectionAllowed="1" showAll="0" sortType="ascending">
      <items>
        <item x="2"/>
        <item x="3"/>
        <item x="4"/>
        <item x="5"/>
        <item x="0"/>
        <item x="6"/>
        <item x="1"/>
        <item t="default"/>
      </items>
    </pivotField>
  </pivotFields>
  <rowFields>
    <field x="8"/>
  </rowFields>
  <colFields>
    <field x="1"/>
  </colFields>
  <dataFields>
    <dataField name="COUNTA of categoria_libro" fld="1" subtotal="count" baseField="0"/>
  </dataFields>
</pivotTableDefinition>
</file>

<file path=xl/pivotTables/pivotTable16.xml><?xml version="1.0" encoding="utf-8"?>
<pivotTableDefinition xmlns="http://schemas.openxmlformats.org/spreadsheetml/2006/main" name="3_entregados fuera del plazo" cacheId="2" dataCaption="" compact="0" compactData="0">
  <location ref="F19:I28" firstHeaderRow="0" firstDataRow="1" firstDataCol="1"/>
  <pivotFields>
    <pivotField name="fecha_prestamo"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axis="axisRow" compact="0" outline="0" multipleItemSelectionAllowed="1" showAll="0" sortType="ascending">
      <items>
        <item x="3"/>
        <item x="6"/>
        <item x="0"/>
        <item x="1"/>
        <item x="2"/>
        <item x="4"/>
        <item x="5"/>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axis="axisCol" dataField="1" compact="0" outline="0" multipleItemSelectionAllowed="1" showAll="0" sortType="ascending">
      <items>
        <item x="1"/>
        <item x="0"/>
        <item t="default"/>
      </items>
    </pivotField>
    <pivotField name="franja_horaria" compact="0" outline="0" multipleItemSelectionAllowed="1" showAll="0">
      <items>
        <item x="0"/>
        <item x="1"/>
        <item t="default"/>
      </items>
    </pivotField>
    <pivotField name="mes" compact="0" outline="0" multipleItemSelectionAllowed="1" showAll="0">
      <items>
        <item x="0"/>
        <item x="1"/>
        <item x="2"/>
        <item x="3"/>
        <item x="4"/>
        <item x="5"/>
        <item x="6"/>
        <item x="7"/>
        <item x="8"/>
        <item x="9"/>
        <item x="10"/>
        <item x="11"/>
        <item t="default"/>
      </items>
    </pivotField>
    <pivotField name="mes por orden" compact="0" outline="0" multipleItemSelectionAllowed="1" showAll="0">
      <items>
        <item x="0"/>
        <item x="1"/>
        <item x="2"/>
        <item x="3"/>
        <item x="4"/>
        <item x="5"/>
        <item x="6"/>
        <item x="7"/>
        <item x="8"/>
        <item x="9"/>
        <item x="10"/>
        <item x="11"/>
        <item t="default"/>
      </items>
    </pivotField>
    <pivotField name="dia_semana" compact="0" outline="0" multipleItemSelectionAllowed="1" showAll="0">
      <items>
        <item x="0"/>
        <item x="1"/>
        <item x="2"/>
        <item x="3"/>
        <item x="4"/>
        <item x="5"/>
        <item x="6"/>
        <item t="default"/>
      </items>
    </pivotField>
    <pivotField name="orden semana" compact="0" outline="0" multipleItemSelectionAllowed="1" showAll="0">
      <items>
        <item x="0"/>
        <item x="1"/>
        <item x="2"/>
        <item x="3"/>
        <item x="4"/>
        <item x="5"/>
        <item x="6"/>
        <item t="default"/>
      </items>
    </pivotField>
    <pivotField name="orden y nombre semana" compact="0" outline="0" multipleItemSelectionAllowed="1" showAll="0">
      <items>
        <item x="0"/>
        <item x="1"/>
        <item x="2"/>
        <item x="3"/>
        <item x="4"/>
        <item x="5"/>
        <item x="6"/>
        <item t="default"/>
      </items>
    </pivotField>
  </pivotFields>
  <rowFields>
    <field x="1"/>
  </rowFields>
  <colFields>
    <field x="4"/>
  </colFields>
  <dataFields>
    <dataField name="COUNTA of devuelto_a_tiempo" fld="4" subtotal="count" baseField="0"/>
  </dataFields>
</pivotTableDefinition>
</file>

<file path=xl/pivotTables/pivotTable17.xml><?xml version="1.0" encoding="utf-8"?>
<pivotTableDefinition xmlns="http://schemas.openxmlformats.org/spreadsheetml/2006/main" name="3_entregados fuera del plazo 2" cacheId="4" dataCaption="" compact="0" compactData="0">
  <location ref="A35:N45" firstHeaderRow="0" firstDataRow="1" firstDataCol="2"/>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axis="axisRow" dataField="1" compact="0" outline="0" multipleItemSelectionAllowed="1" showAll="0" sortType="ascending">
      <items>
        <item x="3"/>
        <item x="6"/>
        <item x="0"/>
        <item x="1"/>
        <item x="2"/>
        <item x="4"/>
        <item x="5"/>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axis="axisCol" compact="0" outline="0" multipleItemSelectionAllowed="1" showAll="0" sortType="ascending">
      <items>
        <item x="1"/>
        <item sd="0" x="0"/>
        <item t="default"/>
      </items>
    </pivotField>
    <pivotField name="franja_horaria" compact="0" outline="0" multipleItemSelectionAllowed="1" showAll="0">
      <items>
        <item x="0"/>
        <item x="1"/>
        <item t="default"/>
      </items>
    </pivotField>
    <pivotField name="mes" compact="0" outline="0" multipleItemSelectionAllowed="1" showAll="0">
      <items>
        <item x="0"/>
        <item x="1"/>
        <item x="2"/>
        <item x="3"/>
        <item x="4"/>
        <item x="5"/>
        <item x="6"/>
        <item x="7"/>
        <item x="8"/>
        <item x="9"/>
        <item x="10"/>
        <item x="11"/>
        <item t="default"/>
      </items>
    </pivotField>
    <pivotField name="mes_num." axis="axisCol" compact="0" outline="0" multipleItemSelectionAllowed="1" showAll="0" sortType="ascending">
      <items>
        <item x="0"/>
        <item x="1"/>
        <item x="2"/>
        <item x="3"/>
        <item x="4"/>
        <item x="5"/>
        <item x="6"/>
        <item x="7"/>
        <item x="8"/>
        <item x="9"/>
        <item x="10"/>
        <item x="11"/>
        <item t="default"/>
      </items>
    </pivotField>
    <pivotField name="dia_semana" compact="0" outline="0" multipleItemSelectionAllowed="1" showAll="0">
      <items>
        <item x="0"/>
        <item x="1"/>
        <item x="2"/>
        <item x="3"/>
        <item x="4"/>
        <item x="5"/>
        <item x="6"/>
        <item t="default"/>
      </items>
    </pivotField>
  </pivotFields>
  <rowFields>
    <field x="1"/>
  </rowFields>
  <colFields>
    <field x="4"/>
    <field x="7"/>
  </colFields>
  <dataFields>
    <dataField name="COUNTA of categoria_libro" fld="1" subtotal="count" showDataAs="percentOfTotal" baseField="0" numFmtId="10"/>
  </dataFields>
</pivotTableDefinition>
</file>

<file path=xl/pivotTables/pivotTable18.xml><?xml version="1.0" encoding="utf-8"?>
<pivotTableDefinition xmlns="http://schemas.openxmlformats.org/spreadsheetml/2006/main" name="4_descuadres en las duraciones " cacheId="4" dataCaption="" compact="0" compactData="0">
  <location ref="A3:G13" firstHeaderRow="0" firstDataRow="2" firstDataCol="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axis="axisRow" compact="0" outline="0" multipleItemSelectionAllowed="1" showAll="0" sortType="ascending">
      <items>
        <item x="3"/>
        <item x="6"/>
        <item x="0"/>
        <item x="1"/>
        <item x="2"/>
        <item x="4"/>
        <item x="5"/>
        <item t="default"/>
      </items>
    </pivotField>
    <pivotField name="idioma" compact="0" outline="0" multipleItemSelectionAllowed="1" showAll="0">
      <items>
        <item x="0"/>
        <item x="1"/>
        <item x="2"/>
        <item t="default"/>
      </items>
    </pivotField>
    <pivotField name="duracion_prestamo_dias" dataField="1"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axis="axisCol" compact="0" outline="0" multipleItemSelectionAllowed="1" showAll="0" sortType="descending">
      <items>
        <item x="0"/>
        <item x="1"/>
        <item t="default"/>
      </items>
    </pivotField>
    <pivotField name="franja_horaria" compact="0" outline="0" multipleItemSelectionAllowed="1" showAll="0">
      <items>
        <item x="0"/>
        <item x="1"/>
        <item t="default"/>
      </items>
    </pivotField>
    <pivotField name="mes" compact="0" outline="0" multipleItemSelectionAllowed="1" showAll="0">
      <items>
        <item x="0"/>
        <item x="1"/>
        <item x="2"/>
        <item x="3"/>
        <item x="4"/>
        <item x="5"/>
        <item x="6"/>
        <item x="7"/>
        <item x="8"/>
        <item x="9"/>
        <item x="10"/>
        <item x="11"/>
        <item t="default"/>
      </items>
    </pivotField>
    <pivotField name="mes_num." compact="0" outline="0" multipleItemSelectionAllowed="1" showAll="0">
      <items>
        <item x="0"/>
        <item x="1"/>
        <item x="2"/>
        <item x="3"/>
        <item x="4"/>
        <item x="5"/>
        <item x="6"/>
        <item x="7"/>
        <item x="8"/>
        <item x="9"/>
        <item x="10"/>
        <item x="11"/>
        <item t="default"/>
      </items>
    </pivotField>
    <pivotField name="dia_semana" compact="0" outline="0" multipleItemSelectionAllowed="1" showAll="0">
      <items>
        <item x="0"/>
        <item x="1"/>
        <item x="2"/>
        <item x="3"/>
        <item x="4"/>
        <item x="5"/>
        <item x="6"/>
        <item t="default"/>
      </items>
    </pivotField>
  </pivotFields>
  <rowFields>
    <field x="1"/>
  </rowFields>
  <colFields>
    <field x="4"/>
    <field x="-2"/>
  </colFields>
  <dataFields>
    <dataField name="MIN of duracion" fld="3" subtotal="min" baseField="0"/>
    <dataField name="MAX of duracion" fld="3" subtotal="max" baseField="0"/>
  </dataFields>
</pivotTableDefinition>
</file>

<file path=xl/tables/table1.xml><?xml version="1.0" encoding="utf-8"?>
<table xmlns="http://schemas.openxmlformats.org/spreadsheetml/2006/main" ref="A1:I262" displayName="Table5" name="Table5" id="1">
  <autoFilter ref="$A$1:$I$262"/>
  <tableColumns count="9">
    <tableColumn name="fecha_prestamo" id="1"/>
    <tableColumn name="categoria_libro" id="2"/>
    <tableColumn name="idioma" id="3"/>
    <tableColumn name="duracion_prestamo_dias" id="4"/>
    <tableColumn name="devuelto_a_tiempo" id="5"/>
    <tableColumn name="franja_horaria" id="6"/>
    <tableColumn name="mes" id="7"/>
    <tableColumn name="mes_num." id="8"/>
    <tableColumn name="dia_semana" id="9"/>
  </tableColumns>
  <tableStyleInfo name="Copy of prestamos_biblioteca_pu-style" showColumnStripes="0" showFirstColumn="1" showLastColumn="1" showRowStripes="1"/>
</table>
</file>

<file path=xl/tables/table2.xml><?xml version="1.0" encoding="utf-8"?>
<table xmlns="http://schemas.openxmlformats.org/spreadsheetml/2006/main" ref="A1:J262" displayName="Table3" name="Table3" id="2">
  <autoFilter ref="$A$1:$J$262"/>
  <tableColumns count="10">
    <tableColumn name="fecha_prestamo" id="1"/>
    <tableColumn name="Categoria" id="2"/>
    <tableColumn name="idioma" id="3"/>
    <tableColumn name="duracion_prestamo_dias" id="4"/>
    <tableColumn name="devuelto_a_tiempo" id="5"/>
    <tableColumn name="franja_horaria" id="6"/>
    <tableColumn name="mes" id="7"/>
    <tableColumn name="mes en numeros" id="8"/>
    <tableColumn name="dia_semana" id="9"/>
    <tableColumn name="Column 1" id="10"/>
  </tableColumns>
  <tableStyleInfo name="Cisco-style" showColumnStripes="0" showFirstColumn="1" showLastColumn="1" showRowStripes="1"/>
</table>
</file>

<file path=xl/tables/table3.xml><?xml version="1.0" encoding="utf-8"?>
<table xmlns="http://schemas.openxmlformats.org/spreadsheetml/2006/main" ref="A1:K262" displayName="Table2" name="Table2" id="3">
  <tableColumns count="11">
    <tableColumn name="fecha_prestamo" id="1"/>
    <tableColumn name="categoria_libro" id="2"/>
    <tableColumn name="idioma" id="3"/>
    <tableColumn name="duracion_prestamo_dias" id="4"/>
    <tableColumn name="devuelto_a_tiempo" id="5"/>
    <tableColumn name="franja_horaria" id="6"/>
    <tableColumn name="mes" id="7"/>
    <tableColumn name="mes por orden" id="8"/>
    <tableColumn name="dia_semana" id="9"/>
    <tableColumn name="orden semana" id="10"/>
    <tableColumn name="orden y nombre semana" id="11"/>
  </tableColumns>
  <tableStyleInfo name="Cheyenne-style" showColumnStripes="0" showFirstColumn="1" showLastColumn="1" showRowStripes="1"/>
</table>
</file>

<file path=xl/tables/table4.xml><?xml version="1.0" encoding="utf-8"?>
<table xmlns="http://schemas.openxmlformats.org/spreadsheetml/2006/main" ref="A1:J262" displayName="Table4" name="Table4" id="4">
  <autoFilter ref="$A$1:$J$262"/>
  <tableColumns count="10">
    <tableColumn name="fecha_prestamo" id="1"/>
    <tableColumn name="categoria_libro" id="2"/>
    <tableColumn name="idioma" id="3"/>
    <tableColumn name="duracion_prestamo_dias" id="4"/>
    <tableColumn name="devuelto_a_tiempo" id="5"/>
    <tableColumn name="franja_horaria" id="6"/>
    <tableColumn name="mes" id="7"/>
    <tableColumn name="mes numero" id="8"/>
    <tableColumn name="dia_semana" id="9"/>
    <tableColumn name="Column 1" id="10"/>
  </tableColumns>
  <tableStyleInfo name="AGATA-style" showColumnStripes="0" showFirstColumn="1" showLastColumn="1" showRowStripes="1"/>
</table>
</file>

<file path=xl/tables/table5.xml><?xml version="1.0" encoding="utf-8"?>
<table xmlns="http://schemas.openxmlformats.org/spreadsheetml/2006/main" ref="A1:I262" displayName="Table1" name="Table1" id="5">
  <autoFilter ref="$A$1:$I$262"/>
  <tableColumns count="9">
    <tableColumn name="fecha_prestamo" id="1"/>
    <tableColumn name="categoria_libro" id="2"/>
    <tableColumn name="idioma" id="3"/>
    <tableColumn name="duracion_prestamo_dias" id="4"/>
    <tableColumn name="devuelto_a_tiempo" id="5"/>
    <tableColumn name="franja_horaria" id="6"/>
    <tableColumn name="mes" id="7"/>
    <tableColumn name="mes_num." id="8"/>
    <tableColumn name="dia_semana" id="9"/>
  </tableColumns>
  <tableStyleInfo name="Oksana-style" showColumnStripes="0" showFirstColumn="1" showLastColumn="1" showRowStripes="1"/>
</table>
</file>

<file path=xl/tables/table6.xml><?xml version="1.0" encoding="utf-8"?>
<table xmlns="http://schemas.openxmlformats.org/spreadsheetml/2006/main" ref="A1:I5" displayName="Table_1" name="Table_1" id="6">
  <tableColumns count="9">
    <tableColumn name="fecha_prestamo" id="1"/>
    <tableColumn name="categoria_libro" id="2"/>
    <tableColumn name="idioma" id="3"/>
    <tableColumn name="duracion_prestamo_dias" id="4"/>
    <tableColumn name="devuelto_a_tiempo" id="5"/>
    <tableColumn name="franja_horaria" id="6"/>
    <tableColumn name="mes" id="7"/>
    <tableColumn name="mes_num." id="8"/>
    <tableColumn name="dia_semana" id="9"/>
  </tableColumns>
  <tableStyleInfo name="Detail4-divulgacion-no-style" showColumnStripes="0" showFirstColumn="1" showLastColumn="1" showRowStripes="1"/>
</table>
</file>

<file path=xl/tables/table7.xml><?xml version="1.0" encoding="utf-8"?>
<table xmlns="http://schemas.openxmlformats.org/spreadsheetml/2006/main" ref="A1:I262" displayName="Table_2" name="Table_2" id="7">
  <tableColumns count="9">
    <tableColumn name="fecha_prestamo" id="1"/>
    <tableColumn name="categoria_libro" id="2"/>
    <tableColumn name="idioma" id="3"/>
    <tableColumn name="duracion_prestamo_dias" id="4"/>
    <tableColumn name="devuelto_a_tiempo" id="5"/>
    <tableColumn name="franja_horaria" id="6"/>
    <tableColumn name="mes" id="7"/>
    <tableColumn name="mes_num." id="8"/>
    <tableColumn name="dia_semana" id="9"/>
  </tableColumns>
  <tableStyleInfo name="Detail3-style" showColumnStripes="0" showFirstColumn="1" showLastColumn="1" showRowStripes="1"/>
</table>
</file>

<file path=xl/tables/table8.xml><?xml version="1.0" encoding="utf-8"?>
<table xmlns="http://schemas.openxmlformats.org/spreadsheetml/2006/main" headerRowCount="0" ref="A1:H1" displayName="Table_3" name="Table_3" id="8">
  <tableColumns count="8">
    <tableColumn name="Column1" id="1"/>
    <tableColumn name="Column2" id="2"/>
    <tableColumn name="Column3" id="3"/>
    <tableColumn name="Column4" id="4"/>
    <tableColumn name="Column5" id="5"/>
    <tableColumn name="Column6" id="6"/>
    <tableColumn name="Column7" id="7"/>
    <tableColumn name="Column8" id="8"/>
  </tableColumns>
  <tableStyleInfo name="Detail2-novela_grafica-inglés-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A1:H6" displayName="Table_4" name="Table_4" id="9">
  <tableColumns count="8">
    <tableColumn name="fecha_prestamo" id="1"/>
    <tableColumn name="categoria_libro" id="2"/>
    <tableColumn name="idioma" id="3"/>
    <tableColumn name="duracion_prestamo_dias" id="4"/>
    <tableColumn name="devuelto_a_tiempo" id="5"/>
    <tableColumn name="franja_horaria" id="6"/>
    <tableColumn name="mes" id="7"/>
    <tableColumn name="dia_semana" id="8"/>
  </tableColumns>
  <tableStyleInfo name="Detail1-divulgacion-inglé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23T15:19:17.00" personId="{9486bb53-950f-4229-bea3-9afbdc747a9d}" id="{a07eec56-6fab-4943-ae0e-a0e7adb095f8}" done="0">
    <x18tc:text xml:space="preserve">Qué muestra el gráfico?
El gráfico representa:
Eje X: meses del año (enero–diciembre)
Eje Y: porcentaje de préstamos
Colores:
Azul - Mañana
Rojo - Tarde
En resumen: muestra la distribución mensual de los préstamos según franja horaria.
Patrones principales detectados:
En todos los meses la franja de tarde supera a la de mañana.
Esto indica que la mayor actividad de la biblioteca ocurre por la tarde. Probablemente coincide con horarios laborales y escolares, cuando las personas disponen de más tiempo.
Meses con mayor actividad: Primavera
Los meses más fuertes son:
Marzo - 11,88%
Mayo - 11,88%
Abril - 11,49%
Posible explicación:
Periodo lectivo activo
Meses más débiles: verano
Julio -5,36%
Agosto - 4,98%
Se confirma una estacionalidad fuerte. Durante el verano los préstamos se reducen de forma significativa.
Recuperación en otoño
Desde septiembre se observa una subida progresiva, pero ya no tan intensa como en Primavera:
Septiembre - 6,51%
Octubre - 6,90%
Patrón coherente con la vuelta a la rutina tras el verano.
Conclusión general
El gráfico revela:
1. La biblioteca depende principalmente del horario de tarde. Se podría optimizar recursos reforzando esa franja.
2. La estacionalidad es evidente. Primavera = alta demanda Verano = muy poca demanda
3.La bajada de verano se podría compensar con actividades de verano.
4. El comportamiento encaja con calendario escolar. Refuerza la hipótesis de que una parte importante del público es estudiantil.</x18tc:text>
    <x18tc:extLst>
      <ext uri="{F7C98A9C-CBB3-438F-8F68-D28B6AF4A901}">
        <xltc2:checksum/>
        <xltc2:hyperlink startIndex="1270" length="4" url="http://3.La"/>
      </ext>
    </x18tc:extLst>
  </x18tc:threadedComment>
  <x18tc:threadedComment ref="A1" dT="2026-02-23T15:06:10.00" personId="{9486bb53-950f-4229-bea3-9afbdc747a9d}" id="{043e1496-cf77-43b6-b340-8d4c5f042358}" done="0">
    <x18tc:text xml:space="preserve">Qué muestra la tabla?
El gráfico representa:
Eje X: meses del año (1–12)
Eje Y: número de préstamos
Colores: cada color corresponde a un día de la semana (lunes a domingo)
En resumen: muestra cuántos préstamos se realizaron por día de la semana a lo largo del año.
Patrones principales detectados
Días con mayor actividad
En el total anual:
Martes: 52 préstamos
Domingo: 52 préstamos
Son los días con mayor número de préstamos.
Además, son los únicos días en los que hay actividad durante todo el año tanto por la mañana como por la tarde.
Esto sugiere que:
Martes podría ser un día operativo fuerte (día de rutina semanal, biblioteca abierta mañana y tarde).
Domingo probablemente esté asociado al tiempo libre de los usuarios.
Días con menor actividad
Los días más débiles del año son:
Lunes: 21 préstamos
Sábado: 21 préstamos
Entre enero y junio:
Solo hay actividad por la tarde.
Desde julio hasta diciembre:
No hay préstamos.
Esto sugiere que la biblioteca permanece cerrada esos días durante ese periodo.
Comportamiento en verano (julio y agosto)
Durante julio y agosto ocurre algo muy claro:
Solo hay préstamos:
Domingos por la tarde
Martes por la mañana
Jueves por la tarde
Posible interpretación: La biblioteca reduce su horario en verano y solo abre determinados días y franjas horarias.
Conclusión general
El gráfico no solo muestra volumen de préstamos, sino que revela:
Cambios estacionales en el horario.
Un patrón operativo fuerte en martes y domingo.
Reducción significativa de actividad en verano.
Posible cierre parcial ciertos días en la segunda mitad del año.</x18tc:text>
  </x18tc:threadedComment>
  <x18tc:threadedComment ref="A1" dT="2026-02-23T19:39:53.00" personId="{1c05e832-00d1-4b85-bf91-14de051ebfa8}" id="{2feb552a-aced-4fa3-b8a9-49db3c0c038f}" parentId="{043e1496-cf77-43b6-b340-8d4c5f042358}">
    <x18tc:text xml:space="preserve">añadir que somos conscientes de que esta tabla es un sumatorio y los valores son arpoximados no los reales pero que este grafico ayuda visualmente a ver con claridad que días son más activos?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6.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pivotTable" Target="../pivotTables/pivotTable5.xml"/><Relationship Id="rId3" Type="http://schemas.openxmlformats.org/officeDocument/2006/relationships/pivotTable" Target="../pivotTables/pivotTable6.xml"/><Relationship Id="rId4" Type="http://schemas.openxmlformats.org/officeDocument/2006/relationships/drawing" Target="../drawings/drawing7.xml"/><Relationship Id="rId6"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pivotTable" Target="../pivotTables/pivotTable8.xml"/><Relationship Id="rId3" Type="http://schemas.openxmlformats.org/officeDocument/2006/relationships/pivotTable" Target="../pivotTables/pivotTable9.xml"/><Relationship Id="rId4" Type="http://schemas.openxmlformats.org/officeDocument/2006/relationships/pivotTable" Target="../pivotTables/pivotTable10.xm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1.xml"/><Relationship Id="rId2" Type="http://schemas.openxmlformats.org/officeDocument/2006/relationships/pivotTable" Target="../pivotTables/pivotTable12.xm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pivotTable" Target="../pivotTables/pivotTable13.xml"/><Relationship Id="rId3" Type="http://schemas.openxmlformats.org/officeDocument/2006/relationships/pivotTable" Target="../pivotTables/pivotTable14.xml"/><Relationship Id="rId4" Type="http://schemas.openxmlformats.org/officeDocument/2006/relationships/pivotTable" Target="../pivotTables/pivotTable15.xml"/><Relationship Id="rId5" Type="http://schemas.openxmlformats.org/officeDocument/2006/relationships/drawing" Target="../drawings/drawing12.xml"/><Relationship Id="rId6"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6.xml"/><Relationship Id="rId2" Type="http://schemas.openxmlformats.org/officeDocument/2006/relationships/pivotTable" Target="../pivotTables/pivotTable17.xm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8.xm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13"/>
    <col customWidth="1" min="3" max="3" width="11.5"/>
    <col customWidth="1" min="5" max="5" width="21.88"/>
    <col customWidth="1" min="6" max="6" width="22.0"/>
    <col customWidth="1" min="7" max="7" width="17.5"/>
  </cols>
  <sheetData>
    <row r="1">
      <c r="A1" s="1" t="s">
        <v>0</v>
      </c>
      <c r="B1" s="2" t="s">
        <v>1</v>
      </c>
      <c r="C1" s="2" t="s">
        <v>2</v>
      </c>
      <c r="D1" s="2" t="s">
        <v>3</v>
      </c>
      <c r="E1" s="2" t="s">
        <v>4</v>
      </c>
      <c r="F1" s="2" t="s">
        <v>5</v>
      </c>
      <c r="G1" s="2" t="s">
        <v>6</v>
      </c>
      <c r="H1" s="2" t="s">
        <v>7</v>
      </c>
    </row>
    <row r="2">
      <c r="A2" s="1">
        <v>45662.0</v>
      </c>
      <c r="B2" s="2" t="s">
        <v>8</v>
      </c>
      <c r="C2" s="2" t="s">
        <v>9</v>
      </c>
      <c r="D2" s="2">
        <v>14.0</v>
      </c>
      <c r="E2" s="2" t="s">
        <v>10</v>
      </c>
      <c r="F2" s="2" t="s">
        <v>11</v>
      </c>
      <c r="G2" s="2" t="s">
        <v>12</v>
      </c>
      <c r="H2" s="2" t="s">
        <v>13</v>
      </c>
    </row>
    <row r="3">
      <c r="A3" s="1">
        <v>45664.0</v>
      </c>
      <c r="B3" s="2" t="s">
        <v>14</v>
      </c>
      <c r="C3" s="2" t="s">
        <v>9</v>
      </c>
      <c r="D3" s="2">
        <v>21.0</v>
      </c>
      <c r="E3" s="2" t="s">
        <v>10</v>
      </c>
      <c r="F3" s="2" t="s">
        <v>15</v>
      </c>
      <c r="G3" s="2" t="s">
        <v>12</v>
      </c>
      <c r="H3" s="2" t="s">
        <v>16</v>
      </c>
    </row>
    <row r="4">
      <c r="A4" s="1">
        <v>45665.0</v>
      </c>
      <c r="B4" s="2" t="s">
        <v>17</v>
      </c>
      <c r="C4" s="2" t="s">
        <v>9</v>
      </c>
      <c r="D4" s="2">
        <v>10.0</v>
      </c>
      <c r="E4" s="2" t="s">
        <v>10</v>
      </c>
      <c r="F4" s="2" t="s">
        <v>11</v>
      </c>
      <c r="G4" s="2" t="s">
        <v>12</v>
      </c>
      <c r="H4" s="2" t="s">
        <v>18</v>
      </c>
    </row>
    <row r="5">
      <c r="A5" s="1">
        <v>45667.0</v>
      </c>
      <c r="B5" s="2" t="s">
        <v>19</v>
      </c>
      <c r="C5" s="2" t="s">
        <v>9</v>
      </c>
      <c r="D5" s="2">
        <v>7.0</v>
      </c>
      <c r="E5" s="2" t="s">
        <v>10</v>
      </c>
      <c r="F5" s="2" t="s">
        <v>11</v>
      </c>
      <c r="G5" s="2" t="s">
        <v>12</v>
      </c>
      <c r="H5" s="2" t="s">
        <v>20</v>
      </c>
    </row>
    <row r="6">
      <c r="A6" s="1">
        <v>45669.0</v>
      </c>
      <c r="B6" s="2" t="s">
        <v>8</v>
      </c>
      <c r="C6" s="2" t="s">
        <v>21</v>
      </c>
      <c r="D6" s="2">
        <v>15.0</v>
      </c>
      <c r="E6" s="2" t="s">
        <v>22</v>
      </c>
      <c r="F6" s="2" t="s">
        <v>15</v>
      </c>
      <c r="G6" s="2" t="s">
        <v>12</v>
      </c>
      <c r="H6" s="2" t="s">
        <v>13</v>
      </c>
    </row>
    <row r="7">
      <c r="A7" s="1">
        <v>45671.0</v>
      </c>
      <c r="B7" s="2" t="s">
        <v>8</v>
      </c>
      <c r="C7" s="2" t="s">
        <v>9</v>
      </c>
      <c r="D7" s="2">
        <v>14.0</v>
      </c>
      <c r="E7" s="2" t="s">
        <v>10</v>
      </c>
      <c r="F7" s="2" t="s">
        <v>11</v>
      </c>
      <c r="G7" s="2" t="s">
        <v>12</v>
      </c>
      <c r="H7" s="2" t="s">
        <v>16</v>
      </c>
    </row>
    <row r="8">
      <c r="A8" s="1">
        <v>45672.0</v>
      </c>
      <c r="B8" s="2" t="s">
        <v>23</v>
      </c>
      <c r="C8" s="2" t="s">
        <v>9</v>
      </c>
      <c r="D8" s="2">
        <v>18.0</v>
      </c>
      <c r="E8" s="2" t="s">
        <v>10</v>
      </c>
      <c r="F8" s="2" t="s">
        <v>15</v>
      </c>
      <c r="G8" s="2" t="s">
        <v>12</v>
      </c>
      <c r="H8" s="2" t="s">
        <v>18</v>
      </c>
    </row>
    <row r="9">
      <c r="A9" s="1">
        <v>45674.0</v>
      </c>
      <c r="B9" s="2" t="s">
        <v>14</v>
      </c>
      <c r="C9" s="2" t="s">
        <v>24</v>
      </c>
      <c r="D9" s="2">
        <v>25.0</v>
      </c>
      <c r="E9" s="2" t="s">
        <v>10</v>
      </c>
      <c r="F9" s="2" t="s">
        <v>11</v>
      </c>
      <c r="G9" s="2" t="s">
        <v>12</v>
      </c>
      <c r="H9" s="2" t="s">
        <v>20</v>
      </c>
    </row>
    <row r="10">
      <c r="A10" s="1">
        <v>45676.0</v>
      </c>
      <c r="B10" s="2" t="s">
        <v>17</v>
      </c>
      <c r="C10" s="2" t="s">
        <v>9</v>
      </c>
      <c r="D10" s="2">
        <v>8.0</v>
      </c>
      <c r="E10" s="2" t="s">
        <v>10</v>
      </c>
      <c r="F10" s="2" t="s">
        <v>11</v>
      </c>
      <c r="G10" s="2" t="s">
        <v>12</v>
      </c>
      <c r="H10" s="2" t="s">
        <v>13</v>
      </c>
    </row>
    <row r="11">
      <c r="A11" s="1">
        <v>45678.0</v>
      </c>
      <c r="B11" s="2" t="s">
        <v>8</v>
      </c>
      <c r="C11" s="2" t="s">
        <v>9</v>
      </c>
      <c r="D11" s="2">
        <v>14.0</v>
      </c>
      <c r="E11" s="2" t="s">
        <v>10</v>
      </c>
      <c r="F11" s="2" t="s">
        <v>15</v>
      </c>
      <c r="G11" s="2" t="s">
        <v>12</v>
      </c>
      <c r="H11" s="2" t="s">
        <v>16</v>
      </c>
    </row>
    <row r="12">
      <c r="A12" s="1">
        <v>45679.0</v>
      </c>
      <c r="B12" s="2" t="s">
        <v>25</v>
      </c>
      <c r="C12" s="2" t="s">
        <v>9</v>
      </c>
      <c r="D12" s="2">
        <v>30.0</v>
      </c>
      <c r="E12" s="2" t="s">
        <v>22</v>
      </c>
      <c r="F12" s="2" t="s">
        <v>11</v>
      </c>
      <c r="G12" s="2" t="s">
        <v>12</v>
      </c>
      <c r="H12" s="2" t="s">
        <v>18</v>
      </c>
    </row>
    <row r="13">
      <c r="A13" s="1">
        <v>45681.0</v>
      </c>
      <c r="B13" s="2" t="s">
        <v>8</v>
      </c>
      <c r="C13" s="2" t="s">
        <v>21</v>
      </c>
      <c r="D13" s="2">
        <v>14.0</v>
      </c>
      <c r="E13" s="2" t="s">
        <v>10</v>
      </c>
      <c r="F13" s="2" t="s">
        <v>11</v>
      </c>
      <c r="G13" s="2" t="s">
        <v>12</v>
      </c>
      <c r="H13" s="2" t="s">
        <v>20</v>
      </c>
    </row>
    <row r="14">
      <c r="A14" s="1">
        <v>45683.0</v>
      </c>
      <c r="B14" s="2" t="s">
        <v>19</v>
      </c>
      <c r="C14" s="2" t="s">
        <v>9</v>
      </c>
      <c r="D14" s="2">
        <v>7.0</v>
      </c>
      <c r="E14" s="2" t="s">
        <v>10</v>
      </c>
      <c r="F14" s="2" t="s">
        <v>15</v>
      </c>
      <c r="G14" s="2" t="s">
        <v>12</v>
      </c>
      <c r="H14" s="2" t="s">
        <v>13</v>
      </c>
    </row>
    <row r="15">
      <c r="A15" s="1">
        <v>45685.0</v>
      </c>
      <c r="B15" s="2" t="s">
        <v>8</v>
      </c>
      <c r="C15" s="2" t="s">
        <v>9</v>
      </c>
      <c r="D15" s="2">
        <v>16.0</v>
      </c>
      <c r="E15" s="2" t="s">
        <v>10</v>
      </c>
      <c r="F15" s="2" t="s">
        <v>11</v>
      </c>
      <c r="G15" s="2" t="s">
        <v>12</v>
      </c>
      <c r="H15" s="2" t="s">
        <v>16</v>
      </c>
    </row>
    <row r="16">
      <c r="A16" s="1">
        <v>45686.0</v>
      </c>
      <c r="B16" s="2" t="s">
        <v>17</v>
      </c>
      <c r="C16" s="2" t="s">
        <v>9</v>
      </c>
      <c r="D16" s="2">
        <v>9.0</v>
      </c>
      <c r="E16" s="2" t="s">
        <v>10</v>
      </c>
      <c r="F16" s="2" t="s">
        <v>11</v>
      </c>
      <c r="G16" s="2" t="s">
        <v>12</v>
      </c>
      <c r="H16" s="2" t="s">
        <v>18</v>
      </c>
    </row>
    <row r="17">
      <c r="A17" s="1">
        <v>45688.0</v>
      </c>
      <c r="B17" s="2" t="s">
        <v>26</v>
      </c>
      <c r="C17" s="2" t="s">
        <v>9</v>
      </c>
      <c r="D17" s="2">
        <v>21.0</v>
      </c>
      <c r="E17" s="2" t="s">
        <v>10</v>
      </c>
      <c r="F17" s="2" t="s">
        <v>15</v>
      </c>
      <c r="G17" s="2" t="s">
        <v>12</v>
      </c>
      <c r="H17" s="2" t="s">
        <v>20</v>
      </c>
    </row>
    <row r="18">
      <c r="A18" s="1">
        <v>45690.0</v>
      </c>
      <c r="B18" s="2" t="s">
        <v>8</v>
      </c>
      <c r="C18" s="2" t="s">
        <v>9</v>
      </c>
      <c r="D18" s="2">
        <v>14.0</v>
      </c>
      <c r="E18" s="2" t="s">
        <v>10</v>
      </c>
      <c r="F18" s="2" t="s">
        <v>11</v>
      </c>
      <c r="G18" s="2" t="s">
        <v>27</v>
      </c>
      <c r="H18" s="2" t="s">
        <v>13</v>
      </c>
    </row>
    <row r="19">
      <c r="A19" s="1">
        <v>45692.0</v>
      </c>
      <c r="B19" s="2" t="s">
        <v>17</v>
      </c>
      <c r="C19" s="2" t="s">
        <v>24</v>
      </c>
      <c r="D19" s="2">
        <v>12.0</v>
      </c>
      <c r="E19" s="2" t="s">
        <v>10</v>
      </c>
      <c r="F19" s="2" t="s">
        <v>11</v>
      </c>
      <c r="G19" s="2" t="s">
        <v>27</v>
      </c>
      <c r="H19" s="2" t="s">
        <v>16</v>
      </c>
    </row>
    <row r="20">
      <c r="A20" s="1">
        <v>45693.0</v>
      </c>
      <c r="B20" s="2" t="s">
        <v>8</v>
      </c>
      <c r="C20" s="2" t="s">
        <v>9</v>
      </c>
      <c r="D20" s="2">
        <v>14.0</v>
      </c>
      <c r="E20" s="2" t="s">
        <v>10</v>
      </c>
      <c r="F20" s="2" t="s">
        <v>15</v>
      </c>
      <c r="G20" s="2" t="s">
        <v>27</v>
      </c>
      <c r="H20" s="2" t="s">
        <v>18</v>
      </c>
    </row>
    <row r="21">
      <c r="A21" s="1">
        <v>45695.0</v>
      </c>
      <c r="B21" s="2" t="s">
        <v>14</v>
      </c>
      <c r="C21" s="2" t="s">
        <v>9</v>
      </c>
      <c r="D21" s="2">
        <v>28.0</v>
      </c>
      <c r="E21" s="2" t="s">
        <v>22</v>
      </c>
      <c r="F21" s="2" t="s">
        <v>11</v>
      </c>
      <c r="G21" s="2" t="s">
        <v>27</v>
      </c>
      <c r="H21" s="2" t="s">
        <v>20</v>
      </c>
    </row>
    <row r="22">
      <c r="A22" s="1">
        <v>45697.0</v>
      </c>
      <c r="B22" s="2" t="s">
        <v>19</v>
      </c>
      <c r="C22" s="2" t="s">
        <v>9</v>
      </c>
      <c r="D22" s="2">
        <v>7.0</v>
      </c>
      <c r="E22" s="2" t="s">
        <v>10</v>
      </c>
      <c r="F22" s="2" t="s">
        <v>11</v>
      </c>
      <c r="G22" s="2" t="s">
        <v>27</v>
      </c>
      <c r="H22" s="2" t="s">
        <v>13</v>
      </c>
    </row>
    <row r="23">
      <c r="A23" s="1">
        <v>45699.0</v>
      </c>
      <c r="B23" s="2" t="s">
        <v>8</v>
      </c>
      <c r="C23" s="2" t="s">
        <v>21</v>
      </c>
      <c r="D23" s="2">
        <v>14.0</v>
      </c>
      <c r="E23" s="2" t="s">
        <v>10</v>
      </c>
      <c r="F23" s="2" t="s">
        <v>15</v>
      </c>
      <c r="G23" s="2" t="s">
        <v>27</v>
      </c>
      <c r="H23" s="2" t="s">
        <v>16</v>
      </c>
    </row>
    <row r="24">
      <c r="A24" s="1">
        <v>45700.0</v>
      </c>
      <c r="B24" s="2" t="s">
        <v>17</v>
      </c>
      <c r="C24" s="2" t="s">
        <v>9</v>
      </c>
      <c r="D24" s="2">
        <v>10.0</v>
      </c>
      <c r="E24" s="2" t="s">
        <v>10</v>
      </c>
      <c r="F24" s="2" t="s">
        <v>11</v>
      </c>
      <c r="G24" s="2" t="s">
        <v>27</v>
      </c>
      <c r="H24" s="2" t="s">
        <v>18</v>
      </c>
    </row>
    <row r="25">
      <c r="A25" s="1">
        <v>45702.0</v>
      </c>
      <c r="B25" s="2" t="s">
        <v>8</v>
      </c>
      <c r="C25" s="2" t="s">
        <v>9</v>
      </c>
      <c r="D25" s="2">
        <v>14.0</v>
      </c>
      <c r="E25" s="2" t="s">
        <v>10</v>
      </c>
      <c r="F25" s="2" t="s">
        <v>11</v>
      </c>
      <c r="G25" s="2" t="s">
        <v>27</v>
      </c>
      <c r="H25" s="2" t="s">
        <v>20</v>
      </c>
    </row>
    <row r="26">
      <c r="A26" s="1">
        <v>45704.0</v>
      </c>
      <c r="B26" s="2" t="s">
        <v>23</v>
      </c>
      <c r="C26" s="2" t="s">
        <v>9</v>
      </c>
      <c r="D26" s="2">
        <v>21.0</v>
      </c>
      <c r="E26" s="2" t="s">
        <v>10</v>
      </c>
      <c r="F26" s="2" t="s">
        <v>15</v>
      </c>
      <c r="G26" s="2" t="s">
        <v>27</v>
      </c>
      <c r="H26" s="2" t="s">
        <v>13</v>
      </c>
    </row>
    <row r="27">
      <c r="A27" s="1">
        <v>45706.0</v>
      </c>
      <c r="B27" s="2" t="s">
        <v>14</v>
      </c>
      <c r="C27" s="2" t="s">
        <v>9</v>
      </c>
      <c r="D27" s="2">
        <v>23.0</v>
      </c>
      <c r="E27" s="2" t="s">
        <v>10</v>
      </c>
      <c r="F27" s="2" t="s">
        <v>11</v>
      </c>
      <c r="G27" s="2" t="s">
        <v>27</v>
      </c>
      <c r="H27" s="2" t="s">
        <v>16</v>
      </c>
    </row>
    <row r="28">
      <c r="A28" s="1">
        <v>45707.0</v>
      </c>
      <c r="B28" s="2" t="s">
        <v>8</v>
      </c>
      <c r="C28" s="2" t="s">
        <v>9</v>
      </c>
      <c r="D28" s="2">
        <v>15.0</v>
      </c>
      <c r="E28" s="2" t="s">
        <v>10</v>
      </c>
      <c r="F28" s="2" t="s">
        <v>11</v>
      </c>
      <c r="G28" s="2" t="s">
        <v>27</v>
      </c>
      <c r="H28" s="2" t="s">
        <v>18</v>
      </c>
    </row>
    <row r="29">
      <c r="A29" s="1">
        <v>45709.0</v>
      </c>
      <c r="B29" s="2" t="s">
        <v>17</v>
      </c>
      <c r="C29" s="2" t="s">
        <v>9</v>
      </c>
      <c r="D29" s="2">
        <v>11.0</v>
      </c>
      <c r="E29" s="2" t="s">
        <v>10</v>
      </c>
      <c r="F29" s="2" t="s">
        <v>15</v>
      </c>
      <c r="G29" s="2" t="s">
        <v>27</v>
      </c>
      <c r="H29" s="2" t="s">
        <v>20</v>
      </c>
    </row>
    <row r="30">
      <c r="A30" s="1">
        <v>45711.0</v>
      </c>
      <c r="B30" s="2" t="s">
        <v>8</v>
      </c>
      <c r="C30" s="2" t="s">
        <v>24</v>
      </c>
      <c r="D30" s="2">
        <v>14.0</v>
      </c>
      <c r="E30" s="2" t="s">
        <v>10</v>
      </c>
      <c r="F30" s="2" t="s">
        <v>11</v>
      </c>
      <c r="G30" s="2" t="s">
        <v>27</v>
      </c>
      <c r="H30" s="2" t="s">
        <v>13</v>
      </c>
    </row>
    <row r="31">
      <c r="A31" s="1">
        <v>45713.0</v>
      </c>
      <c r="B31" s="2" t="s">
        <v>19</v>
      </c>
      <c r="C31" s="2" t="s">
        <v>9</v>
      </c>
      <c r="D31" s="2">
        <v>7.0</v>
      </c>
      <c r="E31" s="2" t="s">
        <v>10</v>
      </c>
      <c r="F31" s="2" t="s">
        <v>11</v>
      </c>
      <c r="G31" s="2" t="s">
        <v>27</v>
      </c>
      <c r="H31" s="2" t="s">
        <v>16</v>
      </c>
    </row>
    <row r="32">
      <c r="A32" s="1">
        <v>45714.0</v>
      </c>
      <c r="B32" s="2" t="s">
        <v>26</v>
      </c>
      <c r="C32" s="2" t="s">
        <v>21</v>
      </c>
      <c r="D32" s="2">
        <v>25.0</v>
      </c>
      <c r="E32" s="2" t="s">
        <v>10</v>
      </c>
      <c r="F32" s="2" t="s">
        <v>15</v>
      </c>
      <c r="G32" s="2" t="s">
        <v>27</v>
      </c>
      <c r="H32" s="2" t="s">
        <v>18</v>
      </c>
    </row>
    <row r="33">
      <c r="A33" s="1">
        <v>45716.0</v>
      </c>
      <c r="B33" s="2" t="s">
        <v>8</v>
      </c>
      <c r="C33" s="2" t="s">
        <v>9</v>
      </c>
      <c r="D33" s="2">
        <v>14.0</v>
      </c>
      <c r="E33" s="2" t="s">
        <v>10</v>
      </c>
      <c r="F33" s="2" t="s">
        <v>11</v>
      </c>
      <c r="G33" s="2" t="s">
        <v>27</v>
      </c>
      <c r="H33" s="2" t="s">
        <v>20</v>
      </c>
    </row>
    <row r="34">
      <c r="A34" s="1">
        <v>45718.0</v>
      </c>
      <c r="B34" s="2" t="s">
        <v>17</v>
      </c>
      <c r="C34" s="2" t="s">
        <v>9</v>
      </c>
      <c r="D34" s="2">
        <v>9.0</v>
      </c>
      <c r="E34" s="2" t="s">
        <v>10</v>
      </c>
      <c r="F34" s="2" t="s">
        <v>11</v>
      </c>
      <c r="G34" s="2" t="s">
        <v>28</v>
      </c>
      <c r="H34" s="2" t="s">
        <v>13</v>
      </c>
    </row>
    <row r="35">
      <c r="A35" s="1">
        <v>45720.0</v>
      </c>
      <c r="B35" s="2" t="s">
        <v>8</v>
      </c>
      <c r="C35" s="2" t="s">
        <v>9</v>
      </c>
      <c r="D35" s="2">
        <v>14.0</v>
      </c>
      <c r="E35" s="2" t="s">
        <v>10</v>
      </c>
      <c r="F35" s="2" t="s">
        <v>15</v>
      </c>
      <c r="G35" s="2" t="s">
        <v>28</v>
      </c>
      <c r="H35" s="2" t="s">
        <v>16</v>
      </c>
    </row>
    <row r="36">
      <c r="A36" s="1">
        <v>45721.0</v>
      </c>
      <c r="B36" s="2" t="s">
        <v>14</v>
      </c>
      <c r="C36" s="2" t="s">
        <v>9</v>
      </c>
      <c r="D36" s="2">
        <v>22.0</v>
      </c>
      <c r="E36" s="2" t="s">
        <v>10</v>
      </c>
      <c r="F36" s="2" t="s">
        <v>11</v>
      </c>
      <c r="G36" s="2" t="s">
        <v>28</v>
      </c>
      <c r="H36" s="2" t="s">
        <v>18</v>
      </c>
    </row>
    <row r="37">
      <c r="A37" s="1">
        <v>45723.0</v>
      </c>
      <c r="B37" s="2" t="s">
        <v>8</v>
      </c>
      <c r="C37" s="2" t="s">
        <v>21</v>
      </c>
      <c r="D37" s="2">
        <v>17.0</v>
      </c>
      <c r="E37" s="2" t="s">
        <v>22</v>
      </c>
      <c r="F37" s="2" t="s">
        <v>11</v>
      </c>
      <c r="G37" s="2" t="s">
        <v>28</v>
      </c>
      <c r="H37" s="2" t="s">
        <v>20</v>
      </c>
    </row>
    <row r="38">
      <c r="A38" s="1">
        <v>45725.0</v>
      </c>
      <c r="B38" s="2" t="s">
        <v>19</v>
      </c>
      <c r="C38" s="2" t="s">
        <v>9</v>
      </c>
      <c r="D38" s="2">
        <v>7.0</v>
      </c>
      <c r="E38" s="2" t="s">
        <v>10</v>
      </c>
      <c r="F38" s="2" t="s">
        <v>15</v>
      </c>
      <c r="G38" s="2" t="s">
        <v>28</v>
      </c>
      <c r="H38" s="2" t="s">
        <v>13</v>
      </c>
    </row>
    <row r="39">
      <c r="A39" s="1">
        <v>45727.0</v>
      </c>
      <c r="B39" s="2" t="s">
        <v>17</v>
      </c>
      <c r="C39" s="2" t="s">
        <v>24</v>
      </c>
      <c r="D39" s="2">
        <v>10.0</v>
      </c>
      <c r="E39" s="2" t="s">
        <v>10</v>
      </c>
      <c r="F39" s="2" t="s">
        <v>11</v>
      </c>
      <c r="G39" s="2" t="s">
        <v>28</v>
      </c>
      <c r="H39" s="2" t="s">
        <v>16</v>
      </c>
    </row>
    <row r="40">
      <c r="A40" s="1">
        <v>45728.0</v>
      </c>
      <c r="B40" s="2" t="s">
        <v>8</v>
      </c>
      <c r="C40" s="2" t="s">
        <v>9</v>
      </c>
      <c r="D40" s="2">
        <v>14.0</v>
      </c>
      <c r="E40" s="2" t="s">
        <v>10</v>
      </c>
      <c r="F40" s="2" t="s">
        <v>11</v>
      </c>
      <c r="G40" s="2" t="s">
        <v>28</v>
      </c>
      <c r="H40" s="2" t="s">
        <v>18</v>
      </c>
    </row>
    <row r="41">
      <c r="A41" s="1">
        <v>45730.0</v>
      </c>
      <c r="B41" s="2" t="s">
        <v>25</v>
      </c>
      <c r="C41" s="2" t="s">
        <v>9</v>
      </c>
      <c r="D41" s="2">
        <v>35.0</v>
      </c>
      <c r="E41" s="2" t="s">
        <v>22</v>
      </c>
      <c r="F41" s="2" t="s">
        <v>15</v>
      </c>
      <c r="G41" s="2" t="s">
        <v>28</v>
      </c>
      <c r="H41" s="2" t="s">
        <v>20</v>
      </c>
    </row>
    <row r="42">
      <c r="A42" s="1">
        <v>45732.0</v>
      </c>
      <c r="B42" s="2" t="s">
        <v>8</v>
      </c>
      <c r="C42" s="2" t="s">
        <v>9</v>
      </c>
      <c r="D42" s="2">
        <v>14.0</v>
      </c>
      <c r="E42" s="2" t="s">
        <v>10</v>
      </c>
      <c r="F42" s="2" t="s">
        <v>11</v>
      </c>
      <c r="G42" s="2" t="s">
        <v>28</v>
      </c>
      <c r="H42" s="2" t="s">
        <v>13</v>
      </c>
    </row>
    <row r="43">
      <c r="A43" s="1">
        <v>45734.0</v>
      </c>
      <c r="B43" s="2" t="s">
        <v>23</v>
      </c>
      <c r="C43" s="2" t="s">
        <v>9</v>
      </c>
      <c r="D43" s="2">
        <v>19.0</v>
      </c>
      <c r="E43" s="2" t="s">
        <v>10</v>
      </c>
      <c r="F43" s="2" t="s">
        <v>15</v>
      </c>
      <c r="G43" s="2" t="s">
        <v>28</v>
      </c>
      <c r="H43" s="2" t="s">
        <v>16</v>
      </c>
    </row>
    <row r="44">
      <c r="A44" s="1">
        <v>45735.0</v>
      </c>
      <c r="B44" s="2" t="s">
        <v>8</v>
      </c>
      <c r="C44" s="2" t="s">
        <v>9</v>
      </c>
      <c r="D44" s="2">
        <v>14.0</v>
      </c>
      <c r="E44" s="2" t="s">
        <v>10</v>
      </c>
      <c r="F44" s="2" t="s">
        <v>11</v>
      </c>
      <c r="G44" s="2" t="s">
        <v>28</v>
      </c>
      <c r="H44" s="2" t="s">
        <v>18</v>
      </c>
    </row>
    <row r="45">
      <c r="A45" s="1">
        <v>45737.0</v>
      </c>
      <c r="B45" s="2" t="s">
        <v>17</v>
      </c>
      <c r="C45" s="2" t="s">
        <v>9</v>
      </c>
      <c r="D45" s="2">
        <v>8.0</v>
      </c>
      <c r="E45" s="2" t="s">
        <v>10</v>
      </c>
      <c r="F45" s="2" t="s">
        <v>11</v>
      </c>
      <c r="G45" s="2" t="s">
        <v>28</v>
      </c>
      <c r="H45" s="2" t="s">
        <v>20</v>
      </c>
    </row>
    <row r="46">
      <c r="A46" s="1">
        <v>45739.0</v>
      </c>
      <c r="B46" s="2" t="s">
        <v>14</v>
      </c>
      <c r="C46" s="2" t="s">
        <v>9</v>
      </c>
      <c r="D46" s="2">
        <v>21.0</v>
      </c>
      <c r="E46" s="2" t="s">
        <v>10</v>
      </c>
      <c r="F46" s="2" t="s">
        <v>15</v>
      </c>
      <c r="G46" s="2" t="s">
        <v>28</v>
      </c>
      <c r="H46" s="2" t="s">
        <v>13</v>
      </c>
    </row>
    <row r="47">
      <c r="A47" s="1">
        <v>45741.0</v>
      </c>
      <c r="B47" s="2" t="s">
        <v>8</v>
      </c>
      <c r="C47" s="2" t="s">
        <v>24</v>
      </c>
      <c r="D47" s="2">
        <v>14.0</v>
      </c>
      <c r="E47" s="2" t="s">
        <v>10</v>
      </c>
      <c r="F47" s="2" t="s">
        <v>11</v>
      </c>
      <c r="G47" s="2" t="s">
        <v>28</v>
      </c>
      <c r="H47" s="2" t="s">
        <v>16</v>
      </c>
    </row>
    <row r="48">
      <c r="A48" s="1">
        <v>45742.0</v>
      </c>
      <c r="B48" s="2" t="s">
        <v>19</v>
      </c>
      <c r="C48" s="2" t="s">
        <v>9</v>
      </c>
      <c r="D48" s="2">
        <v>7.0</v>
      </c>
      <c r="E48" s="2" t="s">
        <v>10</v>
      </c>
      <c r="F48" s="2" t="s">
        <v>11</v>
      </c>
      <c r="G48" s="2" t="s">
        <v>28</v>
      </c>
      <c r="H48" s="2" t="s">
        <v>18</v>
      </c>
    </row>
    <row r="49">
      <c r="A49" s="1">
        <v>45744.0</v>
      </c>
      <c r="B49" s="2" t="s">
        <v>8</v>
      </c>
      <c r="C49" s="2" t="s">
        <v>9</v>
      </c>
      <c r="D49" s="2">
        <v>15.0</v>
      </c>
      <c r="E49" s="2" t="s">
        <v>10</v>
      </c>
      <c r="F49" s="2" t="s">
        <v>15</v>
      </c>
      <c r="G49" s="2" t="s">
        <v>28</v>
      </c>
      <c r="H49" s="2" t="s">
        <v>20</v>
      </c>
    </row>
    <row r="50">
      <c r="A50" s="1">
        <v>45746.0</v>
      </c>
      <c r="B50" s="2" t="s">
        <v>26</v>
      </c>
      <c r="C50" s="2" t="s">
        <v>9</v>
      </c>
      <c r="D50" s="2">
        <v>24.0</v>
      </c>
      <c r="E50" s="2" t="s">
        <v>10</v>
      </c>
      <c r="F50" s="2" t="s">
        <v>11</v>
      </c>
      <c r="G50" s="2" t="s">
        <v>28</v>
      </c>
      <c r="H50" s="2" t="s">
        <v>13</v>
      </c>
    </row>
    <row r="51">
      <c r="A51" s="1">
        <v>45748.0</v>
      </c>
      <c r="B51" s="2" t="s">
        <v>8</v>
      </c>
      <c r="C51" s="2" t="s">
        <v>9</v>
      </c>
      <c r="D51" s="2">
        <v>14.0</v>
      </c>
      <c r="E51" s="2" t="s">
        <v>10</v>
      </c>
      <c r="F51" s="2" t="s">
        <v>11</v>
      </c>
      <c r="G51" s="2" t="s">
        <v>29</v>
      </c>
      <c r="H51" s="2" t="s">
        <v>16</v>
      </c>
    </row>
    <row r="52">
      <c r="A52" s="1">
        <v>45749.0</v>
      </c>
      <c r="B52" s="2" t="s">
        <v>17</v>
      </c>
      <c r="C52" s="2" t="s">
        <v>9</v>
      </c>
      <c r="D52" s="2">
        <v>10.0</v>
      </c>
      <c r="E52" s="2" t="s">
        <v>10</v>
      </c>
      <c r="F52" s="2" t="s">
        <v>11</v>
      </c>
      <c r="G52" s="2" t="s">
        <v>29</v>
      </c>
      <c r="H52" s="2" t="s">
        <v>18</v>
      </c>
    </row>
    <row r="53">
      <c r="A53" s="1">
        <v>45751.0</v>
      </c>
      <c r="B53" s="2" t="s">
        <v>8</v>
      </c>
      <c r="C53" s="2" t="s">
        <v>21</v>
      </c>
      <c r="D53" s="2">
        <v>14.0</v>
      </c>
      <c r="E53" s="2" t="s">
        <v>10</v>
      </c>
      <c r="F53" s="2" t="s">
        <v>15</v>
      </c>
      <c r="G53" s="2" t="s">
        <v>29</v>
      </c>
      <c r="H53" s="2" t="s">
        <v>20</v>
      </c>
    </row>
    <row r="54">
      <c r="A54" s="1">
        <v>45753.0</v>
      </c>
      <c r="B54" s="2" t="s">
        <v>14</v>
      </c>
      <c r="C54" s="2" t="s">
        <v>9</v>
      </c>
      <c r="D54" s="2">
        <v>20.0</v>
      </c>
      <c r="E54" s="2" t="s">
        <v>10</v>
      </c>
      <c r="F54" s="2" t="s">
        <v>11</v>
      </c>
      <c r="G54" s="2" t="s">
        <v>29</v>
      </c>
      <c r="H54" s="2" t="s">
        <v>13</v>
      </c>
    </row>
    <row r="55">
      <c r="A55" s="1">
        <v>45755.0</v>
      </c>
      <c r="B55" s="2" t="s">
        <v>19</v>
      </c>
      <c r="C55" s="2" t="s">
        <v>9</v>
      </c>
      <c r="D55" s="2">
        <v>7.0</v>
      </c>
      <c r="E55" s="2" t="s">
        <v>10</v>
      </c>
      <c r="F55" s="2" t="s">
        <v>11</v>
      </c>
      <c r="G55" s="2" t="s">
        <v>29</v>
      </c>
      <c r="H55" s="2" t="s">
        <v>16</v>
      </c>
    </row>
    <row r="56">
      <c r="A56" s="1">
        <v>45756.0</v>
      </c>
      <c r="B56" s="2" t="s">
        <v>8</v>
      </c>
      <c r="C56" s="2" t="s">
        <v>9</v>
      </c>
      <c r="D56" s="2">
        <v>14.0</v>
      </c>
      <c r="E56" s="2" t="s">
        <v>10</v>
      </c>
      <c r="F56" s="2" t="s">
        <v>15</v>
      </c>
      <c r="G56" s="2" t="s">
        <v>29</v>
      </c>
      <c r="H56" s="2" t="s">
        <v>18</v>
      </c>
    </row>
    <row r="57">
      <c r="A57" s="1">
        <v>45758.0</v>
      </c>
      <c r="B57" s="2" t="s">
        <v>17</v>
      </c>
      <c r="C57" s="2" t="s">
        <v>24</v>
      </c>
      <c r="D57" s="2">
        <v>11.0</v>
      </c>
      <c r="E57" s="2" t="s">
        <v>10</v>
      </c>
      <c r="F57" s="2" t="s">
        <v>11</v>
      </c>
      <c r="G57" s="2" t="s">
        <v>29</v>
      </c>
      <c r="H57" s="2" t="s">
        <v>20</v>
      </c>
    </row>
    <row r="58">
      <c r="A58" s="1">
        <v>45760.0</v>
      </c>
      <c r="B58" s="2" t="s">
        <v>8</v>
      </c>
      <c r="C58" s="2" t="s">
        <v>9</v>
      </c>
      <c r="D58" s="2">
        <v>16.0</v>
      </c>
      <c r="E58" s="2" t="s">
        <v>22</v>
      </c>
      <c r="F58" s="2" t="s">
        <v>11</v>
      </c>
      <c r="G58" s="2" t="s">
        <v>29</v>
      </c>
      <c r="H58" s="2" t="s">
        <v>13</v>
      </c>
    </row>
    <row r="59">
      <c r="A59" s="1">
        <v>45762.0</v>
      </c>
      <c r="B59" s="2" t="s">
        <v>23</v>
      </c>
      <c r="C59" s="2" t="s">
        <v>9</v>
      </c>
      <c r="D59" s="2">
        <v>21.0</v>
      </c>
      <c r="E59" s="2" t="s">
        <v>10</v>
      </c>
      <c r="F59" s="2" t="s">
        <v>15</v>
      </c>
      <c r="G59" s="2" t="s">
        <v>29</v>
      </c>
      <c r="H59" s="2" t="s">
        <v>16</v>
      </c>
    </row>
    <row r="60">
      <c r="A60" s="1">
        <v>45763.0</v>
      </c>
      <c r="B60" s="2" t="s">
        <v>8</v>
      </c>
      <c r="C60" s="2" t="s">
        <v>9</v>
      </c>
      <c r="D60" s="2">
        <v>14.0</v>
      </c>
      <c r="E60" s="2" t="s">
        <v>10</v>
      </c>
      <c r="F60" s="2" t="s">
        <v>11</v>
      </c>
      <c r="G60" s="2" t="s">
        <v>29</v>
      </c>
      <c r="H60" s="2" t="s">
        <v>18</v>
      </c>
    </row>
    <row r="61">
      <c r="A61" s="1">
        <v>45765.0</v>
      </c>
      <c r="B61" s="2" t="s">
        <v>17</v>
      </c>
      <c r="C61" s="2" t="s">
        <v>9</v>
      </c>
      <c r="D61" s="2">
        <v>9.0</v>
      </c>
      <c r="E61" s="2" t="s">
        <v>10</v>
      </c>
      <c r="F61" s="2" t="s">
        <v>11</v>
      </c>
      <c r="G61" s="2" t="s">
        <v>29</v>
      </c>
      <c r="H61" s="2" t="s">
        <v>20</v>
      </c>
    </row>
    <row r="62">
      <c r="A62" s="1">
        <v>45767.0</v>
      </c>
      <c r="B62" s="2" t="s">
        <v>14</v>
      </c>
      <c r="C62" s="2" t="s">
        <v>9</v>
      </c>
      <c r="D62" s="2">
        <v>23.0</v>
      </c>
      <c r="E62" s="2" t="s">
        <v>10</v>
      </c>
      <c r="F62" s="2" t="s">
        <v>15</v>
      </c>
      <c r="G62" s="2" t="s">
        <v>29</v>
      </c>
      <c r="H62" s="2" t="s">
        <v>13</v>
      </c>
    </row>
    <row r="63">
      <c r="A63" s="1">
        <v>45769.0</v>
      </c>
      <c r="B63" s="2" t="s">
        <v>8</v>
      </c>
      <c r="C63" s="2" t="s">
        <v>9</v>
      </c>
      <c r="D63" s="2">
        <v>14.0</v>
      </c>
      <c r="E63" s="2" t="s">
        <v>10</v>
      </c>
      <c r="F63" s="2" t="s">
        <v>11</v>
      </c>
      <c r="G63" s="2" t="s">
        <v>29</v>
      </c>
      <c r="H63" s="2" t="s">
        <v>16</v>
      </c>
    </row>
    <row r="64">
      <c r="A64" s="1">
        <v>45770.0</v>
      </c>
      <c r="B64" s="2" t="s">
        <v>19</v>
      </c>
      <c r="C64" s="2" t="s">
        <v>9</v>
      </c>
      <c r="D64" s="2">
        <v>7.0</v>
      </c>
      <c r="E64" s="2" t="s">
        <v>10</v>
      </c>
      <c r="F64" s="2" t="s">
        <v>11</v>
      </c>
      <c r="G64" s="2" t="s">
        <v>29</v>
      </c>
      <c r="H64" s="2" t="s">
        <v>18</v>
      </c>
    </row>
    <row r="65">
      <c r="A65" s="1">
        <v>45772.0</v>
      </c>
      <c r="B65" s="2" t="s">
        <v>26</v>
      </c>
      <c r="C65" s="2" t="s">
        <v>21</v>
      </c>
      <c r="D65" s="2">
        <v>26.0</v>
      </c>
      <c r="E65" s="2" t="s">
        <v>10</v>
      </c>
      <c r="F65" s="2" t="s">
        <v>15</v>
      </c>
      <c r="G65" s="2" t="s">
        <v>29</v>
      </c>
      <c r="H65" s="2" t="s">
        <v>20</v>
      </c>
    </row>
    <row r="66">
      <c r="A66" s="1">
        <v>45774.0</v>
      </c>
      <c r="B66" s="2" t="s">
        <v>8</v>
      </c>
      <c r="C66" s="2" t="s">
        <v>9</v>
      </c>
      <c r="D66" s="2">
        <v>14.0</v>
      </c>
      <c r="E66" s="2" t="s">
        <v>10</v>
      </c>
      <c r="F66" s="2" t="s">
        <v>11</v>
      </c>
      <c r="G66" s="2" t="s">
        <v>29</v>
      </c>
      <c r="H66" s="2" t="s">
        <v>13</v>
      </c>
    </row>
    <row r="67">
      <c r="A67" s="1">
        <v>45776.0</v>
      </c>
      <c r="B67" s="2" t="s">
        <v>17</v>
      </c>
      <c r="C67" s="2" t="s">
        <v>9</v>
      </c>
      <c r="D67" s="2">
        <v>10.0</v>
      </c>
      <c r="E67" s="2" t="s">
        <v>10</v>
      </c>
      <c r="F67" s="2" t="s">
        <v>11</v>
      </c>
      <c r="G67" s="2" t="s">
        <v>29</v>
      </c>
      <c r="H67" s="2" t="s">
        <v>16</v>
      </c>
    </row>
    <row r="68">
      <c r="A68" s="1">
        <v>45777.0</v>
      </c>
      <c r="B68" s="2" t="s">
        <v>8</v>
      </c>
      <c r="C68" s="2" t="s">
        <v>24</v>
      </c>
      <c r="D68" s="2">
        <v>14.0</v>
      </c>
      <c r="E68" s="2" t="s">
        <v>10</v>
      </c>
      <c r="F68" s="2" t="s">
        <v>15</v>
      </c>
      <c r="G68" s="2" t="s">
        <v>29</v>
      </c>
      <c r="H68" s="2" t="s">
        <v>18</v>
      </c>
    </row>
    <row r="69">
      <c r="A69" s="1">
        <v>45779.0</v>
      </c>
      <c r="B69" s="2" t="s">
        <v>14</v>
      </c>
      <c r="C69" s="2" t="s">
        <v>9</v>
      </c>
      <c r="D69" s="2">
        <v>21.0</v>
      </c>
      <c r="E69" s="2" t="s">
        <v>10</v>
      </c>
      <c r="F69" s="2" t="s">
        <v>11</v>
      </c>
      <c r="G69" s="2" t="s">
        <v>30</v>
      </c>
      <c r="H69" s="2" t="s">
        <v>20</v>
      </c>
    </row>
    <row r="70">
      <c r="A70" s="1">
        <v>45781.0</v>
      </c>
      <c r="B70" s="2" t="s">
        <v>8</v>
      </c>
      <c r="C70" s="2" t="s">
        <v>9</v>
      </c>
      <c r="D70" s="2">
        <v>14.0</v>
      </c>
      <c r="E70" s="2" t="s">
        <v>10</v>
      </c>
      <c r="F70" s="2" t="s">
        <v>11</v>
      </c>
      <c r="G70" s="2" t="s">
        <v>30</v>
      </c>
      <c r="H70" s="2" t="s">
        <v>13</v>
      </c>
    </row>
    <row r="71">
      <c r="A71" s="1">
        <v>45783.0</v>
      </c>
      <c r="B71" s="2" t="s">
        <v>19</v>
      </c>
      <c r="C71" s="2" t="s">
        <v>9</v>
      </c>
      <c r="D71" s="2">
        <v>7.0</v>
      </c>
      <c r="E71" s="2" t="s">
        <v>10</v>
      </c>
      <c r="F71" s="2" t="s">
        <v>15</v>
      </c>
      <c r="G71" s="2" t="s">
        <v>30</v>
      </c>
      <c r="H71" s="2" t="s">
        <v>16</v>
      </c>
    </row>
    <row r="72">
      <c r="A72" s="1">
        <v>45784.0</v>
      </c>
      <c r="B72" s="2" t="s">
        <v>17</v>
      </c>
      <c r="C72" s="2" t="s">
        <v>9</v>
      </c>
      <c r="D72" s="2">
        <v>12.0</v>
      </c>
      <c r="E72" s="2" t="s">
        <v>10</v>
      </c>
      <c r="F72" s="2" t="s">
        <v>11</v>
      </c>
      <c r="G72" s="2" t="s">
        <v>30</v>
      </c>
      <c r="H72" s="2" t="s">
        <v>18</v>
      </c>
    </row>
    <row r="73">
      <c r="A73" s="1">
        <v>45786.0</v>
      </c>
      <c r="B73" s="2" t="s">
        <v>8</v>
      </c>
      <c r="C73" s="2" t="s">
        <v>21</v>
      </c>
      <c r="D73" s="2">
        <v>15.0</v>
      </c>
      <c r="E73" s="2" t="s">
        <v>10</v>
      </c>
      <c r="F73" s="2" t="s">
        <v>11</v>
      </c>
      <c r="G73" s="2" t="s">
        <v>30</v>
      </c>
      <c r="H73" s="2" t="s">
        <v>20</v>
      </c>
    </row>
    <row r="74">
      <c r="A74" s="1">
        <v>45788.0</v>
      </c>
      <c r="B74" s="2" t="s">
        <v>25</v>
      </c>
      <c r="C74" s="2" t="s">
        <v>9</v>
      </c>
      <c r="D74" s="2">
        <v>28.0</v>
      </c>
      <c r="E74" s="2" t="s">
        <v>10</v>
      </c>
      <c r="F74" s="2" t="s">
        <v>15</v>
      </c>
      <c r="G74" s="2" t="s">
        <v>30</v>
      </c>
      <c r="H74" s="2" t="s">
        <v>13</v>
      </c>
    </row>
    <row r="75">
      <c r="A75" s="1">
        <v>45790.0</v>
      </c>
      <c r="B75" s="2" t="s">
        <v>8</v>
      </c>
      <c r="C75" s="2" t="s">
        <v>9</v>
      </c>
      <c r="D75" s="2">
        <v>14.0</v>
      </c>
      <c r="E75" s="2" t="s">
        <v>10</v>
      </c>
      <c r="F75" s="2" t="s">
        <v>11</v>
      </c>
      <c r="G75" s="2" t="s">
        <v>30</v>
      </c>
      <c r="H75" s="2" t="s">
        <v>16</v>
      </c>
    </row>
    <row r="76">
      <c r="A76" s="1">
        <v>45791.0</v>
      </c>
      <c r="B76" s="2" t="s">
        <v>23</v>
      </c>
      <c r="C76" s="2" t="s">
        <v>9</v>
      </c>
      <c r="D76" s="2">
        <v>18.0</v>
      </c>
      <c r="E76" s="2" t="s">
        <v>10</v>
      </c>
      <c r="F76" s="2" t="s">
        <v>11</v>
      </c>
      <c r="G76" s="2" t="s">
        <v>30</v>
      </c>
      <c r="H76" s="2" t="s">
        <v>18</v>
      </c>
    </row>
    <row r="77">
      <c r="A77" s="1">
        <v>45793.0</v>
      </c>
      <c r="B77" s="2" t="s">
        <v>17</v>
      </c>
      <c r="C77" s="2" t="s">
        <v>24</v>
      </c>
      <c r="D77" s="2">
        <v>9.0</v>
      </c>
      <c r="E77" s="2" t="s">
        <v>10</v>
      </c>
      <c r="F77" s="2" t="s">
        <v>15</v>
      </c>
      <c r="G77" s="2" t="s">
        <v>30</v>
      </c>
      <c r="H77" s="2" t="s">
        <v>20</v>
      </c>
    </row>
    <row r="78">
      <c r="A78" s="1">
        <v>45795.0</v>
      </c>
      <c r="B78" s="2" t="s">
        <v>8</v>
      </c>
      <c r="C78" s="2" t="s">
        <v>9</v>
      </c>
      <c r="D78" s="2">
        <v>14.0</v>
      </c>
      <c r="E78" s="2" t="s">
        <v>10</v>
      </c>
      <c r="F78" s="2" t="s">
        <v>11</v>
      </c>
      <c r="G78" s="2" t="s">
        <v>30</v>
      </c>
      <c r="H78" s="2" t="s">
        <v>13</v>
      </c>
    </row>
    <row r="79">
      <c r="A79" s="1">
        <v>45797.0</v>
      </c>
      <c r="B79" s="2" t="s">
        <v>14</v>
      </c>
      <c r="C79" s="2" t="s">
        <v>9</v>
      </c>
      <c r="D79" s="2">
        <v>22.0</v>
      </c>
      <c r="E79" s="2" t="s">
        <v>10</v>
      </c>
      <c r="F79" s="2" t="s">
        <v>11</v>
      </c>
      <c r="G79" s="2" t="s">
        <v>30</v>
      </c>
      <c r="H79" s="2" t="s">
        <v>16</v>
      </c>
    </row>
    <row r="80">
      <c r="A80" s="1">
        <v>45798.0</v>
      </c>
      <c r="B80" s="2" t="s">
        <v>19</v>
      </c>
      <c r="C80" s="2" t="s">
        <v>9</v>
      </c>
      <c r="D80" s="2">
        <v>7.0</v>
      </c>
      <c r="E80" s="2" t="s">
        <v>10</v>
      </c>
      <c r="F80" s="2" t="s">
        <v>15</v>
      </c>
      <c r="G80" s="2" t="s">
        <v>30</v>
      </c>
      <c r="H80" s="2" t="s">
        <v>18</v>
      </c>
    </row>
    <row r="81">
      <c r="A81" s="1">
        <v>45800.0</v>
      </c>
      <c r="B81" s="2" t="s">
        <v>8</v>
      </c>
      <c r="C81" s="2" t="s">
        <v>9</v>
      </c>
      <c r="D81" s="2">
        <v>14.0</v>
      </c>
      <c r="E81" s="2" t="s">
        <v>10</v>
      </c>
      <c r="F81" s="2" t="s">
        <v>11</v>
      </c>
      <c r="G81" s="2" t="s">
        <v>30</v>
      </c>
      <c r="H81" s="2" t="s">
        <v>20</v>
      </c>
    </row>
    <row r="82">
      <c r="A82" s="1">
        <v>45802.0</v>
      </c>
      <c r="B82" s="2" t="s">
        <v>26</v>
      </c>
      <c r="C82" s="2" t="s">
        <v>9</v>
      </c>
      <c r="D82" s="2">
        <v>25.0</v>
      </c>
      <c r="E82" s="2" t="s">
        <v>22</v>
      </c>
      <c r="F82" s="2" t="s">
        <v>15</v>
      </c>
      <c r="G82" s="2" t="s">
        <v>30</v>
      </c>
      <c r="H82" s="2" t="s">
        <v>13</v>
      </c>
    </row>
    <row r="83">
      <c r="A83" s="1">
        <v>45804.0</v>
      </c>
      <c r="B83" s="2" t="s">
        <v>17</v>
      </c>
      <c r="C83" s="2" t="s">
        <v>9</v>
      </c>
      <c r="D83" s="2">
        <v>10.0</v>
      </c>
      <c r="E83" s="2" t="s">
        <v>10</v>
      </c>
      <c r="F83" s="2" t="s">
        <v>11</v>
      </c>
      <c r="G83" s="2" t="s">
        <v>30</v>
      </c>
      <c r="H83" s="2" t="s">
        <v>16</v>
      </c>
    </row>
    <row r="84">
      <c r="A84" s="1">
        <v>45805.0</v>
      </c>
      <c r="B84" s="2" t="s">
        <v>8</v>
      </c>
      <c r="C84" s="2" t="s">
        <v>9</v>
      </c>
      <c r="D84" s="2">
        <v>14.0</v>
      </c>
      <c r="E84" s="2" t="s">
        <v>10</v>
      </c>
      <c r="F84" s="2" t="s">
        <v>11</v>
      </c>
      <c r="G84" s="2" t="s">
        <v>30</v>
      </c>
      <c r="H84" s="2" t="s">
        <v>18</v>
      </c>
    </row>
    <row r="85">
      <c r="A85" s="1">
        <v>45807.0</v>
      </c>
      <c r="B85" s="2" t="s">
        <v>8</v>
      </c>
      <c r="C85" s="2" t="s">
        <v>21</v>
      </c>
      <c r="D85" s="2">
        <v>16.0</v>
      </c>
      <c r="E85" s="2" t="s">
        <v>10</v>
      </c>
      <c r="F85" s="2" t="s">
        <v>15</v>
      </c>
      <c r="G85" s="2" t="s">
        <v>30</v>
      </c>
      <c r="H85" s="2" t="s">
        <v>20</v>
      </c>
    </row>
    <row r="86">
      <c r="A86" s="1">
        <v>45809.0</v>
      </c>
      <c r="B86" s="2" t="s">
        <v>19</v>
      </c>
      <c r="C86" s="2" t="s">
        <v>9</v>
      </c>
      <c r="D86" s="2">
        <v>7.0</v>
      </c>
      <c r="E86" s="2" t="s">
        <v>10</v>
      </c>
      <c r="F86" s="2" t="s">
        <v>11</v>
      </c>
      <c r="G86" s="2" t="s">
        <v>31</v>
      </c>
      <c r="H86" s="2" t="s">
        <v>13</v>
      </c>
    </row>
    <row r="87">
      <c r="A87" s="1">
        <v>45811.0</v>
      </c>
      <c r="B87" s="2" t="s">
        <v>8</v>
      </c>
      <c r="C87" s="2" t="s">
        <v>9</v>
      </c>
      <c r="D87" s="2">
        <v>21.0</v>
      </c>
      <c r="E87" s="2" t="s">
        <v>10</v>
      </c>
      <c r="F87" s="2" t="s">
        <v>11</v>
      </c>
      <c r="G87" s="2" t="s">
        <v>31</v>
      </c>
      <c r="H87" s="2" t="s">
        <v>16</v>
      </c>
    </row>
    <row r="88">
      <c r="A88" s="1">
        <v>45812.0</v>
      </c>
      <c r="B88" s="2" t="s">
        <v>17</v>
      </c>
      <c r="C88" s="2" t="s">
        <v>9</v>
      </c>
      <c r="D88" s="2">
        <v>14.0</v>
      </c>
      <c r="E88" s="2" t="s">
        <v>10</v>
      </c>
      <c r="F88" s="2" t="s">
        <v>15</v>
      </c>
      <c r="G88" s="2" t="s">
        <v>31</v>
      </c>
      <c r="H88" s="2" t="s">
        <v>18</v>
      </c>
    </row>
    <row r="89">
      <c r="A89" s="1">
        <v>45814.0</v>
      </c>
      <c r="B89" s="2" t="s">
        <v>14</v>
      </c>
      <c r="C89" s="2" t="s">
        <v>24</v>
      </c>
      <c r="D89" s="2">
        <v>20.0</v>
      </c>
      <c r="E89" s="2" t="s">
        <v>10</v>
      </c>
      <c r="F89" s="2" t="s">
        <v>11</v>
      </c>
      <c r="G89" s="2" t="s">
        <v>31</v>
      </c>
      <c r="H89" s="2" t="s">
        <v>20</v>
      </c>
    </row>
    <row r="90">
      <c r="A90" s="1">
        <v>45816.0</v>
      </c>
      <c r="B90" s="2" t="s">
        <v>8</v>
      </c>
      <c r="C90" s="2" t="s">
        <v>9</v>
      </c>
      <c r="D90" s="2">
        <v>14.0</v>
      </c>
      <c r="E90" s="2" t="s">
        <v>10</v>
      </c>
      <c r="F90" s="2" t="s">
        <v>11</v>
      </c>
      <c r="G90" s="2" t="s">
        <v>31</v>
      </c>
      <c r="H90" s="2" t="s">
        <v>13</v>
      </c>
    </row>
    <row r="91">
      <c r="A91" s="1">
        <v>45818.0</v>
      </c>
      <c r="B91" s="2" t="s">
        <v>19</v>
      </c>
      <c r="C91" s="2" t="s">
        <v>9</v>
      </c>
      <c r="D91" s="2">
        <v>7.0</v>
      </c>
      <c r="E91" s="2" t="s">
        <v>10</v>
      </c>
      <c r="F91" s="2" t="s">
        <v>15</v>
      </c>
      <c r="G91" s="2" t="s">
        <v>31</v>
      </c>
      <c r="H91" s="2" t="s">
        <v>16</v>
      </c>
    </row>
    <row r="92">
      <c r="A92" s="1">
        <v>45819.0</v>
      </c>
      <c r="B92" s="2" t="s">
        <v>17</v>
      </c>
      <c r="C92" s="2" t="s">
        <v>9</v>
      </c>
      <c r="D92" s="2">
        <v>11.0</v>
      </c>
      <c r="E92" s="2" t="s">
        <v>10</v>
      </c>
      <c r="F92" s="2" t="s">
        <v>11</v>
      </c>
      <c r="G92" s="2" t="s">
        <v>31</v>
      </c>
      <c r="H92" s="2" t="s">
        <v>18</v>
      </c>
    </row>
    <row r="93">
      <c r="A93" s="1">
        <v>45821.0</v>
      </c>
      <c r="B93" s="2" t="s">
        <v>8</v>
      </c>
      <c r="C93" s="2" t="s">
        <v>9</v>
      </c>
      <c r="D93" s="2">
        <v>15.0</v>
      </c>
      <c r="E93" s="2" t="s">
        <v>10</v>
      </c>
      <c r="F93" s="2" t="s">
        <v>11</v>
      </c>
      <c r="G93" s="2" t="s">
        <v>31</v>
      </c>
      <c r="H93" s="2" t="s">
        <v>20</v>
      </c>
    </row>
    <row r="94">
      <c r="A94" s="1">
        <v>45823.0</v>
      </c>
      <c r="B94" s="2" t="s">
        <v>23</v>
      </c>
      <c r="C94" s="2" t="s">
        <v>9</v>
      </c>
      <c r="D94" s="2">
        <v>19.0</v>
      </c>
      <c r="E94" s="2" t="s">
        <v>10</v>
      </c>
      <c r="F94" s="2" t="s">
        <v>15</v>
      </c>
      <c r="G94" s="2" t="s">
        <v>31</v>
      </c>
      <c r="H94" s="2" t="s">
        <v>13</v>
      </c>
    </row>
    <row r="95">
      <c r="A95" s="1">
        <v>45825.0</v>
      </c>
      <c r="B95" s="2" t="s">
        <v>8</v>
      </c>
      <c r="C95" s="2" t="s">
        <v>21</v>
      </c>
      <c r="D95" s="2">
        <v>14.0</v>
      </c>
      <c r="E95" s="2" t="s">
        <v>10</v>
      </c>
      <c r="F95" s="2" t="s">
        <v>11</v>
      </c>
      <c r="G95" s="2" t="s">
        <v>31</v>
      </c>
      <c r="H95" s="2" t="s">
        <v>16</v>
      </c>
    </row>
    <row r="96">
      <c r="A96" s="1">
        <v>45826.0</v>
      </c>
      <c r="B96" s="2" t="s">
        <v>17</v>
      </c>
      <c r="C96" s="2" t="s">
        <v>24</v>
      </c>
      <c r="D96" s="2">
        <v>10.0</v>
      </c>
      <c r="E96" s="2" t="s">
        <v>10</v>
      </c>
      <c r="F96" s="2" t="s">
        <v>11</v>
      </c>
      <c r="G96" s="2" t="s">
        <v>31</v>
      </c>
      <c r="H96" s="2" t="s">
        <v>18</v>
      </c>
    </row>
    <row r="97">
      <c r="A97" s="1">
        <v>45828.0</v>
      </c>
      <c r="B97" s="2" t="s">
        <v>14</v>
      </c>
      <c r="C97" s="2" t="s">
        <v>9</v>
      </c>
      <c r="D97" s="2">
        <v>24.0</v>
      </c>
      <c r="E97" s="2" t="s">
        <v>10</v>
      </c>
      <c r="F97" s="2" t="s">
        <v>15</v>
      </c>
      <c r="G97" s="2" t="s">
        <v>31</v>
      </c>
      <c r="H97" s="2" t="s">
        <v>20</v>
      </c>
    </row>
    <row r="98">
      <c r="A98" s="1">
        <v>45830.0</v>
      </c>
      <c r="B98" s="2" t="s">
        <v>8</v>
      </c>
      <c r="C98" s="2" t="s">
        <v>9</v>
      </c>
      <c r="D98" s="2">
        <v>14.0</v>
      </c>
      <c r="E98" s="2" t="s">
        <v>10</v>
      </c>
      <c r="F98" s="2" t="s">
        <v>11</v>
      </c>
      <c r="G98" s="2" t="s">
        <v>31</v>
      </c>
      <c r="H98" s="2" t="s">
        <v>13</v>
      </c>
    </row>
    <row r="99">
      <c r="A99" s="1">
        <v>45832.0</v>
      </c>
      <c r="B99" s="2" t="s">
        <v>19</v>
      </c>
      <c r="C99" s="2" t="s">
        <v>9</v>
      </c>
      <c r="D99" s="2">
        <v>7.0</v>
      </c>
      <c r="E99" s="2" t="s">
        <v>10</v>
      </c>
      <c r="F99" s="2" t="s">
        <v>11</v>
      </c>
      <c r="G99" s="2" t="s">
        <v>31</v>
      </c>
      <c r="H99" s="2" t="s">
        <v>16</v>
      </c>
    </row>
    <row r="100">
      <c r="A100" s="1">
        <v>45833.0</v>
      </c>
      <c r="B100" s="2" t="s">
        <v>26</v>
      </c>
      <c r="C100" s="2" t="s">
        <v>9</v>
      </c>
      <c r="D100" s="2">
        <v>22.0</v>
      </c>
      <c r="E100" s="2" t="s">
        <v>10</v>
      </c>
      <c r="F100" s="2" t="s">
        <v>15</v>
      </c>
      <c r="G100" s="2" t="s">
        <v>31</v>
      </c>
      <c r="H100" s="2" t="s">
        <v>18</v>
      </c>
    </row>
    <row r="101">
      <c r="A101" s="1">
        <v>45835.0</v>
      </c>
      <c r="B101" s="2" t="s">
        <v>8</v>
      </c>
      <c r="C101" s="2" t="s">
        <v>9</v>
      </c>
      <c r="D101" s="2">
        <v>14.0</v>
      </c>
      <c r="E101" s="2" t="s">
        <v>10</v>
      </c>
      <c r="F101" s="2" t="s">
        <v>11</v>
      </c>
      <c r="G101" s="2" t="s">
        <v>31</v>
      </c>
      <c r="H101" s="2" t="s">
        <v>20</v>
      </c>
    </row>
    <row r="102">
      <c r="A102" s="1">
        <v>45837.0</v>
      </c>
      <c r="B102" s="2" t="s">
        <v>17</v>
      </c>
      <c r="C102" s="2" t="s">
        <v>9</v>
      </c>
      <c r="D102" s="2">
        <v>9.0</v>
      </c>
      <c r="E102" s="2" t="s">
        <v>10</v>
      </c>
      <c r="F102" s="2" t="s">
        <v>11</v>
      </c>
      <c r="G102" s="2" t="s">
        <v>31</v>
      </c>
      <c r="H102" s="2" t="s">
        <v>13</v>
      </c>
    </row>
    <row r="103">
      <c r="A103" s="1">
        <v>45839.0</v>
      </c>
      <c r="B103" s="2" t="s">
        <v>8</v>
      </c>
      <c r="C103" s="2" t="s">
        <v>9</v>
      </c>
      <c r="D103" s="2">
        <v>21.0</v>
      </c>
      <c r="E103" s="2" t="s">
        <v>10</v>
      </c>
      <c r="F103" s="2" t="s">
        <v>15</v>
      </c>
      <c r="G103" s="2" t="s">
        <v>32</v>
      </c>
      <c r="H103" s="2" t="s">
        <v>16</v>
      </c>
    </row>
    <row r="104">
      <c r="A104" s="1">
        <v>45841.0</v>
      </c>
      <c r="B104" s="2" t="s">
        <v>14</v>
      </c>
      <c r="C104" s="2" t="s">
        <v>9</v>
      </c>
      <c r="D104" s="2">
        <v>28.0</v>
      </c>
      <c r="E104" s="2" t="s">
        <v>22</v>
      </c>
      <c r="F104" s="2" t="s">
        <v>11</v>
      </c>
      <c r="G104" s="2" t="s">
        <v>32</v>
      </c>
      <c r="H104" s="2" t="s">
        <v>33</v>
      </c>
    </row>
    <row r="105">
      <c r="A105" s="1">
        <v>45844.0</v>
      </c>
      <c r="B105" s="2" t="s">
        <v>19</v>
      </c>
      <c r="C105" s="2" t="s">
        <v>9</v>
      </c>
      <c r="D105" s="2">
        <v>7.0</v>
      </c>
      <c r="E105" s="2" t="s">
        <v>10</v>
      </c>
      <c r="F105" s="2" t="s">
        <v>11</v>
      </c>
      <c r="G105" s="2" t="s">
        <v>32</v>
      </c>
      <c r="H105" s="2" t="s">
        <v>13</v>
      </c>
    </row>
    <row r="106">
      <c r="A106" s="1">
        <v>45846.0</v>
      </c>
      <c r="B106" s="2" t="s">
        <v>17</v>
      </c>
      <c r="C106" s="2" t="s">
        <v>9</v>
      </c>
      <c r="D106" s="2">
        <v>14.0</v>
      </c>
      <c r="E106" s="2" t="s">
        <v>10</v>
      </c>
      <c r="F106" s="2" t="s">
        <v>15</v>
      </c>
      <c r="G106" s="2" t="s">
        <v>32</v>
      </c>
      <c r="H106" s="2" t="s">
        <v>16</v>
      </c>
    </row>
    <row r="107">
      <c r="A107" s="1">
        <v>45848.0</v>
      </c>
      <c r="B107" s="2" t="s">
        <v>8</v>
      </c>
      <c r="C107" s="2" t="s">
        <v>24</v>
      </c>
      <c r="D107" s="2">
        <v>15.0</v>
      </c>
      <c r="E107" s="2" t="s">
        <v>10</v>
      </c>
      <c r="F107" s="2" t="s">
        <v>11</v>
      </c>
      <c r="G107" s="2" t="s">
        <v>32</v>
      </c>
      <c r="H107" s="2" t="s">
        <v>33</v>
      </c>
    </row>
    <row r="108">
      <c r="A108" s="1">
        <v>45851.0</v>
      </c>
      <c r="B108" s="2" t="s">
        <v>8</v>
      </c>
      <c r="C108" s="2" t="s">
        <v>9</v>
      </c>
      <c r="D108" s="2">
        <v>21.0</v>
      </c>
      <c r="E108" s="2" t="s">
        <v>10</v>
      </c>
      <c r="F108" s="2" t="s">
        <v>11</v>
      </c>
      <c r="G108" s="2" t="s">
        <v>32</v>
      </c>
      <c r="H108" s="2" t="s">
        <v>13</v>
      </c>
    </row>
    <row r="109">
      <c r="A109" s="1">
        <v>45853.0</v>
      </c>
      <c r="B109" s="2" t="s">
        <v>17</v>
      </c>
      <c r="C109" s="2" t="s">
        <v>9</v>
      </c>
      <c r="D109" s="2">
        <v>12.0</v>
      </c>
      <c r="E109" s="2" t="s">
        <v>10</v>
      </c>
      <c r="F109" s="2" t="s">
        <v>15</v>
      </c>
      <c r="G109" s="2" t="s">
        <v>32</v>
      </c>
      <c r="H109" s="2" t="s">
        <v>16</v>
      </c>
    </row>
    <row r="110">
      <c r="A110" s="1">
        <v>45855.0</v>
      </c>
      <c r="B110" s="2" t="s">
        <v>23</v>
      </c>
      <c r="C110" s="2" t="s">
        <v>9</v>
      </c>
      <c r="D110" s="2">
        <v>20.0</v>
      </c>
      <c r="E110" s="2" t="s">
        <v>10</v>
      </c>
      <c r="F110" s="2" t="s">
        <v>11</v>
      </c>
      <c r="G110" s="2" t="s">
        <v>32</v>
      </c>
      <c r="H110" s="2" t="s">
        <v>33</v>
      </c>
    </row>
    <row r="111">
      <c r="A111" s="1">
        <v>45858.0</v>
      </c>
      <c r="B111" s="2" t="s">
        <v>8</v>
      </c>
      <c r="C111" s="2" t="s">
        <v>21</v>
      </c>
      <c r="D111" s="2">
        <v>14.0</v>
      </c>
      <c r="E111" s="2" t="s">
        <v>10</v>
      </c>
      <c r="F111" s="2" t="s">
        <v>11</v>
      </c>
      <c r="G111" s="2" t="s">
        <v>32</v>
      </c>
      <c r="H111" s="2" t="s">
        <v>13</v>
      </c>
    </row>
    <row r="112">
      <c r="A112" s="1">
        <v>45860.0</v>
      </c>
      <c r="B112" s="2" t="s">
        <v>19</v>
      </c>
      <c r="C112" s="2" t="s">
        <v>9</v>
      </c>
      <c r="D112" s="2">
        <v>7.0</v>
      </c>
      <c r="E112" s="2" t="s">
        <v>10</v>
      </c>
      <c r="F112" s="2" t="s">
        <v>15</v>
      </c>
      <c r="G112" s="2" t="s">
        <v>32</v>
      </c>
      <c r="H112" s="2" t="s">
        <v>16</v>
      </c>
    </row>
    <row r="113">
      <c r="A113" s="1">
        <v>45862.0</v>
      </c>
      <c r="B113" s="2" t="s">
        <v>8</v>
      </c>
      <c r="C113" s="2" t="s">
        <v>9</v>
      </c>
      <c r="D113" s="2">
        <v>21.0</v>
      </c>
      <c r="E113" s="2" t="s">
        <v>10</v>
      </c>
      <c r="F113" s="2" t="s">
        <v>11</v>
      </c>
      <c r="G113" s="2" t="s">
        <v>32</v>
      </c>
      <c r="H113" s="2" t="s">
        <v>33</v>
      </c>
    </row>
    <row r="114">
      <c r="A114" s="1">
        <v>45865.0</v>
      </c>
      <c r="B114" s="2" t="s">
        <v>17</v>
      </c>
      <c r="C114" s="2" t="s">
        <v>9</v>
      </c>
      <c r="D114" s="2">
        <v>10.0</v>
      </c>
      <c r="E114" s="2" t="s">
        <v>10</v>
      </c>
      <c r="F114" s="2" t="s">
        <v>11</v>
      </c>
      <c r="G114" s="2" t="s">
        <v>32</v>
      </c>
      <c r="H114" s="2" t="s">
        <v>13</v>
      </c>
    </row>
    <row r="115">
      <c r="A115" s="1">
        <v>45867.0</v>
      </c>
      <c r="B115" s="2" t="s">
        <v>14</v>
      </c>
      <c r="C115" s="2" t="s">
        <v>9</v>
      </c>
      <c r="D115" s="2">
        <v>25.0</v>
      </c>
      <c r="E115" s="2" t="s">
        <v>10</v>
      </c>
      <c r="F115" s="2" t="s">
        <v>15</v>
      </c>
      <c r="G115" s="2" t="s">
        <v>32</v>
      </c>
      <c r="H115" s="2" t="s">
        <v>16</v>
      </c>
    </row>
    <row r="116">
      <c r="A116" s="1">
        <v>45869.0</v>
      </c>
      <c r="B116" s="2" t="s">
        <v>8</v>
      </c>
      <c r="C116" s="2" t="s">
        <v>9</v>
      </c>
      <c r="D116" s="2">
        <v>14.0</v>
      </c>
      <c r="E116" s="2" t="s">
        <v>10</v>
      </c>
      <c r="F116" s="2" t="s">
        <v>11</v>
      </c>
      <c r="G116" s="2" t="s">
        <v>32</v>
      </c>
      <c r="H116" s="2" t="s">
        <v>33</v>
      </c>
    </row>
    <row r="117">
      <c r="A117" s="1">
        <v>45872.0</v>
      </c>
      <c r="B117" s="2" t="s">
        <v>19</v>
      </c>
      <c r="C117" s="2" t="s">
        <v>9</v>
      </c>
      <c r="D117" s="2">
        <v>7.0</v>
      </c>
      <c r="E117" s="2" t="s">
        <v>10</v>
      </c>
      <c r="F117" s="2" t="s">
        <v>11</v>
      </c>
      <c r="G117" s="2" t="s">
        <v>34</v>
      </c>
      <c r="H117" s="2" t="s">
        <v>13</v>
      </c>
    </row>
    <row r="118">
      <c r="A118" s="1">
        <v>45874.0</v>
      </c>
      <c r="B118" s="2" t="s">
        <v>8</v>
      </c>
      <c r="C118" s="2" t="s">
        <v>9</v>
      </c>
      <c r="D118" s="2">
        <v>28.0</v>
      </c>
      <c r="E118" s="2" t="s">
        <v>22</v>
      </c>
      <c r="F118" s="2" t="s">
        <v>15</v>
      </c>
      <c r="G118" s="2" t="s">
        <v>34</v>
      </c>
      <c r="H118" s="2" t="s">
        <v>16</v>
      </c>
    </row>
    <row r="119">
      <c r="A119" s="1">
        <v>45876.0</v>
      </c>
      <c r="B119" s="2" t="s">
        <v>17</v>
      </c>
      <c r="C119" s="2" t="s">
        <v>24</v>
      </c>
      <c r="D119" s="2">
        <v>14.0</v>
      </c>
      <c r="E119" s="2" t="s">
        <v>10</v>
      </c>
      <c r="F119" s="2" t="s">
        <v>11</v>
      </c>
      <c r="G119" s="2" t="s">
        <v>34</v>
      </c>
      <c r="H119" s="2" t="s">
        <v>33</v>
      </c>
    </row>
    <row r="120">
      <c r="A120" s="1">
        <v>45879.0</v>
      </c>
      <c r="B120" s="2" t="s">
        <v>8</v>
      </c>
      <c r="C120" s="2" t="s">
        <v>9</v>
      </c>
      <c r="D120" s="2">
        <v>21.0</v>
      </c>
      <c r="E120" s="2" t="s">
        <v>10</v>
      </c>
      <c r="F120" s="2" t="s">
        <v>11</v>
      </c>
      <c r="G120" s="2" t="s">
        <v>34</v>
      </c>
      <c r="H120" s="2" t="s">
        <v>13</v>
      </c>
    </row>
    <row r="121">
      <c r="A121" s="1">
        <v>45881.0</v>
      </c>
      <c r="B121" s="2" t="s">
        <v>14</v>
      </c>
      <c r="C121" s="2" t="s">
        <v>9</v>
      </c>
      <c r="D121" s="2">
        <v>23.0</v>
      </c>
      <c r="E121" s="2" t="s">
        <v>10</v>
      </c>
      <c r="F121" s="2" t="s">
        <v>15</v>
      </c>
      <c r="G121" s="2" t="s">
        <v>34</v>
      </c>
      <c r="H121" s="2" t="s">
        <v>16</v>
      </c>
    </row>
    <row r="122">
      <c r="A122" s="1">
        <v>45883.0</v>
      </c>
      <c r="B122" s="2" t="s">
        <v>17</v>
      </c>
      <c r="C122" s="2" t="s">
        <v>9</v>
      </c>
      <c r="D122" s="2">
        <v>11.0</v>
      </c>
      <c r="E122" s="2" t="s">
        <v>10</v>
      </c>
      <c r="F122" s="2" t="s">
        <v>11</v>
      </c>
      <c r="G122" s="2" t="s">
        <v>34</v>
      </c>
      <c r="H122" s="2" t="s">
        <v>33</v>
      </c>
    </row>
    <row r="123">
      <c r="A123" s="1">
        <v>45886.0</v>
      </c>
      <c r="B123" s="2" t="s">
        <v>8</v>
      </c>
      <c r="C123" s="2" t="s">
        <v>9</v>
      </c>
      <c r="D123" s="2">
        <v>14.0</v>
      </c>
      <c r="E123" s="2" t="s">
        <v>10</v>
      </c>
      <c r="F123" s="2" t="s">
        <v>11</v>
      </c>
      <c r="G123" s="2" t="s">
        <v>34</v>
      </c>
      <c r="H123" s="2" t="s">
        <v>13</v>
      </c>
    </row>
    <row r="124">
      <c r="A124" s="1">
        <v>45888.0</v>
      </c>
      <c r="B124" s="2" t="s">
        <v>19</v>
      </c>
      <c r="C124" s="2" t="s">
        <v>9</v>
      </c>
      <c r="D124" s="2">
        <v>7.0</v>
      </c>
      <c r="E124" s="2" t="s">
        <v>10</v>
      </c>
      <c r="F124" s="2" t="s">
        <v>15</v>
      </c>
      <c r="G124" s="2" t="s">
        <v>34</v>
      </c>
      <c r="H124" s="2" t="s">
        <v>16</v>
      </c>
    </row>
    <row r="125">
      <c r="A125" s="1">
        <v>45890.0</v>
      </c>
      <c r="B125" s="2" t="s">
        <v>26</v>
      </c>
      <c r="C125" s="2" t="s">
        <v>21</v>
      </c>
      <c r="D125" s="2">
        <v>26.0</v>
      </c>
      <c r="E125" s="2" t="s">
        <v>10</v>
      </c>
      <c r="F125" s="2" t="s">
        <v>11</v>
      </c>
      <c r="G125" s="2" t="s">
        <v>34</v>
      </c>
      <c r="H125" s="2" t="s">
        <v>33</v>
      </c>
    </row>
    <row r="126">
      <c r="A126" s="1">
        <v>45893.0</v>
      </c>
      <c r="B126" s="2" t="s">
        <v>8</v>
      </c>
      <c r="C126" s="2" t="s">
        <v>9</v>
      </c>
      <c r="D126" s="2">
        <v>21.0</v>
      </c>
      <c r="E126" s="2" t="s">
        <v>10</v>
      </c>
      <c r="F126" s="2" t="s">
        <v>11</v>
      </c>
      <c r="G126" s="2" t="s">
        <v>34</v>
      </c>
      <c r="H126" s="2" t="s">
        <v>13</v>
      </c>
    </row>
    <row r="127">
      <c r="A127" s="1">
        <v>45895.0</v>
      </c>
      <c r="B127" s="2" t="s">
        <v>17</v>
      </c>
      <c r="C127" s="2" t="s">
        <v>9</v>
      </c>
      <c r="D127" s="2">
        <v>10.0</v>
      </c>
      <c r="E127" s="2" t="s">
        <v>10</v>
      </c>
      <c r="F127" s="2" t="s">
        <v>15</v>
      </c>
      <c r="G127" s="2" t="s">
        <v>34</v>
      </c>
      <c r="H127" s="2" t="s">
        <v>16</v>
      </c>
    </row>
    <row r="128">
      <c r="A128" s="1">
        <v>45897.0</v>
      </c>
      <c r="B128" s="2" t="s">
        <v>8</v>
      </c>
      <c r="C128" s="2" t="s">
        <v>24</v>
      </c>
      <c r="D128" s="2">
        <v>14.0</v>
      </c>
      <c r="E128" s="2" t="s">
        <v>10</v>
      </c>
      <c r="F128" s="2" t="s">
        <v>11</v>
      </c>
      <c r="G128" s="2" t="s">
        <v>34</v>
      </c>
      <c r="H128" s="2" t="s">
        <v>33</v>
      </c>
    </row>
    <row r="129">
      <c r="A129" s="1">
        <v>45900.0</v>
      </c>
      <c r="B129" s="2" t="s">
        <v>23</v>
      </c>
      <c r="C129" s="2" t="s">
        <v>9</v>
      </c>
      <c r="D129" s="2">
        <v>19.0</v>
      </c>
      <c r="E129" s="2" t="s">
        <v>10</v>
      </c>
      <c r="F129" s="2" t="s">
        <v>11</v>
      </c>
      <c r="G129" s="2" t="s">
        <v>34</v>
      </c>
      <c r="H129" s="2" t="s">
        <v>13</v>
      </c>
    </row>
    <row r="130">
      <c r="A130" s="1">
        <v>45902.0</v>
      </c>
      <c r="B130" s="2" t="s">
        <v>8</v>
      </c>
      <c r="C130" s="2" t="s">
        <v>9</v>
      </c>
      <c r="D130" s="2">
        <v>14.0</v>
      </c>
      <c r="E130" s="2" t="s">
        <v>10</v>
      </c>
      <c r="F130" s="2" t="s">
        <v>15</v>
      </c>
      <c r="G130" s="2" t="s">
        <v>35</v>
      </c>
      <c r="H130" s="2" t="s">
        <v>16</v>
      </c>
    </row>
    <row r="131">
      <c r="A131" s="1">
        <v>45903.0</v>
      </c>
      <c r="B131" s="2" t="s">
        <v>17</v>
      </c>
      <c r="C131" s="2" t="s">
        <v>9</v>
      </c>
      <c r="D131" s="2">
        <v>9.0</v>
      </c>
      <c r="E131" s="2" t="s">
        <v>10</v>
      </c>
      <c r="F131" s="2" t="s">
        <v>11</v>
      </c>
      <c r="G131" s="2" t="s">
        <v>35</v>
      </c>
      <c r="H131" s="2" t="s">
        <v>18</v>
      </c>
    </row>
    <row r="132">
      <c r="A132" s="1">
        <v>45905.0</v>
      </c>
      <c r="B132" s="2" t="s">
        <v>14</v>
      </c>
      <c r="C132" s="2" t="s">
        <v>9</v>
      </c>
      <c r="D132" s="2">
        <v>21.0</v>
      </c>
      <c r="E132" s="2" t="s">
        <v>10</v>
      </c>
      <c r="F132" s="2" t="s">
        <v>11</v>
      </c>
      <c r="G132" s="2" t="s">
        <v>35</v>
      </c>
      <c r="H132" s="2" t="s">
        <v>20</v>
      </c>
    </row>
    <row r="133">
      <c r="A133" s="1">
        <v>45907.0</v>
      </c>
      <c r="B133" s="2" t="s">
        <v>8</v>
      </c>
      <c r="C133" s="2" t="s">
        <v>21</v>
      </c>
      <c r="D133" s="2">
        <v>14.0</v>
      </c>
      <c r="E133" s="2" t="s">
        <v>10</v>
      </c>
      <c r="F133" s="2" t="s">
        <v>15</v>
      </c>
      <c r="G133" s="2" t="s">
        <v>35</v>
      </c>
      <c r="H133" s="2" t="s">
        <v>13</v>
      </c>
    </row>
    <row r="134">
      <c r="A134" s="1">
        <v>45909.0</v>
      </c>
      <c r="B134" s="2" t="s">
        <v>19</v>
      </c>
      <c r="C134" s="2" t="s">
        <v>9</v>
      </c>
      <c r="D134" s="2">
        <v>7.0</v>
      </c>
      <c r="E134" s="2" t="s">
        <v>10</v>
      </c>
      <c r="F134" s="2" t="s">
        <v>11</v>
      </c>
      <c r="G134" s="2" t="s">
        <v>35</v>
      </c>
      <c r="H134" s="2" t="s">
        <v>16</v>
      </c>
    </row>
    <row r="135">
      <c r="A135" s="1">
        <v>45910.0</v>
      </c>
      <c r="B135" s="2" t="s">
        <v>17</v>
      </c>
      <c r="C135" s="2" t="s">
        <v>24</v>
      </c>
      <c r="D135" s="2">
        <v>12.0</v>
      </c>
      <c r="E135" s="2" t="s">
        <v>10</v>
      </c>
      <c r="F135" s="2" t="s">
        <v>11</v>
      </c>
      <c r="G135" s="2" t="s">
        <v>35</v>
      </c>
      <c r="H135" s="2" t="s">
        <v>18</v>
      </c>
    </row>
    <row r="136">
      <c r="A136" s="1">
        <v>45912.0</v>
      </c>
      <c r="B136" s="2" t="s">
        <v>8</v>
      </c>
      <c r="C136" s="2" t="s">
        <v>9</v>
      </c>
      <c r="D136" s="2">
        <v>14.0</v>
      </c>
      <c r="E136" s="2" t="s">
        <v>10</v>
      </c>
      <c r="F136" s="2" t="s">
        <v>15</v>
      </c>
      <c r="G136" s="2" t="s">
        <v>35</v>
      </c>
      <c r="H136" s="2" t="s">
        <v>20</v>
      </c>
    </row>
    <row r="137">
      <c r="A137" s="1">
        <v>45914.0</v>
      </c>
      <c r="B137" s="2" t="s">
        <v>8</v>
      </c>
      <c r="C137" s="2" t="s">
        <v>9</v>
      </c>
      <c r="D137" s="2">
        <v>16.0</v>
      </c>
      <c r="E137" s="2" t="s">
        <v>22</v>
      </c>
      <c r="F137" s="2" t="s">
        <v>11</v>
      </c>
      <c r="G137" s="2" t="s">
        <v>35</v>
      </c>
      <c r="H137" s="2" t="s">
        <v>13</v>
      </c>
    </row>
    <row r="138">
      <c r="A138" s="1">
        <v>45916.0</v>
      </c>
      <c r="B138" s="2" t="s">
        <v>23</v>
      </c>
      <c r="C138" s="2" t="s">
        <v>9</v>
      </c>
      <c r="D138" s="2">
        <v>18.0</v>
      </c>
      <c r="E138" s="2" t="s">
        <v>10</v>
      </c>
      <c r="F138" s="2" t="s">
        <v>15</v>
      </c>
      <c r="G138" s="2" t="s">
        <v>35</v>
      </c>
      <c r="H138" s="2" t="s">
        <v>16</v>
      </c>
    </row>
    <row r="139">
      <c r="A139" s="1">
        <v>45917.0</v>
      </c>
      <c r="B139" s="2" t="s">
        <v>17</v>
      </c>
      <c r="C139" s="2" t="s">
        <v>9</v>
      </c>
      <c r="D139" s="2">
        <v>10.0</v>
      </c>
      <c r="E139" s="2" t="s">
        <v>10</v>
      </c>
      <c r="F139" s="2" t="s">
        <v>11</v>
      </c>
      <c r="G139" s="2" t="s">
        <v>35</v>
      </c>
      <c r="H139" s="2" t="s">
        <v>18</v>
      </c>
    </row>
    <row r="140">
      <c r="A140" s="1">
        <v>45919.0</v>
      </c>
      <c r="B140" s="2" t="s">
        <v>14</v>
      </c>
      <c r="C140" s="2" t="s">
        <v>9</v>
      </c>
      <c r="D140" s="2">
        <v>22.0</v>
      </c>
      <c r="E140" s="2" t="s">
        <v>10</v>
      </c>
      <c r="F140" s="2" t="s">
        <v>11</v>
      </c>
      <c r="G140" s="2" t="s">
        <v>35</v>
      </c>
      <c r="H140" s="2" t="s">
        <v>20</v>
      </c>
    </row>
    <row r="141">
      <c r="A141" s="1">
        <v>45921.0</v>
      </c>
      <c r="B141" s="2" t="s">
        <v>8</v>
      </c>
      <c r="C141" s="2" t="s">
        <v>9</v>
      </c>
      <c r="D141" s="2">
        <v>14.0</v>
      </c>
      <c r="E141" s="2" t="s">
        <v>10</v>
      </c>
      <c r="F141" s="2" t="s">
        <v>15</v>
      </c>
      <c r="G141" s="2" t="s">
        <v>35</v>
      </c>
      <c r="H141" s="2" t="s">
        <v>13</v>
      </c>
    </row>
    <row r="142">
      <c r="A142" s="1">
        <v>45923.0</v>
      </c>
      <c r="B142" s="2" t="s">
        <v>19</v>
      </c>
      <c r="C142" s="2" t="s">
        <v>9</v>
      </c>
      <c r="D142" s="2">
        <v>7.0</v>
      </c>
      <c r="E142" s="2" t="s">
        <v>10</v>
      </c>
      <c r="F142" s="2" t="s">
        <v>11</v>
      </c>
      <c r="G142" s="2" t="s">
        <v>35</v>
      </c>
      <c r="H142" s="2" t="s">
        <v>16</v>
      </c>
    </row>
    <row r="143">
      <c r="A143" s="1">
        <v>45924.0</v>
      </c>
      <c r="B143" s="2" t="s">
        <v>8</v>
      </c>
      <c r="C143" s="2" t="s">
        <v>24</v>
      </c>
      <c r="D143" s="2">
        <v>14.0</v>
      </c>
      <c r="E143" s="2" t="s">
        <v>10</v>
      </c>
      <c r="F143" s="2" t="s">
        <v>11</v>
      </c>
      <c r="G143" s="2" t="s">
        <v>35</v>
      </c>
      <c r="H143" s="2" t="s">
        <v>18</v>
      </c>
    </row>
    <row r="144">
      <c r="A144" s="1">
        <v>45926.0</v>
      </c>
      <c r="B144" s="2" t="s">
        <v>26</v>
      </c>
      <c r="C144" s="2" t="s">
        <v>9</v>
      </c>
      <c r="D144" s="2">
        <v>24.0</v>
      </c>
      <c r="E144" s="2" t="s">
        <v>10</v>
      </c>
      <c r="F144" s="2" t="s">
        <v>15</v>
      </c>
      <c r="G144" s="2" t="s">
        <v>35</v>
      </c>
      <c r="H144" s="2" t="s">
        <v>20</v>
      </c>
    </row>
    <row r="145">
      <c r="A145" s="1">
        <v>45928.0</v>
      </c>
      <c r="B145" s="2" t="s">
        <v>17</v>
      </c>
      <c r="C145" s="2" t="s">
        <v>9</v>
      </c>
      <c r="D145" s="2">
        <v>9.0</v>
      </c>
      <c r="E145" s="2" t="s">
        <v>10</v>
      </c>
      <c r="F145" s="2" t="s">
        <v>11</v>
      </c>
      <c r="G145" s="2" t="s">
        <v>35</v>
      </c>
      <c r="H145" s="2" t="s">
        <v>13</v>
      </c>
    </row>
    <row r="146">
      <c r="A146" s="1">
        <v>45930.0</v>
      </c>
      <c r="B146" s="2" t="s">
        <v>8</v>
      </c>
      <c r="C146" s="2" t="s">
        <v>9</v>
      </c>
      <c r="D146" s="2">
        <v>14.0</v>
      </c>
      <c r="E146" s="2" t="s">
        <v>10</v>
      </c>
      <c r="F146" s="2" t="s">
        <v>11</v>
      </c>
      <c r="G146" s="2" t="s">
        <v>35</v>
      </c>
      <c r="H146" s="2" t="s">
        <v>16</v>
      </c>
    </row>
    <row r="147">
      <c r="A147" s="1">
        <v>45931.0</v>
      </c>
      <c r="B147" s="2" t="s">
        <v>14</v>
      </c>
      <c r="C147" s="2" t="s">
        <v>9</v>
      </c>
      <c r="D147" s="2">
        <v>21.0</v>
      </c>
      <c r="E147" s="2" t="s">
        <v>10</v>
      </c>
      <c r="F147" s="2" t="s">
        <v>15</v>
      </c>
      <c r="G147" s="2" t="s">
        <v>36</v>
      </c>
      <c r="H147" s="2" t="s">
        <v>18</v>
      </c>
    </row>
    <row r="148">
      <c r="A148" s="1">
        <v>45933.0</v>
      </c>
      <c r="B148" s="2" t="s">
        <v>8</v>
      </c>
      <c r="C148" s="2" t="s">
        <v>21</v>
      </c>
      <c r="D148" s="2">
        <v>14.0</v>
      </c>
      <c r="E148" s="2" t="s">
        <v>10</v>
      </c>
      <c r="F148" s="2" t="s">
        <v>11</v>
      </c>
      <c r="G148" s="2" t="s">
        <v>36</v>
      </c>
      <c r="H148" s="2" t="s">
        <v>20</v>
      </c>
    </row>
    <row r="149">
      <c r="A149" s="1">
        <v>45935.0</v>
      </c>
      <c r="B149" s="2" t="s">
        <v>19</v>
      </c>
      <c r="C149" s="2" t="s">
        <v>9</v>
      </c>
      <c r="D149" s="2">
        <v>7.0</v>
      </c>
      <c r="E149" s="2" t="s">
        <v>10</v>
      </c>
      <c r="F149" s="2" t="s">
        <v>11</v>
      </c>
      <c r="G149" s="2" t="s">
        <v>36</v>
      </c>
      <c r="H149" s="2" t="s">
        <v>13</v>
      </c>
    </row>
    <row r="150">
      <c r="A150" s="1">
        <v>45937.0</v>
      </c>
      <c r="B150" s="2" t="s">
        <v>17</v>
      </c>
      <c r="C150" s="2" t="s">
        <v>9</v>
      </c>
      <c r="D150" s="2">
        <v>11.0</v>
      </c>
      <c r="E150" s="2" t="s">
        <v>10</v>
      </c>
      <c r="F150" s="2" t="s">
        <v>15</v>
      </c>
      <c r="G150" s="2" t="s">
        <v>36</v>
      </c>
      <c r="H150" s="2" t="s">
        <v>16</v>
      </c>
    </row>
    <row r="151">
      <c r="A151" s="1">
        <v>45938.0</v>
      </c>
      <c r="B151" s="2" t="s">
        <v>8</v>
      </c>
      <c r="C151" s="2" t="s">
        <v>9</v>
      </c>
      <c r="D151" s="2">
        <v>14.0</v>
      </c>
      <c r="E151" s="2" t="s">
        <v>10</v>
      </c>
      <c r="F151" s="2" t="s">
        <v>11</v>
      </c>
      <c r="G151" s="2" t="s">
        <v>36</v>
      </c>
      <c r="H151" s="2" t="s">
        <v>18</v>
      </c>
    </row>
    <row r="152">
      <c r="A152" s="1">
        <v>45940.0</v>
      </c>
      <c r="B152" s="2" t="s">
        <v>8</v>
      </c>
      <c r="C152" s="2" t="s">
        <v>9</v>
      </c>
      <c r="D152" s="2">
        <v>15.0</v>
      </c>
      <c r="E152" s="2" t="s">
        <v>10</v>
      </c>
      <c r="F152" s="2" t="s">
        <v>11</v>
      </c>
      <c r="G152" s="2" t="s">
        <v>36</v>
      </c>
      <c r="H152" s="2" t="s">
        <v>20</v>
      </c>
    </row>
    <row r="153">
      <c r="A153" s="1">
        <v>45942.0</v>
      </c>
      <c r="B153" s="2" t="s">
        <v>23</v>
      </c>
      <c r="C153" s="2" t="s">
        <v>9</v>
      </c>
      <c r="D153" s="2">
        <v>20.0</v>
      </c>
      <c r="E153" s="2" t="s">
        <v>10</v>
      </c>
      <c r="F153" s="2" t="s">
        <v>15</v>
      </c>
      <c r="G153" s="2" t="s">
        <v>36</v>
      </c>
      <c r="H153" s="2" t="s">
        <v>13</v>
      </c>
    </row>
    <row r="154">
      <c r="A154" s="1">
        <v>45944.0</v>
      </c>
      <c r="B154" s="2" t="s">
        <v>17</v>
      </c>
      <c r="C154" s="2" t="s">
        <v>24</v>
      </c>
      <c r="D154" s="2">
        <v>10.0</v>
      </c>
      <c r="E154" s="2" t="s">
        <v>10</v>
      </c>
      <c r="F154" s="2" t="s">
        <v>11</v>
      </c>
      <c r="G154" s="2" t="s">
        <v>36</v>
      </c>
      <c r="H154" s="2" t="s">
        <v>16</v>
      </c>
    </row>
    <row r="155">
      <c r="A155" s="1">
        <v>45945.0</v>
      </c>
      <c r="B155" s="2" t="s">
        <v>14</v>
      </c>
      <c r="C155" s="2" t="s">
        <v>9</v>
      </c>
      <c r="D155" s="2">
        <v>23.0</v>
      </c>
      <c r="E155" s="2" t="s">
        <v>10</v>
      </c>
      <c r="F155" s="2" t="s">
        <v>11</v>
      </c>
      <c r="G155" s="2" t="s">
        <v>36</v>
      </c>
      <c r="H155" s="2" t="s">
        <v>18</v>
      </c>
    </row>
    <row r="156">
      <c r="A156" s="1">
        <v>45947.0</v>
      </c>
      <c r="B156" s="2" t="s">
        <v>8</v>
      </c>
      <c r="C156" s="2" t="s">
        <v>9</v>
      </c>
      <c r="D156" s="2">
        <v>14.0</v>
      </c>
      <c r="E156" s="2" t="s">
        <v>10</v>
      </c>
      <c r="F156" s="2" t="s">
        <v>15</v>
      </c>
      <c r="G156" s="2" t="s">
        <v>36</v>
      </c>
      <c r="H156" s="2" t="s">
        <v>20</v>
      </c>
    </row>
    <row r="157">
      <c r="A157" s="1">
        <v>45949.0</v>
      </c>
      <c r="B157" s="2" t="s">
        <v>19</v>
      </c>
      <c r="C157" s="2" t="s">
        <v>9</v>
      </c>
      <c r="D157" s="2">
        <v>7.0</v>
      </c>
      <c r="E157" s="2" t="s">
        <v>10</v>
      </c>
      <c r="F157" s="2" t="s">
        <v>11</v>
      </c>
      <c r="G157" s="2" t="s">
        <v>36</v>
      </c>
      <c r="H157" s="2" t="s">
        <v>13</v>
      </c>
    </row>
    <row r="158">
      <c r="A158" s="1">
        <v>45951.0</v>
      </c>
      <c r="B158" s="2" t="s">
        <v>8</v>
      </c>
      <c r="C158" s="2" t="s">
        <v>9</v>
      </c>
      <c r="D158" s="2">
        <v>14.0</v>
      </c>
      <c r="E158" s="2" t="s">
        <v>10</v>
      </c>
      <c r="F158" s="2" t="s">
        <v>11</v>
      </c>
      <c r="G158" s="2" t="s">
        <v>36</v>
      </c>
      <c r="H158" s="2" t="s">
        <v>16</v>
      </c>
    </row>
    <row r="159">
      <c r="A159" s="1">
        <v>45952.0</v>
      </c>
      <c r="B159" s="2" t="s">
        <v>17</v>
      </c>
      <c r="C159" s="2" t="s">
        <v>9</v>
      </c>
      <c r="D159" s="2">
        <v>9.0</v>
      </c>
      <c r="E159" s="2" t="s">
        <v>10</v>
      </c>
      <c r="F159" s="2" t="s">
        <v>15</v>
      </c>
      <c r="G159" s="2" t="s">
        <v>36</v>
      </c>
      <c r="H159" s="2" t="s">
        <v>18</v>
      </c>
    </row>
    <row r="160">
      <c r="A160" s="1">
        <v>45954.0</v>
      </c>
      <c r="B160" s="2" t="s">
        <v>26</v>
      </c>
      <c r="C160" s="2" t="s">
        <v>21</v>
      </c>
      <c r="D160" s="2">
        <v>25.0</v>
      </c>
      <c r="E160" s="2" t="s">
        <v>10</v>
      </c>
      <c r="F160" s="2" t="s">
        <v>11</v>
      </c>
      <c r="G160" s="2" t="s">
        <v>36</v>
      </c>
      <c r="H160" s="2" t="s">
        <v>20</v>
      </c>
    </row>
    <row r="161">
      <c r="A161" s="1">
        <v>45956.0</v>
      </c>
      <c r="B161" s="2" t="s">
        <v>8</v>
      </c>
      <c r="C161" s="2" t="s">
        <v>9</v>
      </c>
      <c r="D161" s="2">
        <v>14.0</v>
      </c>
      <c r="E161" s="2" t="s">
        <v>10</v>
      </c>
      <c r="F161" s="2" t="s">
        <v>11</v>
      </c>
      <c r="G161" s="2" t="s">
        <v>36</v>
      </c>
      <c r="H161" s="2" t="s">
        <v>13</v>
      </c>
    </row>
    <row r="162">
      <c r="A162" s="1">
        <v>45958.0</v>
      </c>
      <c r="B162" s="2" t="s">
        <v>8</v>
      </c>
      <c r="C162" s="2" t="s">
        <v>24</v>
      </c>
      <c r="D162" s="2">
        <v>16.0</v>
      </c>
      <c r="E162" s="2" t="s">
        <v>10</v>
      </c>
      <c r="F162" s="2" t="s">
        <v>15</v>
      </c>
      <c r="G162" s="2" t="s">
        <v>36</v>
      </c>
      <c r="H162" s="2" t="s">
        <v>16</v>
      </c>
    </row>
    <row r="163">
      <c r="A163" s="1">
        <v>45959.0</v>
      </c>
      <c r="B163" s="2" t="s">
        <v>14</v>
      </c>
      <c r="C163" s="2" t="s">
        <v>9</v>
      </c>
      <c r="D163" s="2">
        <v>21.0</v>
      </c>
      <c r="E163" s="2" t="s">
        <v>10</v>
      </c>
      <c r="F163" s="2" t="s">
        <v>11</v>
      </c>
      <c r="G163" s="2" t="s">
        <v>36</v>
      </c>
      <c r="H163" s="2" t="s">
        <v>18</v>
      </c>
    </row>
    <row r="164">
      <c r="A164" s="1">
        <v>45961.0</v>
      </c>
      <c r="B164" s="2" t="s">
        <v>17</v>
      </c>
      <c r="C164" s="2" t="s">
        <v>9</v>
      </c>
      <c r="D164" s="2">
        <v>10.0</v>
      </c>
      <c r="E164" s="2" t="s">
        <v>10</v>
      </c>
      <c r="F164" s="2" t="s">
        <v>11</v>
      </c>
      <c r="G164" s="2" t="s">
        <v>36</v>
      </c>
      <c r="H164" s="2" t="s">
        <v>20</v>
      </c>
    </row>
    <row r="165">
      <c r="A165" s="1">
        <v>45963.0</v>
      </c>
      <c r="B165" s="2" t="s">
        <v>8</v>
      </c>
      <c r="C165" s="2" t="s">
        <v>9</v>
      </c>
      <c r="D165" s="2">
        <v>14.0</v>
      </c>
      <c r="E165" s="2" t="s">
        <v>10</v>
      </c>
      <c r="F165" s="2" t="s">
        <v>15</v>
      </c>
      <c r="G165" s="2" t="s">
        <v>37</v>
      </c>
      <c r="H165" s="2" t="s">
        <v>13</v>
      </c>
    </row>
    <row r="166">
      <c r="A166" s="1">
        <v>45965.0</v>
      </c>
      <c r="B166" s="2" t="s">
        <v>19</v>
      </c>
      <c r="C166" s="2" t="s">
        <v>9</v>
      </c>
      <c r="D166" s="2">
        <v>7.0</v>
      </c>
      <c r="E166" s="2" t="s">
        <v>10</v>
      </c>
      <c r="F166" s="2" t="s">
        <v>11</v>
      </c>
      <c r="G166" s="2" t="s">
        <v>37</v>
      </c>
      <c r="H166" s="2" t="s">
        <v>16</v>
      </c>
    </row>
    <row r="167">
      <c r="A167" s="1">
        <v>45966.0</v>
      </c>
      <c r="B167" s="2" t="s">
        <v>8</v>
      </c>
      <c r="C167" s="2" t="s">
        <v>21</v>
      </c>
      <c r="D167" s="2">
        <v>14.0</v>
      </c>
      <c r="E167" s="2" t="s">
        <v>10</v>
      </c>
      <c r="F167" s="2" t="s">
        <v>11</v>
      </c>
      <c r="G167" s="2" t="s">
        <v>37</v>
      </c>
      <c r="H167" s="2" t="s">
        <v>18</v>
      </c>
    </row>
    <row r="168">
      <c r="A168" s="1">
        <v>45968.0</v>
      </c>
      <c r="B168" s="2" t="s">
        <v>17</v>
      </c>
      <c r="C168" s="2" t="s">
        <v>9</v>
      </c>
      <c r="D168" s="2">
        <v>12.0</v>
      </c>
      <c r="E168" s="2" t="s">
        <v>10</v>
      </c>
      <c r="F168" s="2" t="s">
        <v>15</v>
      </c>
      <c r="G168" s="2" t="s">
        <v>37</v>
      </c>
      <c r="H168" s="2" t="s">
        <v>20</v>
      </c>
    </row>
    <row r="169">
      <c r="A169" s="1">
        <v>45970.0</v>
      </c>
      <c r="B169" s="2" t="s">
        <v>14</v>
      </c>
      <c r="C169" s="2" t="s">
        <v>9</v>
      </c>
      <c r="D169" s="2">
        <v>22.0</v>
      </c>
      <c r="E169" s="2" t="s">
        <v>10</v>
      </c>
      <c r="F169" s="2" t="s">
        <v>11</v>
      </c>
      <c r="G169" s="2" t="s">
        <v>37</v>
      </c>
      <c r="H169" s="2" t="s">
        <v>13</v>
      </c>
    </row>
    <row r="170">
      <c r="A170" s="1">
        <v>45972.0</v>
      </c>
      <c r="B170" s="2" t="s">
        <v>8</v>
      </c>
      <c r="C170" s="2" t="s">
        <v>9</v>
      </c>
      <c r="D170" s="2">
        <v>14.0</v>
      </c>
      <c r="E170" s="2" t="s">
        <v>10</v>
      </c>
      <c r="F170" s="2" t="s">
        <v>11</v>
      </c>
      <c r="G170" s="2" t="s">
        <v>37</v>
      </c>
      <c r="H170" s="2" t="s">
        <v>16</v>
      </c>
    </row>
    <row r="171">
      <c r="A171" s="1">
        <v>45973.0</v>
      </c>
      <c r="B171" s="2" t="s">
        <v>23</v>
      </c>
      <c r="C171" s="2" t="s">
        <v>9</v>
      </c>
      <c r="D171" s="2">
        <v>19.0</v>
      </c>
      <c r="E171" s="2" t="s">
        <v>10</v>
      </c>
      <c r="F171" s="2" t="s">
        <v>15</v>
      </c>
      <c r="G171" s="2" t="s">
        <v>37</v>
      </c>
      <c r="H171" s="2" t="s">
        <v>18</v>
      </c>
    </row>
    <row r="172">
      <c r="A172" s="1">
        <v>45975.0</v>
      </c>
      <c r="B172" s="2" t="s">
        <v>17</v>
      </c>
      <c r="C172" s="2" t="s">
        <v>24</v>
      </c>
      <c r="D172" s="2">
        <v>9.0</v>
      </c>
      <c r="E172" s="2" t="s">
        <v>10</v>
      </c>
      <c r="F172" s="2" t="s">
        <v>11</v>
      </c>
      <c r="G172" s="2" t="s">
        <v>37</v>
      </c>
      <c r="H172" s="2" t="s">
        <v>20</v>
      </c>
    </row>
    <row r="173">
      <c r="A173" s="1">
        <v>45977.0</v>
      </c>
      <c r="B173" s="2" t="s">
        <v>8</v>
      </c>
      <c r="C173" s="2" t="s">
        <v>9</v>
      </c>
      <c r="D173" s="2">
        <v>14.0</v>
      </c>
      <c r="E173" s="2" t="s">
        <v>10</v>
      </c>
      <c r="F173" s="2" t="s">
        <v>11</v>
      </c>
      <c r="G173" s="2" t="s">
        <v>37</v>
      </c>
      <c r="H173" s="2" t="s">
        <v>13</v>
      </c>
    </row>
    <row r="174">
      <c r="A174" s="1">
        <v>45979.0</v>
      </c>
      <c r="B174" s="2" t="s">
        <v>19</v>
      </c>
      <c r="C174" s="2" t="s">
        <v>9</v>
      </c>
      <c r="D174" s="2">
        <v>7.0</v>
      </c>
      <c r="E174" s="2" t="s">
        <v>10</v>
      </c>
      <c r="F174" s="2" t="s">
        <v>15</v>
      </c>
      <c r="G174" s="2" t="s">
        <v>37</v>
      </c>
      <c r="H174" s="2" t="s">
        <v>16</v>
      </c>
    </row>
    <row r="175">
      <c r="A175" s="1">
        <v>45980.0</v>
      </c>
      <c r="B175" s="2" t="s">
        <v>14</v>
      </c>
      <c r="C175" s="2" t="s">
        <v>9</v>
      </c>
      <c r="D175" s="2">
        <v>24.0</v>
      </c>
      <c r="E175" s="2" t="s">
        <v>22</v>
      </c>
      <c r="F175" s="2" t="s">
        <v>11</v>
      </c>
      <c r="G175" s="2" t="s">
        <v>37</v>
      </c>
      <c r="H175" s="2" t="s">
        <v>18</v>
      </c>
    </row>
    <row r="176">
      <c r="A176" s="1">
        <v>45982.0</v>
      </c>
      <c r="B176" s="2" t="s">
        <v>8</v>
      </c>
      <c r="C176" s="2" t="s">
        <v>9</v>
      </c>
      <c r="D176" s="2">
        <v>14.0</v>
      </c>
      <c r="E176" s="2" t="s">
        <v>10</v>
      </c>
      <c r="F176" s="2" t="s">
        <v>11</v>
      </c>
      <c r="G176" s="2" t="s">
        <v>37</v>
      </c>
      <c r="H176" s="2" t="s">
        <v>20</v>
      </c>
    </row>
    <row r="177">
      <c r="A177" s="1">
        <v>45984.0</v>
      </c>
      <c r="B177" s="2" t="s">
        <v>17</v>
      </c>
      <c r="C177" s="2" t="s">
        <v>9</v>
      </c>
      <c r="D177" s="2">
        <v>10.0</v>
      </c>
      <c r="E177" s="2" t="s">
        <v>10</v>
      </c>
      <c r="F177" s="2" t="s">
        <v>15</v>
      </c>
      <c r="G177" s="2" t="s">
        <v>37</v>
      </c>
      <c r="H177" s="2" t="s">
        <v>13</v>
      </c>
    </row>
    <row r="178">
      <c r="A178" s="1">
        <v>45986.0</v>
      </c>
      <c r="B178" s="2" t="s">
        <v>26</v>
      </c>
      <c r="C178" s="2" t="s">
        <v>9</v>
      </c>
      <c r="D178" s="2">
        <v>26.0</v>
      </c>
      <c r="E178" s="2" t="s">
        <v>10</v>
      </c>
      <c r="F178" s="2" t="s">
        <v>11</v>
      </c>
      <c r="G178" s="2" t="s">
        <v>37</v>
      </c>
      <c r="H178" s="2" t="s">
        <v>16</v>
      </c>
    </row>
    <row r="179">
      <c r="A179" s="1">
        <v>45987.0</v>
      </c>
      <c r="B179" s="2" t="s">
        <v>8</v>
      </c>
      <c r="C179" s="2" t="s">
        <v>24</v>
      </c>
      <c r="D179" s="2">
        <v>14.0</v>
      </c>
      <c r="E179" s="2" t="s">
        <v>10</v>
      </c>
      <c r="F179" s="2" t="s">
        <v>11</v>
      </c>
      <c r="G179" s="2" t="s">
        <v>37</v>
      </c>
      <c r="H179" s="2" t="s">
        <v>18</v>
      </c>
    </row>
    <row r="180">
      <c r="A180" s="1">
        <v>45989.0</v>
      </c>
      <c r="B180" s="2" t="s">
        <v>8</v>
      </c>
      <c r="C180" s="2" t="s">
        <v>9</v>
      </c>
      <c r="D180" s="2">
        <v>15.0</v>
      </c>
      <c r="E180" s="2" t="s">
        <v>10</v>
      </c>
      <c r="F180" s="2" t="s">
        <v>15</v>
      </c>
      <c r="G180" s="2" t="s">
        <v>37</v>
      </c>
      <c r="H180" s="2" t="s">
        <v>20</v>
      </c>
    </row>
    <row r="181">
      <c r="A181" s="1">
        <v>45991.0</v>
      </c>
      <c r="B181" s="2" t="s">
        <v>17</v>
      </c>
      <c r="C181" s="2" t="s">
        <v>9</v>
      </c>
      <c r="D181" s="2">
        <v>11.0</v>
      </c>
      <c r="E181" s="2" t="s">
        <v>10</v>
      </c>
      <c r="F181" s="2" t="s">
        <v>11</v>
      </c>
      <c r="G181" s="2" t="s">
        <v>37</v>
      </c>
      <c r="H181" s="2" t="s">
        <v>13</v>
      </c>
    </row>
    <row r="182">
      <c r="A182" s="1">
        <v>45993.0</v>
      </c>
      <c r="B182" s="2" t="s">
        <v>14</v>
      </c>
      <c r="C182" s="2" t="s">
        <v>9</v>
      </c>
      <c r="D182" s="2">
        <v>21.0</v>
      </c>
      <c r="E182" s="2" t="s">
        <v>10</v>
      </c>
      <c r="F182" s="2" t="s">
        <v>11</v>
      </c>
      <c r="G182" s="2" t="s">
        <v>38</v>
      </c>
      <c r="H182" s="2" t="s">
        <v>16</v>
      </c>
    </row>
    <row r="183">
      <c r="A183" s="1">
        <v>45994.0</v>
      </c>
      <c r="B183" s="2" t="s">
        <v>8</v>
      </c>
      <c r="C183" s="2" t="s">
        <v>9</v>
      </c>
      <c r="D183" s="2">
        <v>14.0</v>
      </c>
      <c r="E183" s="2" t="s">
        <v>10</v>
      </c>
      <c r="F183" s="2" t="s">
        <v>15</v>
      </c>
      <c r="G183" s="2" t="s">
        <v>38</v>
      </c>
      <c r="H183" s="2" t="s">
        <v>18</v>
      </c>
    </row>
    <row r="184">
      <c r="A184" s="1">
        <v>45996.0</v>
      </c>
      <c r="B184" s="2" t="s">
        <v>19</v>
      </c>
      <c r="C184" s="2" t="s">
        <v>9</v>
      </c>
      <c r="D184" s="2">
        <v>7.0</v>
      </c>
      <c r="E184" s="2" t="s">
        <v>10</v>
      </c>
      <c r="F184" s="2" t="s">
        <v>11</v>
      </c>
      <c r="G184" s="2" t="s">
        <v>38</v>
      </c>
      <c r="H184" s="2" t="s">
        <v>20</v>
      </c>
    </row>
    <row r="185">
      <c r="A185" s="1">
        <v>45998.0</v>
      </c>
      <c r="B185" s="2" t="s">
        <v>17</v>
      </c>
      <c r="C185" s="2" t="s">
        <v>9</v>
      </c>
      <c r="D185" s="2">
        <v>10.0</v>
      </c>
      <c r="E185" s="2" t="s">
        <v>10</v>
      </c>
      <c r="F185" s="2" t="s">
        <v>11</v>
      </c>
      <c r="G185" s="2" t="s">
        <v>38</v>
      </c>
      <c r="H185" s="2" t="s">
        <v>13</v>
      </c>
    </row>
    <row r="186">
      <c r="A186" s="1">
        <v>46000.0</v>
      </c>
      <c r="B186" s="2" t="s">
        <v>8</v>
      </c>
      <c r="C186" s="2" t="s">
        <v>21</v>
      </c>
      <c r="D186" s="2">
        <v>14.0</v>
      </c>
      <c r="E186" s="2" t="s">
        <v>10</v>
      </c>
      <c r="F186" s="2" t="s">
        <v>15</v>
      </c>
      <c r="G186" s="2" t="s">
        <v>38</v>
      </c>
      <c r="H186" s="2" t="s">
        <v>16</v>
      </c>
    </row>
    <row r="187">
      <c r="A187" s="1">
        <v>46001.0</v>
      </c>
      <c r="B187" s="2" t="s">
        <v>8</v>
      </c>
      <c r="C187" s="2" t="s">
        <v>9</v>
      </c>
      <c r="D187" s="2">
        <v>14.0</v>
      </c>
      <c r="E187" s="2" t="s">
        <v>10</v>
      </c>
      <c r="F187" s="2" t="s">
        <v>11</v>
      </c>
      <c r="G187" s="2" t="s">
        <v>38</v>
      </c>
      <c r="H187" s="2" t="s">
        <v>18</v>
      </c>
    </row>
    <row r="188">
      <c r="A188" s="1">
        <v>46003.0</v>
      </c>
      <c r="B188" s="2" t="s">
        <v>23</v>
      </c>
      <c r="C188" s="2" t="s">
        <v>9</v>
      </c>
      <c r="D188" s="2">
        <v>18.0</v>
      </c>
      <c r="E188" s="2" t="s">
        <v>10</v>
      </c>
      <c r="F188" s="2" t="s">
        <v>11</v>
      </c>
      <c r="G188" s="2" t="s">
        <v>38</v>
      </c>
      <c r="H188" s="2" t="s">
        <v>20</v>
      </c>
    </row>
    <row r="189">
      <c r="A189" s="1">
        <v>46005.0</v>
      </c>
      <c r="B189" s="2" t="s">
        <v>17</v>
      </c>
      <c r="C189" s="2" t="s">
        <v>24</v>
      </c>
      <c r="D189" s="2">
        <v>12.0</v>
      </c>
      <c r="E189" s="2" t="s">
        <v>10</v>
      </c>
      <c r="F189" s="2" t="s">
        <v>15</v>
      </c>
      <c r="G189" s="2" t="s">
        <v>38</v>
      </c>
      <c r="H189" s="2" t="s">
        <v>13</v>
      </c>
    </row>
    <row r="190">
      <c r="A190" s="1">
        <v>46007.0</v>
      </c>
      <c r="B190" s="2" t="s">
        <v>14</v>
      </c>
      <c r="C190" s="2" t="s">
        <v>9</v>
      </c>
      <c r="D190" s="2">
        <v>23.0</v>
      </c>
      <c r="E190" s="2" t="s">
        <v>10</v>
      </c>
      <c r="F190" s="2" t="s">
        <v>11</v>
      </c>
      <c r="G190" s="2" t="s">
        <v>38</v>
      </c>
      <c r="H190" s="2" t="s">
        <v>16</v>
      </c>
    </row>
    <row r="191">
      <c r="A191" s="1">
        <v>46008.0</v>
      </c>
      <c r="B191" s="2" t="s">
        <v>8</v>
      </c>
      <c r="C191" s="2" t="s">
        <v>9</v>
      </c>
      <c r="D191" s="2">
        <v>14.0</v>
      </c>
      <c r="E191" s="2" t="s">
        <v>10</v>
      </c>
      <c r="F191" s="2" t="s">
        <v>11</v>
      </c>
      <c r="G191" s="2" t="s">
        <v>38</v>
      </c>
      <c r="H191" s="2" t="s">
        <v>18</v>
      </c>
    </row>
    <row r="192">
      <c r="A192" s="1">
        <v>46010.0</v>
      </c>
      <c r="B192" s="2" t="s">
        <v>19</v>
      </c>
      <c r="C192" s="2" t="s">
        <v>9</v>
      </c>
      <c r="D192" s="2">
        <v>7.0</v>
      </c>
      <c r="E192" s="2" t="s">
        <v>10</v>
      </c>
      <c r="F192" s="2" t="s">
        <v>15</v>
      </c>
      <c r="G192" s="2" t="s">
        <v>38</v>
      </c>
      <c r="H192" s="2" t="s">
        <v>20</v>
      </c>
    </row>
    <row r="193">
      <c r="A193" s="1">
        <v>46012.0</v>
      </c>
      <c r="B193" s="2" t="s">
        <v>8</v>
      </c>
      <c r="C193" s="2" t="s">
        <v>9</v>
      </c>
      <c r="D193" s="2">
        <v>21.0</v>
      </c>
      <c r="E193" s="2" t="s">
        <v>10</v>
      </c>
      <c r="F193" s="2" t="s">
        <v>11</v>
      </c>
      <c r="G193" s="2" t="s">
        <v>38</v>
      </c>
      <c r="H193" s="2" t="s">
        <v>13</v>
      </c>
    </row>
    <row r="194">
      <c r="A194" s="1">
        <v>46014.0</v>
      </c>
      <c r="B194" s="2" t="s">
        <v>17</v>
      </c>
      <c r="C194" s="2" t="s">
        <v>9</v>
      </c>
      <c r="D194" s="2">
        <v>14.0</v>
      </c>
      <c r="E194" s="2" t="s">
        <v>10</v>
      </c>
      <c r="F194" s="2" t="s">
        <v>11</v>
      </c>
      <c r="G194" s="2" t="s">
        <v>38</v>
      </c>
      <c r="H194" s="2" t="s">
        <v>16</v>
      </c>
    </row>
    <row r="195">
      <c r="A195" s="1">
        <v>46015.0</v>
      </c>
      <c r="B195" s="2" t="s">
        <v>26</v>
      </c>
      <c r="C195" s="2" t="s">
        <v>9</v>
      </c>
      <c r="D195" s="2">
        <v>28.0</v>
      </c>
      <c r="E195" s="2" t="s">
        <v>22</v>
      </c>
      <c r="F195" s="2" t="s">
        <v>15</v>
      </c>
      <c r="G195" s="2" t="s">
        <v>38</v>
      </c>
      <c r="H195" s="2" t="s">
        <v>18</v>
      </c>
    </row>
    <row r="196">
      <c r="A196" s="1">
        <v>46017.0</v>
      </c>
      <c r="B196" s="2" t="s">
        <v>8</v>
      </c>
      <c r="C196" s="2" t="s">
        <v>9</v>
      </c>
      <c r="D196" s="2">
        <v>14.0</v>
      </c>
      <c r="E196" s="2" t="s">
        <v>10</v>
      </c>
      <c r="F196" s="2" t="s">
        <v>11</v>
      </c>
      <c r="G196" s="2" t="s">
        <v>38</v>
      </c>
      <c r="H196" s="2" t="s">
        <v>20</v>
      </c>
    </row>
    <row r="197">
      <c r="A197" s="1">
        <v>46019.0</v>
      </c>
      <c r="B197" s="2" t="s">
        <v>8</v>
      </c>
      <c r="C197" s="2" t="s">
        <v>24</v>
      </c>
      <c r="D197" s="2">
        <v>15.0</v>
      </c>
      <c r="E197" s="2" t="s">
        <v>10</v>
      </c>
      <c r="F197" s="2" t="s">
        <v>11</v>
      </c>
      <c r="G197" s="2" t="s">
        <v>38</v>
      </c>
      <c r="H197" s="2" t="s">
        <v>13</v>
      </c>
    </row>
    <row r="198">
      <c r="A198" s="1">
        <v>46021.0</v>
      </c>
      <c r="B198" s="2" t="s">
        <v>17</v>
      </c>
      <c r="C198" s="2" t="s">
        <v>9</v>
      </c>
      <c r="D198" s="2">
        <v>10.0</v>
      </c>
      <c r="E198" s="2" t="s">
        <v>10</v>
      </c>
      <c r="F198" s="2" t="s">
        <v>15</v>
      </c>
      <c r="G198" s="2" t="s">
        <v>38</v>
      </c>
      <c r="H198" s="2" t="s">
        <v>16</v>
      </c>
    </row>
    <row r="199">
      <c r="A199" s="1">
        <v>45660.0</v>
      </c>
      <c r="B199" s="2" t="s">
        <v>14</v>
      </c>
      <c r="C199" s="2" t="s">
        <v>9</v>
      </c>
      <c r="D199" s="2">
        <v>22.0</v>
      </c>
      <c r="E199" s="2" t="s">
        <v>10</v>
      </c>
      <c r="F199" s="2" t="s">
        <v>11</v>
      </c>
      <c r="G199" s="2" t="s">
        <v>12</v>
      </c>
      <c r="H199" s="2" t="s">
        <v>20</v>
      </c>
    </row>
    <row r="200">
      <c r="A200" s="1">
        <v>45663.0</v>
      </c>
      <c r="B200" s="2" t="s">
        <v>8</v>
      </c>
      <c r="C200" s="2" t="s">
        <v>9</v>
      </c>
      <c r="D200" s="2">
        <v>14.0</v>
      </c>
      <c r="E200" s="2" t="s">
        <v>10</v>
      </c>
      <c r="F200" s="2" t="s">
        <v>11</v>
      </c>
      <c r="G200" s="2" t="s">
        <v>12</v>
      </c>
      <c r="H200" s="2" t="s">
        <v>39</v>
      </c>
    </row>
    <row r="201">
      <c r="A201" s="1">
        <v>45666.0</v>
      </c>
      <c r="B201" s="2" t="s">
        <v>19</v>
      </c>
      <c r="C201" s="2" t="s">
        <v>9</v>
      </c>
      <c r="D201" s="2">
        <v>7.0</v>
      </c>
      <c r="E201" s="2" t="s">
        <v>10</v>
      </c>
      <c r="F201" s="2" t="s">
        <v>15</v>
      </c>
      <c r="G201" s="2" t="s">
        <v>12</v>
      </c>
      <c r="H201" s="2" t="s">
        <v>33</v>
      </c>
    </row>
    <row r="202">
      <c r="A202" s="1">
        <v>45668.0</v>
      </c>
      <c r="B202" s="2" t="s">
        <v>17</v>
      </c>
      <c r="C202" s="2" t="s">
        <v>9</v>
      </c>
      <c r="D202" s="2">
        <v>9.0</v>
      </c>
      <c r="E202" s="2" t="s">
        <v>10</v>
      </c>
      <c r="F202" s="2" t="s">
        <v>11</v>
      </c>
      <c r="G202" s="2" t="s">
        <v>12</v>
      </c>
      <c r="H202" s="2" t="s">
        <v>40</v>
      </c>
    </row>
    <row r="203">
      <c r="A203" s="1">
        <v>45670.0</v>
      </c>
      <c r="B203" s="2" t="s">
        <v>8</v>
      </c>
      <c r="C203" s="2" t="s">
        <v>21</v>
      </c>
      <c r="D203" s="2">
        <v>14.0</v>
      </c>
      <c r="E203" s="2" t="s">
        <v>10</v>
      </c>
      <c r="F203" s="2" t="s">
        <v>11</v>
      </c>
      <c r="G203" s="2" t="s">
        <v>12</v>
      </c>
      <c r="H203" s="2" t="s">
        <v>39</v>
      </c>
    </row>
    <row r="204">
      <c r="A204" s="1">
        <v>45673.0</v>
      </c>
      <c r="B204" s="2" t="s">
        <v>23</v>
      </c>
      <c r="C204" s="2" t="s">
        <v>9</v>
      </c>
      <c r="D204" s="2">
        <v>20.0</v>
      </c>
      <c r="E204" s="2" t="s">
        <v>10</v>
      </c>
      <c r="F204" s="2" t="s">
        <v>15</v>
      </c>
      <c r="G204" s="2" t="s">
        <v>12</v>
      </c>
      <c r="H204" s="2" t="s">
        <v>33</v>
      </c>
    </row>
    <row r="205">
      <c r="A205" s="1">
        <v>45675.0</v>
      </c>
      <c r="B205" s="2" t="s">
        <v>17</v>
      </c>
      <c r="C205" s="2" t="s">
        <v>24</v>
      </c>
      <c r="D205" s="2">
        <v>11.0</v>
      </c>
      <c r="E205" s="2" t="s">
        <v>10</v>
      </c>
      <c r="F205" s="2" t="s">
        <v>11</v>
      </c>
      <c r="G205" s="2" t="s">
        <v>12</v>
      </c>
      <c r="H205" s="2" t="s">
        <v>40</v>
      </c>
    </row>
    <row r="206">
      <c r="A206" s="1">
        <v>45677.0</v>
      </c>
      <c r="B206" s="2" t="s">
        <v>8</v>
      </c>
      <c r="C206" s="2" t="s">
        <v>9</v>
      </c>
      <c r="D206" s="2">
        <v>14.0</v>
      </c>
      <c r="E206" s="2" t="s">
        <v>10</v>
      </c>
      <c r="F206" s="2" t="s">
        <v>11</v>
      </c>
      <c r="G206" s="2" t="s">
        <v>12</v>
      </c>
      <c r="H206" s="2" t="s">
        <v>39</v>
      </c>
    </row>
    <row r="207">
      <c r="A207" s="1">
        <v>45680.0</v>
      </c>
      <c r="B207" s="2" t="s">
        <v>14</v>
      </c>
      <c r="C207" s="2" t="s">
        <v>9</v>
      </c>
      <c r="D207" s="2">
        <v>24.0</v>
      </c>
      <c r="E207" s="2" t="s">
        <v>10</v>
      </c>
      <c r="F207" s="2" t="s">
        <v>15</v>
      </c>
      <c r="G207" s="2" t="s">
        <v>12</v>
      </c>
      <c r="H207" s="2" t="s">
        <v>33</v>
      </c>
    </row>
    <row r="208">
      <c r="A208" s="1">
        <v>45682.0</v>
      </c>
      <c r="B208" s="2" t="s">
        <v>19</v>
      </c>
      <c r="C208" s="2" t="s">
        <v>9</v>
      </c>
      <c r="D208" s="2">
        <v>7.0</v>
      </c>
      <c r="E208" s="2" t="s">
        <v>10</v>
      </c>
      <c r="F208" s="2" t="s">
        <v>11</v>
      </c>
      <c r="G208" s="2" t="s">
        <v>12</v>
      </c>
      <c r="H208" s="2" t="s">
        <v>40</v>
      </c>
    </row>
    <row r="209">
      <c r="A209" s="1">
        <v>45684.0</v>
      </c>
      <c r="B209" s="2" t="s">
        <v>8</v>
      </c>
      <c r="C209" s="2" t="s">
        <v>9</v>
      </c>
      <c r="D209" s="2">
        <v>14.0</v>
      </c>
      <c r="E209" s="2" t="s">
        <v>10</v>
      </c>
      <c r="F209" s="2" t="s">
        <v>11</v>
      </c>
      <c r="G209" s="2" t="s">
        <v>12</v>
      </c>
      <c r="H209" s="2" t="s">
        <v>39</v>
      </c>
    </row>
    <row r="210">
      <c r="A210" s="1">
        <v>45687.0</v>
      </c>
      <c r="B210" s="2" t="s">
        <v>26</v>
      </c>
      <c r="C210" s="2" t="s">
        <v>21</v>
      </c>
      <c r="D210" s="2">
        <v>27.0</v>
      </c>
      <c r="E210" s="2" t="s">
        <v>22</v>
      </c>
      <c r="F210" s="2" t="s">
        <v>15</v>
      </c>
      <c r="G210" s="2" t="s">
        <v>12</v>
      </c>
      <c r="H210" s="2" t="s">
        <v>33</v>
      </c>
    </row>
    <row r="211">
      <c r="A211" s="1">
        <v>45689.0</v>
      </c>
      <c r="B211" s="2" t="s">
        <v>17</v>
      </c>
      <c r="C211" s="2" t="s">
        <v>9</v>
      </c>
      <c r="D211" s="2">
        <v>10.0</v>
      </c>
      <c r="E211" s="2" t="s">
        <v>10</v>
      </c>
      <c r="F211" s="2" t="s">
        <v>11</v>
      </c>
      <c r="G211" s="2" t="s">
        <v>27</v>
      </c>
      <c r="H211" s="2" t="s">
        <v>40</v>
      </c>
    </row>
    <row r="212">
      <c r="A212" s="1">
        <v>45691.0</v>
      </c>
      <c r="B212" s="2" t="s">
        <v>8</v>
      </c>
      <c r="C212" s="2" t="s">
        <v>9</v>
      </c>
      <c r="D212" s="2">
        <v>14.0</v>
      </c>
      <c r="E212" s="2" t="s">
        <v>10</v>
      </c>
      <c r="F212" s="2" t="s">
        <v>11</v>
      </c>
      <c r="G212" s="2" t="s">
        <v>27</v>
      </c>
      <c r="H212" s="2" t="s">
        <v>39</v>
      </c>
    </row>
    <row r="213">
      <c r="A213" s="1">
        <v>45694.0</v>
      </c>
      <c r="B213" s="2" t="s">
        <v>14</v>
      </c>
      <c r="C213" s="2" t="s">
        <v>24</v>
      </c>
      <c r="D213" s="2">
        <v>21.0</v>
      </c>
      <c r="E213" s="2" t="s">
        <v>10</v>
      </c>
      <c r="F213" s="2" t="s">
        <v>15</v>
      </c>
      <c r="G213" s="2" t="s">
        <v>27</v>
      </c>
      <c r="H213" s="2" t="s">
        <v>33</v>
      </c>
    </row>
    <row r="214">
      <c r="A214" s="1">
        <v>45696.0</v>
      </c>
      <c r="B214" s="2" t="s">
        <v>19</v>
      </c>
      <c r="C214" s="2" t="s">
        <v>9</v>
      </c>
      <c r="D214" s="2">
        <v>7.0</v>
      </c>
      <c r="E214" s="2" t="s">
        <v>10</v>
      </c>
      <c r="F214" s="2" t="s">
        <v>11</v>
      </c>
      <c r="G214" s="2" t="s">
        <v>27</v>
      </c>
      <c r="H214" s="2" t="s">
        <v>40</v>
      </c>
    </row>
    <row r="215">
      <c r="A215" s="1">
        <v>45698.0</v>
      </c>
      <c r="B215" s="2" t="s">
        <v>8</v>
      </c>
      <c r="C215" s="2" t="s">
        <v>9</v>
      </c>
      <c r="D215" s="2">
        <v>14.0</v>
      </c>
      <c r="E215" s="2" t="s">
        <v>10</v>
      </c>
      <c r="F215" s="2" t="s">
        <v>11</v>
      </c>
      <c r="G215" s="2" t="s">
        <v>27</v>
      </c>
      <c r="H215" s="2" t="s">
        <v>39</v>
      </c>
    </row>
    <row r="216">
      <c r="A216" s="1">
        <v>45701.0</v>
      </c>
      <c r="B216" s="2" t="s">
        <v>17</v>
      </c>
      <c r="C216" s="2" t="s">
        <v>9</v>
      </c>
      <c r="D216" s="2">
        <v>12.0</v>
      </c>
      <c r="E216" s="2" t="s">
        <v>10</v>
      </c>
      <c r="F216" s="2" t="s">
        <v>15</v>
      </c>
      <c r="G216" s="2" t="s">
        <v>27</v>
      </c>
      <c r="H216" s="2" t="s">
        <v>33</v>
      </c>
    </row>
    <row r="217">
      <c r="A217" s="1">
        <v>45703.0</v>
      </c>
      <c r="B217" s="2" t="s">
        <v>8</v>
      </c>
      <c r="C217" s="2" t="s">
        <v>21</v>
      </c>
      <c r="D217" s="2">
        <v>15.0</v>
      </c>
      <c r="E217" s="2" t="s">
        <v>10</v>
      </c>
      <c r="F217" s="2" t="s">
        <v>11</v>
      </c>
      <c r="G217" s="2" t="s">
        <v>27</v>
      </c>
      <c r="H217" s="2" t="s">
        <v>40</v>
      </c>
    </row>
    <row r="218">
      <c r="A218" s="1">
        <v>45705.0</v>
      </c>
      <c r="B218" s="2" t="s">
        <v>23</v>
      </c>
      <c r="C218" s="2" t="s">
        <v>9</v>
      </c>
      <c r="D218" s="2">
        <v>19.0</v>
      </c>
      <c r="E218" s="2" t="s">
        <v>10</v>
      </c>
      <c r="F218" s="2" t="s">
        <v>11</v>
      </c>
      <c r="G218" s="2" t="s">
        <v>27</v>
      </c>
      <c r="H218" s="2" t="s">
        <v>39</v>
      </c>
    </row>
    <row r="219">
      <c r="A219" s="1">
        <v>45708.0</v>
      </c>
      <c r="B219" s="2" t="s">
        <v>14</v>
      </c>
      <c r="C219" s="2" t="s">
        <v>9</v>
      </c>
      <c r="D219" s="2">
        <v>22.0</v>
      </c>
      <c r="E219" s="2" t="s">
        <v>10</v>
      </c>
      <c r="F219" s="2" t="s">
        <v>15</v>
      </c>
      <c r="G219" s="2" t="s">
        <v>27</v>
      </c>
      <c r="H219" s="2" t="s">
        <v>33</v>
      </c>
    </row>
    <row r="220">
      <c r="A220" s="1">
        <v>45710.0</v>
      </c>
      <c r="B220" s="2" t="s">
        <v>8</v>
      </c>
      <c r="C220" s="2" t="s">
        <v>9</v>
      </c>
      <c r="D220" s="2">
        <v>14.0</v>
      </c>
      <c r="E220" s="2" t="s">
        <v>10</v>
      </c>
      <c r="F220" s="2" t="s">
        <v>11</v>
      </c>
      <c r="G220" s="2" t="s">
        <v>27</v>
      </c>
      <c r="H220" s="2" t="s">
        <v>40</v>
      </c>
    </row>
    <row r="221">
      <c r="A221" s="1">
        <v>45712.0</v>
      </c>
      <c r="B221" s="2" t="s">
        <v>19</v>
      </c>
      <c r="C221" s="2" t="s">
        <v>9</v>
      </c>
      <c r="D221" s="2">
        <v>7.0</v>
      </c>
      <c r="E221" s="2" t="s">
        <v>10</v>
      </c>
      <c r="F221" s="2" t="s">
        <v>11</v>
      </c>
      <c r="G221" s="2" t="s">
        <v>27</v>
      </c>
      <c r="H221" s="2" t="s">
        <v>39</v>
      </c>
    </row>
    <row r="222">
      <c r="A222" s="1">
        <v>45715.0</v>
      </c>
      <c r="B222" s="2" t="s">
        <v>17</v>
      </c>
      <c r="C222" s="2" t="s">
        <v>24</v>
      </c>
      <c r="D222" s="2">
        <v>10.0</v>
      </c>
      <c r="E222" s="2" t="s">
        <v>10</v>
      </c>
      <c r="F222" s="2" t="s">
        <v>15</v>
      </c>
      <c r="G222" s="2" t="s">
        <v>27</v>
      </c>
      <c r="H222" s="2" t="s">
        <v>33</v>
      </c>
    </row>
    <row r="223">
      <c r="A223" s="1">
        <v>45717.0</v>
      </c>
      <c r="B223" s="2" t="s">
        <v>8</v>
      </c>
      <c r="C223" s="2" t="s">
        <v>9</v>
      </c>
      <c r="D223" s="2">
        <v>14.0</v>
      </c>
      <c r="E223" s="2" t="s">
        <v>10</v>
      </c>
      <c r="F223" s="2" t="s">
        <v>11</v>
      </c>
      <c r="G223" s="2" t="s">
        <v>28</v>
      </c>
      <c r="H223" s="2" t="s">
        <v>40</v>
      </c>
    </row>
    <row r="224">
      <c r="A224" s="1">
        <v>45719.0</v>
      </c>
      <c r="B224" s="2" t="s">
        <v>14</v>
      </c>
      <c r="C224" s="2" t="s">
        <v>9</v>
      </c>
      <c r="D224" s="2">
        <v>23.0</v>
      </c>
      <c r="E224" s="2" t="s">
        <v>10</v>
      </c>
      <c r="F224" s="2" t="s">
        <v>11</v>
      </c>
      <c r="G224" s="2" t="s">
        <v>28</v>
      </c>
      <c r="H224" s="2" t="s">
        <v>39</v>
      </c>
    </row>
    <row r="225">
      <c r="A225" s="1">
        <v>45722.0</v>
      </c>
      <c r="B225" s="2" t="s">
        <v>8</v>
      </c>
      <c r="C225" s="2" t="s">
        <v>9</v>
      </c>
      <c r="D225" s="2">
        <v>14.0</v>
      </c>
      <c r="E225" s="2" t="s">
        <v>10</v>
      </c>
      <c r="F225" s="2" t="s">
        <v>15</v>
      </c>
      <c r="G225" s="2" t="s">
        <v>28</v>
      </c>
      <c r="H225" s="2" t="s">
        <v>33</v>
      </c>
    </row>
    <row r="226">
      <c r="A226" s="1">
        <v>45724.0</v>
      </c>
      <c r="B226" s="2" t="s">
        <v>19</v>
      </c>
      <c r="C226" s="2" t="s">
        <v>9</v>
      </c>
      <c r="D226" s="2">
        <v>7.0</v>
      </c>
      <c r="E226" s="2" t="s">
        <v>10</v>
      </c>
      <c r="F226" s="2" t="s">
        <v>11</v>
      </c>
      <c r="G226" s="2" t="s">
        <v>28</v>
      </c>
      <c r="H226" s="2" t="s">
        <v>40</v>
      </c>
    </row>
    <row r="227">
      <c r="A227" s="1">
        <v>45726.0</v>
      </c>
      <c r="B227" s="2" t="s">
        <v>17</v>
      </c>
      <c r="C227" s="2" t="s">
        <v>9</v>
      </c>
      <c r="D227" s="2">
        <v>11.0</v>
      </c>
      <c r="E227" s="2" t="s">
        <v>10</v>
      </c>
      <c r="F227" s="2" t="s">
        <v>11</v>
      </c>
      <c r="G227" s="2" t="s">
        <v>28</v>
      </c>
      <c r="H227" s="2" t="s">
        <v>39</v>
      </c>
    </row>
    <row r="228">
      <c r="A228" s="1">
        <v>45729.0</v>
      </c>
      <c r="B228" s="2" t="s">
        <v>26</v>
      </c>
      <c r="C228" s="2" t="s">
        <v>9</v>
      </c>
      <c r="D228" s="2">
        <v>25.0</v>
      </c>
      <c r="E228" s="2" t="s">
        <v>10</v>
      </c>
      <c r="F228" s="2" t="s">
        <v>15</v>
      </c>
      <c r="G228" s="2" t="s">
        <v>28</v>
      </c>
      <c r="H228" s="2" t="s">
        <v>33</v>
      </c>
    </row>
    <row r="229">
      <c r="A229" s="1">
        <v>45731.0</v>
      </c>
      <c r="B229" s="2" t="s">
        <v>8</v>
      </c>
      <c r="C229" s="2" t="s">
        <v>21</v>
      </c>
      <c r="D229" s="2">
        <v>14.0</v>
      </c>
      <c r="E229" s="2" t="s">
        <v>10</v>
      </c>
      <c r="F229" s="2" t="s">
        <v>11</v>
      </c>
      <c r="G229" s="2" t="s">
        <v>28</v>
      </c>
      <c r="H229" s="2" t="s">
        <v>40</v>
      </c>
    </row>
    <row r="230">
      <c r="A230" s="1">
        <v>45733.0</v>
      </c>
      <c r="B230" s="2" t="s">
        <v>8</v>
      </c>
      <c r="C230" s="2" t="s">
        <v>24</v>
      </c>
      <c r="D230" s="2">
        <v>16.0</v>
      </c>
      <c r="E230" s="2" t="s">
        <v>22</v>
      </c>
      <c r="F230" s="2" t="s">
        <v>11</v>
      </c>
      <c r="G230" s="2" t="s">
        <v>28</v>
      </c>
      <c r="H230" s="2" t="s">
        <v>39</v>
      </c>
    </row>
    <row r="231">
      <c r="A231" s="1">
        <v>45736.0</v>
      </c>
      <c r="B231" s="2" t="s">
        <v>23</v>
      </c>
      <c r="C231" s="2" t="s">
        <v>9</v>
      </c>
      <c r="D231" s="2">
        <v>18.0</v>
      </c>
      <c r="E231" s="2" t="s">
        <v>10</v>
      </c>
      <c r="F231" s="2" t="s">
        <v>15</v>
      </c>
      <c r="G231" s="2" t="s">
        <v>28</v>
      </c>
      <c r="H231" s="2" t="s">
        <v>33</v>
      </c>
    </row>
    <row r="232">
      <c r="A232" s="1">
        <v>45738.0</v>
      </c>
      <c r="B232" s="2" t="s">
        <v>17</v>
      </c>
      <c r="C232" s="2" t="s">
        <v>9</v>
      </c>
      <c r="D232" s="2">
        <v>9.0</v>
      </c>
      <c r="E232" s="2" t="s">
        <v>10</v>
      </c>
      <c r="F232" s="2" t="s">
        <v>11</v>
      </c>
      <c r="G232" s="2" t="s">
        <v>28</v>
      </c>
      <c r="H232" s="2" t="s">
        <v>40</v>
      </c>
    </row>
    <row r="233">
      <c r="A233" s="1">
        <v>45740.0</v>
      </c>
      <c r="B233" s="2" t="s">
        <v>14</v>
      </c>
      <c r="C233" s="2" t="s">
        <v>9</v>
      </c>
      <c r="D233" s="2">
        <v>21.0</v>
      </c>
      <c r="E233" s="2" t="s">
        <v>10</v>
      </c>
      <c r="F233" s="2" t="s">
        <v>11</v>
      </c>
      <c r="G233" s="2" t="s">
        <v>28</v>
      </c>
      <c r="H233" s="2" t="s">
        <v>39</v>
      </c>
    </row>
    <row r="234">
      <c r="A234" s="1">
        <v>45743.0</v>
      </c>
      <c r="B234" s="2" t="s">
        <v>8</v>
      </c>
      <c r="C234" s="2" t="s">
        <v>9</v>
      </c>
      <c r="D234" s="2">
        <v>14.0</v>
      </c>
      <c r="E234" s="2" t="s">
        <v>10</v>
      </c>
      <c r="F234" s="2" t="s">
        <v>15</v>
      </c>
      <c r="G234" s="2" t="s">
        <v>28</v>
      </c>
      <c r="H234" s="2" t="s">
        <v>33</v>
      </c>
    </row>
    <row r="235">
      <c r="A235" s="1">
        <v>45745.0</v>
      </c>
      <c r="B235" s="2" t="s">
        <v>19</v>
      </c>
      <c r="C235" s="2" t="s">
        <v>9</v>
      </c>
      <c r="D235" s="2">
        <v>7.0</v>
      </c>
      <c r="E235" s="2" t="s">
        <v>10</v>
      </c>
      <c r="F235" s="2" t="s">
        <v>11</v>
      </c>
      <c r="G235" s="2" t="s">
        <v>28</v>
      </c>
      <c r="H235" s="2" t="s">
        <v>40</v>
      </c>
    </row>
    <row r="236">
      <c r="A236" s="1">
        <v>45747.0</v>
      </c>
      <c r="B236" s="2" t="s">
        <v>8</v>
      </c>
      <c r="C236" s="2" t="s">
        <v>9</v>
      </c>
      <c r="D236" s="2">
        <v>14.0</v>
      </c>
      <c r="E236" s="2" t="s">
        <v>10</v>
      </c>
      <c r="F236" s="2" t="s">
        <v>11</v>
      </c>
      <c r="G236" s="2" t="s">
        <v>28</v>
      </c>
      <c r="H236" s="2" t="s">
        <v>39</v>
      </c>
    </row>
    <row r="237">
      <c r="A237" s="1">
        <v>45750.0</v>
      </c>
      <c r="B237" s="2" t="s">
        <v>17</v>
      </c>
      <c r="C237" s="2" t="s">
        <v>24</v>
      </c>
      <c r="D237" s="2">
        <v>10.0</v>
      </c>
      <c r="E237" s="2" t="s">
        <v>10</v>
      </c>
      <c r="F237" s="2" t="s">
        <v>15</v>
      </c>
      <c r="G237" s="2" t="s">
        <v>29</v>
      </c>
      <c r="H237" s="2" t="s">
        <v>33</v>
      </c>
    </row>
    <row r="238">
      <c r="A238" s="1">
        <v>45752.0</v>
      </c>
      <c r="B238" s="2" t="s">
        <v>14</v>
      </c>
      <c r="C238" s="2" t="s">
        <v>9</v>
      </c>
      <c r="D238" s="2">
        <v>22.0</v>
      </c>
      <c r="E238" s="2" t="s">
        <v>10</v>
      </c>
      <c r="F238" s="2" t="s">
        <v>11</v>
      </c>
      <c r="G238" s="2" t="s">
        <v>29</v>
      </c>
      <c r="H238" s="2" t="s">
        <v>40</v>
      </c>
    </row>
    <row r="239">
      <c r="A239" s="1">
        <v>45754.0</v>
      </c>
      <c r="B239" s="2" t="s">
        <v>8</v>
      </c>
      <c r="C239" s="2" t="s">
        <v>9</v>
      </c>
      <c r="D239" s="2">
        <v>14.0</v>
      </c>
      <c r="E239" s="2" t="s">
        <v>10</v>
      </c>
      <c r="F239" s="2" t="s">
        <v>11</v>
      </c>
      <c r="G239" s="2" t="s">
        <v>29</v>
      </c>
      <c r="H239" s="2" t="s">
        <v>39</v>
      </c>
    </row>
    <row r="240">
      <c r="A240" s="1">
        <v>45757.0</v>
      </c>
      <c r="B240" s="2" t="s">
        <v>8</v>
      </c>
      <c r="C240" s="2" t="s">
        <v>21</v>
      </c>
      <c r="D240" s="2">
        <v>15.0</v>
      </c>
      <c r="E240" s="2" t="s">
        <v>10</v>
      </c>
      <c r="F240" s="2" t="s">
        <v>15</v>
      </c>
      <c r="G240" s="2" t="s">
        <v>29</v>
      </c>
      <c r="H240" s="2" t="s">
        <v>33</v>
      </c>
    </row>
    <row r="241">
      <c r="A241" s="1">
        <v>45759.0</v>
      </c>
      <c r="B241" s="2" t="s">
        <v>19</v>
      </c>
      <c r="C241" s="2" t="s">
        <v>9</v>
      </c>
      <c r="D241" s="2">
        <v>7.0</v>
      </c>
      <c r="E241" s="2" t="s">
        <v>10</v>
      </c>
      <c r="F241" s="2" t="s">
        <v>11</v>
      </c>
      <c r="G241" s="2" t="s">
        <v>29</v>
      </c>
      <c r="H241" s="2" t="s">
        <v>40</v>
      </c>
    </row>
    <row r="242">
      <c r="A242" s="1">
        <v>45761.0</v>
      </c>
      <c r="B242" s="2" t="s">
        <v>17</v>
      </c>
      <c r="C242" s="2" t="s">
        <v>9</v>
      </c>
      <c r="D242" s="2">
        <v>12.0</v>
      </c>
      <c r="E242" s="2" t="s">
        <v>10</v>
      </c>
      <c r="F242" s="2" t="s">
        <v>11</v>
      </c>
      <c r="G242" s="2" t="s">
        <v>29</v>
      </c>
      <c r="H242" s="2" t="s">
        <v>39</v>
      </c>
    </row>
    <row r="243">
      <c r="A243" s="1">
        <v>45764.0</v>
      </c>
      <c r="B243" s="2" t="s">
        <v>23</v>
      </c>
      <c r="C243" s="2" t="s">
        <v>9</v>
      </c>
      <c r="D243" s="2">
        <v>20.0</v>
      </c>
      <c r="E243" s="2" t="s">
        <v>10</v>
      </c>
      <c r="F243" s="2" t="s">
        <v>15</v>
      </c>
      <c r="G243" s="2" t="s">
        <v>29</v>
      </c>
      <c r="H243" s="2" t="s">
        <v>33</v>
      </c>
    </row>
    <row r="244">
      <c r="A244" s="1">
        <v>45766.0</v>
      </c>
      <c r="B244" s="2" t="s">
        <v>8</v>
      </c>
      <c r="C244" s="2" t="s">
        <v>9</v>
      </c>
      <c r="D244" s="2">
        <v>14.0</v>
      </c>
      <c r="E244" s="2" t="s">
        <v>10</v>
      </c>
      <c r="F244" s="2" t="s">
        <v>11</v>
      </c>
      <c r="G244" s="2" t="s">
        <v>29</v>
      </c>
      <c r="H244" s="2" t="s">
        <v>40</v>
      </c>
    </row>
    <row r="245">
      <c r="A245" s="1">
        <v>45768.0</v>
      </c>
      <c r="B245" s="2" t="s">
        <v>14</v>
      </c>
      <c r="C245" s="2" t="s">
        <v>24</v>
      </c>
      <c r="D245" s="2">
        <v>24.0</v>
      </c>
      <c r="E245" s="2" t="s">
        <v>10</v>
      </c>
      <c r="F245" s="2" t="s">
        <v>11</v>
      </c>
      <c r="G245" s="2" t="s">
        <v>29</v>
      </c>
      <c r="H245" s="2" t="s">
        <v>39</v>
      </c>
    </row>
    <row r="246">
      <c r="A246" s="1">
        <v>45771.0</v>
      </c>
      <c r="B246" s="2" t="s">
        <v>8</v>
      </c>
      <c r="C246" s="2" t="s">
        <v>9</v>
      </c>
      <c r="D246" s="2">
        <v>14.0</v>
      </c>
      <c r="E246" s="2" t="s">
        <v>10</v>
      </c>
      <c r="F246" s="2" t="s">
        <v>15</v>
      </c>
      <c r="G246" s="2" t="s">
        <v>29</v>
      </c>
      <c r="H246" s="2" t="s">
        <v>33</v>
      </c>
    </row>
    <row r="247">
      <c r="A247" s="1">
        <v>45773.0</v>
      </c>
      <c r="B247" s="2" t="s">
        <v>19</v>
      </c>
      <c r="C247" s="2" t="s">
        <v>9</v>
      </c>
      <c r="D247" s="2">
        <v>7.0</v>
      </c>
      <c r="E247" s="2" t="s">
        <v>10</v>
      </c>
      <c r="F247" s="2" t="s">
        <v>11</v>
      </c>
      <c r="G247" s="2" t="s">
        <v>29</v>
      </c>
      <c r="H247" s="2" t="s">
        <v>40</v>
      </c>
    </row>
    <row r="248">
      <c r="A248" s="1">
        <v>45775.0</v>
      </c>
      <c r="B248" s="2" t="s">
        <v>17</v>
      </c>
      <c r="C248" s="2" t="s">
        <v>9</v>
      </c>
      <c r="D248" s="2">
        <v>11.0</v>
      </c>
      <c r="E248" s="2" t="s">
        <v>10</v>
      </c>
      <c r="F248" s="2" t="s">
        <v>11</v>
      </c>
      <c r="G248" s="2" t="s">
        <v>29</v>
      </c>
      <c r="H248" s="2" t="s">
        <v>39</v>
      </c>
    </row>
    <row r="249">
      <c r="A249" s="1">
        <v>45778.0</v>
      </c>
      <c r="B249" s="2" t="s">
        <v>26</v>
      </c>
      <c r="C249" s="2" t="s">
        <v>9</v>
      </c>
      <c r="D249" s="2">
        <v>26.0</v>
      </c>
      <c r="E249" s="2" t="s">
        <v>22</v>
      </c>
      <c r="F249" s="2" t="s">
        <v>15</v>
      </c>
      <c r="G249" s="2" t="s">
        <v>30</v>
      </c>
      <c r="H249" s="2" t="s">
        <v>33</v>
      </c>
    </row>
    <row r="250">
      <c r="A250" s="1">
        <v>45780.0</v>
      </c>
      <c r="B250" s="2" t="s">
        <v>8</v>
      </c>
      <c r="C250" s="2" t="s">
        <v>9</v>
      </c>
      <c r="D250" s="2">
        <v>14.0</v>
      </c>
      <c r="E250" s="2" t="s">
        <v>10</v>
      </c>
      <c r="F250" s="2" t="s">
        <v>11</v>
      </c>
      <c r="G250" s="2" t="s">
        <v>30</v>
      </c>
      <c r="H250" s="2" t="s">
        <v>40</v>
      </c>
    </row>
    <row r="251">
      <c r="A251" s="1">
        <v>45782.0</v>
      </c>
      <c r="B251" s="2" t="s">
        <v>14</v>
      </c>
      <c r="C251" s="2" t="s">
        <v>9</v>
      </c>
      <c r="D251" s="2">
        <v>21.0</v>
      </c>
      <c r="E251" s="2" t="s">
        <v>10</v>
      </c>
      <c r="F251" s="2" t="s">
        <v>11</v>
      </c>
      <c r="G251" s="2" t="s">
        <v>30</v>
      </c>
      <c r="H251" s="2" t="s">
        <v>39</v>
      </c>
    </row>
    <row r="252">
      <c r="A252" s="1">
        <v>45785.0</v>
      </c>
      <c r="B252" s="2" t="s">
        <v>17</v>
      </c>
      <c r="C252" s="2" t="s">
        <v>24</v>
      </c>
      <c r="D252" s="2">
        <v>10.0</v>
      </c>
      <c r="E252" s="2" t="s">
        <v>10</v>
      </c>
      <c r="F252" s="2" t="s">
        <v>15</v>
      </c>
      <c r="G252" s="2" t="s">
        <v>30</v>
      </c>
      <c r="H252" s="2" t="s">
        <v>33</v>
      </c>
    </row>
    <row r="253">
      <c r="A253" s="1">
        <v>45787.0</v>
      </c>
      <c r="B253" s="2" t="s">
        <v>8</v>
      </c>
      <c r="C253" s="2" t="s">
        <v>21</v>
      </c>
      <c r="D253" s="2">
        <v>14.0</v>
      </c>
      <c r="E253" s="2" t="s">
        <v>10</v>
      </c>
      <c r="F253" s="2" t="s">
        <v>11</v>
      </c>
      <c r="G253" s="2" t="s">
        <v>30</v>
      </c>
      <c r="H253" s="2" t="s">
        <v>40</v>
      </c>
    </row>
    <row r="254">
      <c r="A254" s="1">
        <v>45789.0</v>
      </c>
      <c r="B254" s="2" t="s">
        <v>19</v>
      </c>
      <c r="C254" s="2" t="s">
        <v>9</v>
      </c>
      <c r="D254" s="2">
        <v>7.0</v>
      </c>
      <c r="E254" s="2" t="s">
        <v>10</v>
      </c>
      <c r="F254" s="2" t="s">
        <v>11</v>
      </c>
      <c r="G254" s="2" t="s">
        <v>30</v>
      </c>
      <c r="H254" s="2" t="s">
        <v>39</v>
      </c>
    </row>
    <row r="255">
      <c r="A255" s="1">
        <v>45792.0</v>
      </c>
      <c r="B255" s="2" t="s">
        <v>8</v>
      </c>
      <c r="C255" s="2" t="s">
        <v>9</v>
      </c>
      <c r="D255" s="2">
        <v>14.0</v>
      </c>
      <c r="E255" s="2" t="s">
        <v>10</v>
      </c>
      <c r="F255" s="2" t="s">
        <v>15</v>
      </c>
      <c r="G255" s="2" t="s">
        <v>30</v>
      </c>
      <c r="H255" s="2" t="s">
        <v>33</v>
      </c>
    </row>
    <row r="256">
      <c r="A256" s="1">
        <v>45794.0</v>
      </c>
      <c r="B256" s="2" t="s">
        <v>23</v>
      </c>
      <c r="C256" s="2" t="s">
        <v>9</v>
      </c>
      <c r="D256" s="2">
        <v>19.0</v>
      </c>
      <c r="E256" s="2" t="s">
        <v>10</v>
      </c>
      <c r="F256" s="2" t="s">
        <v>11</v>
      </c>
      <c r="G256" s="2" t="s">
        <v>30</v>
      </c>
      <c r="H256" s="2" t="s">
        <v>40</v>
      </c>
    </row>
    <row r="257">
      <c r="A257" s="1">
        <v>45796.0</v>
      </c>
      <c r="B257" s="2" t="s">
        <v>17</v>
      </c>
      <c r="C257" s="2" t="s">
        <v>9</v>
      </c>
      <c r="D257" s="2">
        <v>9.0</v>
      </c>
      <c r="E257" s="2" t="s">
        <v>10</v>
      </c>
      <c r="F257" s="2" t="s">
        <v>11</v>
      </c>
      <c r="G257" s="2" t="s">
        <v>30</v>
      </c>
      <c r="H257" s="2" t="s">
        <v>39</v>
      </c>
    </row>
    <row r="258">
      <c r="A258" s="1">
        <v>45799.0</v>
      </c>
      <c r="B258" s="2" t="s">
        <v>14</v>
      </c>
      <c r="C258" s="2" t="s">
        <v>9</v>
      </c>
      <c r="D258" s="2">
        <v>23.0</v>
      </c>
      <c r="E258" s="2" t="s">
        <v>10</v>
      </c>
      <c r="F258" s="2" t="s">
        <v>15</v>
      </c>
      <c r="G258" s="2" t="s">
        <v>30</v>
      </c>
      <c r="H258" s="2" t="s">
        <v>33</v>
      </c>
    </row>
    <row r="259">
      <c r="A259" s="1">
        <v>45801.0</v>
      </c>
      <c r="B259" s="2" t="s">
        <v>8</v>
      </c>
      <c r="C259" s="2" t="s">
        <v>9</v>
      </c>
      <c r="D259" s="2">
        <v>14.0</v>
      </c>
      <c r="E259" s="2" t="s">
        <v>10</v>
      </c>
      <c r="F259" s="2" t="s">
        <v>11</v>
      </c>
      <c r="G259" s="2" t="s">
        <v>30</v>
      </c>
      <c r="H259" s="2" t="s">
        <v>40</v>
      </c>
    </row>
    <row r="260">
      <c r="A260" s="1">
        <v>45803.0</v>
      </c>
      <c r="B260" s="2" t="s">
        <v>8</v>
      </c>
      <c r="C260" s="2" t="s">
        <v>24</v>
      </c>
      <c r="D260" s="2">
        <v>15.0</v>
      </c>
      <c r="E260" s="2" t="s">
        <v>10</v>
      </c>
      <c r="F260" s="2" t="s">
        <v>11</v>
      </c>
      <c r="G260" s="2" t="s">
        <v>30</v>
      </c>
      <c r="H260" s="2" t="s">
        <v>39</v>
      </c>
    </row>
    <row r="261">
      <c r="A261" s="1">
        <v>45806.0</v>
      </c>
      <c r="B261" s="2" t="s">
        <v>19</v>
      </c>
      <c r="C261" s="2" t="s">
        <v>9</v>
      </c>
      <c r="D261" s="2">
        <v>7.0</v>
      </c>
      <c r="E261" s="2" t="s">
        <v>10</v>
      </c>
      <c r="F261" s="2" t="s">
        <v>15</v>
      </c>
      <c r="G261" s="2" t="s">
        <v>30</v>
      </c>
      <c r="H261" s="2" t="s">
        <v>33</v>
      </c>
    </row>
    <row r="262">
      <c r="A262" s="1">
        <v>45808.0</v>
      </c>
      <c r="B262" s="2" t="s">
        <v>17</v>
      </c>
      <c r="C262" s="2" t="s">
        <v>9</v>
      </c>
      <c r="D262" s="2">
        <v>10.0</v>
      </c>
      <c r="E262" s="2" t="s">
        <v>10</v>
      </c>
      <c r="F262" s="2" t="s">
        <v>11</v>
      </c>
      <c r="G262" s="2" t="s">
        <v>30</v>
      </c>
      <c r="H262" s="2" t="s">
        <v>40</v>
      </c>
    </row>
    <row r="263">
      <c r="A263" s="3"/>
    </row>
    <row r="264">
      <c r="A264" s="3"/>
    </row>
    <row r="265">
      <c r="A265" s="3"/>
    </row>
    <row r="266">
      <c r="A266" s="3"/>
    </row>
    <row r="267">
      <c r="A267" s="3"/>
    </row>
    <row r="268">
      <c r="A268" s="3"/>
    </row>
    <row r="269">
      <c r="A269" s="3"/>
    </row>
    <row r="270">
      <c r="A270" s="3"/>
    </row>
    <row r="271">
      <c r="A271" s="3"/>
    </row>
    <row r="272">
      <c r="A272" s="3"/>
    </row>
    <row r="273">
      <c r="A273" s="3"/>
    </row>
    <row r="274">
      <c r="A274" s="3"/>
    </row>
    <row r="275">
      <c r="A275" s="3"/>
    </row>
    <row r="276">
      <c r="A276" s="3"/>
    </row>
    <row r="277">
      <c r="A277" s="3"/>
    </row>
    <row r="278">
      <c r="A278" s="3"/>
    </row>
    <row r="279">
      <c r="A279" s="3"/>
    </row>
    <row r="280">
      <c r="A280" s="3"/>
    </row>
    <row r="281">
      <c r="A281" s="3"/>
    </row>
    <row r="282">
      <c r="A282" s="3"/>
    </row>
    <row r="283">
      <c r="A283" s="3"/>
    </row>
    <row r="284">
      <c r="A284" s="3"/>
    </row>
    <row r="285">
      <c r="A285" s="3"/>
    </row>
    <row r="286">
      <c r="A286" s="3"/>
    </row>
    <row r="287">
      <c r="A287" s="3"/>
    </row>
    <row r="288">
      <c r="A288" s="3"/>
    </row>
    <row r="289">
      <c r="A289" s="3"/>
    </row>
    <row r="290">
      <c r="A290" s="3"/>
    </row>
    <row r="291">
      <c r="A291" s="3"/>
    </row>
    <row r="292">
      <c r="A292" s="3"/>
    </row>
    <row r="293">
      <c r="A293" s="3"/>
    </row>
    <row r="294">
      <c r="A294" s="3"/>
    </row>
    <row r="295">
      <c r="A295" s="3"/>
    </row>
    <row r="296">
      <c r="A296" s="3"/>
    </row>
    <row r="297">
      <c r="A297" s="3"/>
    </row>
    <row r="298">
      <c r="A298" s="3"/>
    </row>
    <row r="299">
      <c r="A299" s="3"/>
    </row>
    <row r="300">
      <c r="A300" s="3"/>
    </row>
    <row r="301">
      <c r="A301" s="3"/>
    </row>
    <row r="302">
      <c r="A302" s="3"/>
    </row>
    <row r="303">
      <c r="A303" s="3"/>
    </row>
    <row r="304">
      <c r="A304" s="3"/>
    </row>
    <row r="305">
      <c r="A305" s="3"/>
    </row>
    <row r="306">
      <c r="A306" s="3"/>
    </row>
    <row r="307">
      <c r="A307" s="3"/>
    </row>
    <row r="308">
      <c r="A308" s="3"/>
    </row>
    <row r="309">
      <c r="A309" s="3"/>
    </row>
    <row r="310">
      <c r="A310" s="3"/>
    </row>
    <row r="311">
      <c r="A311" s="3"/>
    </row>
    <row r="312">
      <c r="A312" s="3"/>
    </row>
    <row r="313">
      <c r="A313" s="3"/>
    </row>
    <row r="314">
      <c r="A314" s="3"/>
    </row>
    <row r="315">
      <c r="A315" s="3"/>
    </row>
    <row r="316">
      <c r="A316" s="3"/>
    </row>
    <row r="317">
      <c r="A317" s="3"/>
    </row>
    <row r="318">
      <c r="A318" s="3"/>
    </row>
    <row r="319">
      <c r="A319" s="3"/>
    </row>
    <row r="320">
      <c r="A320" s="3"/>
    </row>
    <row r="321">
      <c r="A321" s="3"/>
    </row>
    <row r="322">
      <c r="A322" s="3"/>
    </row>
    <row r="323">
      <c r="A323" s="3"/>
    </row>
    <row r="324">
      <c r="A324" s="3"/>
    </row>
    <row r="325">
      <c r="A325" s="3"/>
    </row>
    <row r="326">
      <c r="A326" s="3"/>
    </row>
    <row r="327">
      <c r="A327" s="3"/>
    </row>
    <row r="328">
      <c r="A328" s="3"/>
    </row>
    <row r="329">
      <c r="A329" s="3"/>
    </row>
    <row r="330">
      <c r="A330" s="3"/>
    </row>
    <row r="331">
      <c r="A331" s="3"/>
    </row>
    <row r="332">
      <c r="A332" s="3"/>
    </row>
    <row r="333">
      <c r="A333" s="3"/>
    </row>
    <row r="334">
      <c r="A334" s="3"/>
    </row>
    <row r="335">
      <c r="A335" s="3"/>
    </row>
    <row r="336">
      <c r="A336" s="3"/>
    </row>
    <row r="337">
      <c r="A337" s="3"/>
    </row>
    <row r="338">
      <c r="A338" s="3"/>
    </row>
    <row r="339">
      <c r="A339" s="3"/>
    </row>
    <row r="340">
      <c r="A340" s="3"/>
    </row>
    <row r="341">
      <c r="A341" s="3"/>
    </row>
    <row r="342">
      <c r="A342" s="3"/>
    </row>
    <row r="343">
      <c r="A343" s="3"/>
    </row>
    <row r="344">
      <c r="A344" s="3"/>
    </row>
    <row r="345">
      <c r="A345" s="3"/>
    </row>
    <row r="346">
      <c r="A346" s="3"/>
    </row>
    <row r="347">
      <c r="A347" s="3"/>
    </row>
    <row r="348">
      <c r="A348" s="3"/>
    </row>
    <row r="349">
      <c r="A349" s="3"/>
    </row>
    <row r="350">
      <c r="A350" s="3"/>
    </row>
    <row r="351">
      <c r="A351" s="3"/>
    </row>
    <row r="352">
      <c r="A352" s="3"/>
    </row>
    <row r="353">
      <c r="A353" s="3"/>
    </row>
    <row r="354">
      <c r="A354" s="3"/>
    </row>
    <row r="355">
      <c r="A355" s="3"/>
    </row>
    <row r="356">
      <c r="A356" s="3"/>
    </row>
    <row r="357">
      <c r="A357" s="3"/>
    </row>
    <row r="358">
      <c r="A358" s="3"/>
    </row>
    <row r="359">
      <c r="A359" s="3"/>
    </row>
    <row r="360">
      <c r="A360" s="3"/>
    </row>
    <row r="361">
      <c r="A361" s="3"/>
    </row>
    <row r="362">
      <c r="A362" s="3"/>
    </row>
    <row r="363">
      <c r="A363" s="3"/>
    </row>
    <row r="364">
      <c r="A364" s="3"/>
    </row>
    <row r="365">
      <c r="A365" s="3"/>
    </row>
    <row r="366">
      <c r="A366" s="3"/>
    </row>
    <row r="367">
      <c r="A367" s="3"/>
    </row>
    <row r="368">
      <c r="A368" s="3"/>
    </row>
    <row r="369">
      <c r="A369" s="3"/>
    </row>
    <row r="370">
      <c r="A370" s="3"/>
    </row>
    <row r="371">
      <c r="A371" s="3"/>
    </row>
    <row r="372">
      <c r="A372" s="3"/>
    </row>
    <row r="373">
      <c r="A373" s="3"/>
    </row>
    <row r="374">
      <c r="A374" s="3"/>
    </row>
    <row r="375">
      <c r="A375" s="3"/>
    </row>
    <row r="376">
      <c r="A376" s="3"/>
    </row>
    <row r="377">
      <c r="A377" s="3"/>
    </row>
    <row r="378">
      <c r="A378" s="3"/>
    </row>
    <row r="379">
      <c r="A379" s="3"/>
    </row>
    <row r="380">
      <c r="A380" s="3"/>
    </row>
    <row r="381">
      <c r="A381" s="3"/>
    </row>
    <row r="382">
      <c r="A382" s="3"/>
    </row>
    <row r="383">
      <c r="A383" s="3"/>
    </row>
    <row r="384">
      <c r="A384" s="3"/>
    </row>
    <row r="385">
      <c r="A385" s="3"/>
    </row>
    <row r="386">
      <c r="A386" s="3"/>
    </row>
    <row r="387">
      <c r="A387" s="3"/>
    </row>
    <row r="388">
      <c r="A388" s="3"/>
    </row>
    <row r="389">
      <c r="A389" s="3"/>
    </row>
    <row r="390">
      <c r="A390" s="3"/>
    </row>
    <row r="391">
      <c r="A391" s="3"/>
    </row>
    <row r="392">
      <c r="A392" s="3"/>
    </row>
    <row r="393">
      <c r="A393" s="3"/>
    </row>
    <row r="394">
      <c r="A394" s="3"/>
    </row>
    <row r="395">
      <c r="A395" s="3"/>
    </row>
    <row r="396">
      <c r="A396" s="3"/>
    </row>
    <row r="397">
      <c r="A397" s="3"/>
    </row>
    <row r="398">
      <c r="A398" s="3"/>
    </row>
    <row r="399">
      <c r="A399" s="3"/>
    </row>
    <row r="400">
      <c r="A400" s="3"/>
    </row>
    <row r="401">
      <c r="A401" s="3"/>
    </row>
    <row r="402">
      <c r="A402" s="3"/>
    </row>
    <row r="403">
      <c r="A403" s="3"/>
    </row>
    <row r="404">
      <c r="A404" s="3"/>
    </row>
    <row r="405">
      <c r="A405" s="3"/>
    </row>
    <row r="406">
      <c r="A406" s="3"/>
    </row>
    <row r="407">
      <c r="A407" s="3"/>
    </row>
    <row r="408">
      <c r="A408" s="3"/>
    </row>
    <row r="409">
      <c r="A409" s="3"/>
    </row>
    <row r="410">
      <c r="A410" s="3"/>
    </row>
    <row r="411">
      <c r="A411" s="3"/>
    </row>
    <row r="412">
      <c r="A412" s="3"/>
    </row>
    <row r="413">
      <c r="A413" s="3"/>
    </row>
    <row r="414">
      <c r="A414" s="3"/>
    </row>
    <row r="415">
      <c r="A415" s="3"/>
    </row>
    <row r="416">
      <c r="A416" s="3"/>
    </row>
    <row r="417">
      <c r="A417" s="3"/>
    </row>
    <row r="418">
      <c r="A418" s="3"/>
    </row>
    <row r="419">
      <c r="A419" s="3"/>
    </row>
    <row r="420">
      <c r="A420" s="3"/>
    </row>
    <row r="421">
      <c r="A421" s="3"/>
    </row>
    <row r="422">
      <c r="A422" s="3"/>
    </row>
    <row r="423">
      <c r="A423" s="3"/>
    </row>
    <row r="424">
      <c r="A424" s="3"/>
    </row>
    <row r="425">
      <c r="A425" s="3"/>
    </row>
    <row r="426">
      <c r="A426" s="3"/>
    </row>
    <row r="427">
      <c r="A427" s="3"/>
    </row>
    <row r="428">
      <c r="A428" s="3"/>
    </row>
    <row r="429">
      <c r="A429" s="3"/>
    </row>
    <row r="430">
      <c r="A430" s="3"/>
    </row>
    <row r="431">
      <c r="A431" s="3"/>
    </row>
    <row r="432">
      <c r="A432" s="3"/>
    </row>
    <row r="433">
      <c r="A433" s="3"/>
    </row>
    <row r="434">
      <c r="A434" s="3"/>
    </row>
    <row r="435">
      <c r="A435" s="3"/>
    </row>
    <row r="436">
      <c r="A436" s="3"/>
    </row>
    <row r="437">
      <c r="A437" s="3"/>
    </row>
    <row r="438">
      <c r="A438" s="3"/>
    </row>
    <row r="439">
      <c r="A439" s="3"/>
    </row>
    <row r="440">
      <c r="A440" s="3"/>
    </row>
    <row r="441">
      <c r="A441" s="3"/>
    </row>
    <row r="442">
      <c r="A442" s="3"/>
    </row>
    <row r="443">
      <c r="A443" s="3"/>
    </row>
    <row r="444">
      <c r="A444" s="3"/>
    </row>
    <row r="445">
      <c r="A445" s="3"/>
    </row>
    <row r="446">
      <c r="A446" s="3"/>
    </row>
    <row r="447">
      <c r="A447" s="3"/>
    </row>
    <row r="448">
      <c r="A448" s="3"/>
    </row>
    <row r="449">
      <c r="A449" s="3"/>
    </row>
    <row r="450">
      <c r="A450" s="3"/>
    </row>
    <row r="451">
      <c r="A451" s="3"/>
    </row>
    <row r="452">
      <c r="A452" s="3"/>
    </row>
    <row r="453">
      <c r="A453" s="3"/>
    </row>
    <row r="454">
      <c r="A454" s="3"/>
    </row>
    <row r="455">
      <c r="A455" s="3"/>
    </row>
    <row r="456">
      <c r="A456" s="3"/>
    </row>
    <row r="457">
      <c r="A457" s="3"/>
    </row>
    <row r="458">
      <c r="A458" s="3"/>
    </row>
    <row r="459">
      <c r="A459" s="3"/>
    </row>
    <row r="460">
      <c r="A460" s="3"/>
    </row>
    <row r="461">
      <c r="A461" s="3"/>
    </row>
    <row r="462">
      <c r="A462" s="3"/>
    </row>
    <row r="463">
      <c r="A463" s="3"/>
    </row>
    <row r="464">
      <c r="A464" s="3"/>
    </row>
    <row r="465">
      <c r="A465" s="3"/>
    </row>
    <row r="466">
      <c r="A466" s="3"/>
    </row>
    <row r="467">
      <c r="A467" s="3"/>
    </row>
    <row r="468">
      <c r="A468" s="3"/>
    </row>
    <row r="469">
      <c r="A469" s="3"/>
    </row>
    <row r="470">
      <c r="A470" s="3"/>
    </row>
    <row r="471">
      <c r="A471" s="3"/>
    </row>
    <row r="472">
      <c r="A472" s="3"/>
    </row>
    <row r="473">
      <c r="A473" s="3"/>
    </row>
    <row r="474">
      <c r="A474" s="3"/>
    </row>
    <row r="475">
      <c r="A475" s="3"/>
    </row>
    <row r="476">
      <c r="A476" s="3"/>
    </row>
    <row r="477">
      <c r="A477" s="3"/>
    </row>
    <row r="478">
      <c r="A478" s="3"/>
    </row>
    <row r="479">
      <c r="A479" s="3"/>
    </row>
    <row r="480">
      <c r="A480" s="3"/>
    </row>
    <row r="481">
      <c r="A481" s="3"/>
    </row>
    <row r="482">
      <c r="A482" s="3"/>
    </row>
    <row r="483">
      <c r="A483" s="3"/>
    </row>
    <row r="484">
      <c r="A484" s="3"/>
    </row>
    <row r="485">
      <c r="A485" s="3"/>
    </row>
    <row r="486">
      <c r="A486" s="3"/>
    </row>
    <row r="487">
      <c r="A487" s="3"/>
    </row>
    <row r="488">
      <c r="A488" s="3"/>
    </row>
    <row r="489">
      <c r="A489" s="3"/>
    </row>
    <row r="490">
      <c r="A490" s="3"/>
    </row>
    <row r="491">
      <c r="A491" s="3"/>
    </row>
    <row r="492">
      <c r="A492" s="3"/>
    </row>
    <row r="493">
      <c r="A493" s="3"/>
    </row>
    <row r="494">
      <c r="A494" s="3"/>
    </row>
    <row r="495">
      <c r="A495" s="3"/>
    </row>
    <row r="496">
      <c r="A496" s="3"/>
    </row>
    <row r="497">
      <c r="A497" s="3"/>
    </row>
    <row r="498">
      <c r="A498" s="3"/>
    </row>
    <row r="499">
      <c r="A499" s="3"/>
    </row>
    <row r="500">
      <c r="A500" s="3"/>
    </row>
    <row r="501">
      <c r="A501" s="3"/>
    </row>
    <row r="502">
      <c r="A502" s="3"/>
    </row>
    <row r="503">
      <c r="A503" s="3"/>
    </row>
    <row r="504">
      <c r="A504" s="3"/>
    </row>
    <row r="505">
      <c r="A505" s="3"/>
    </row>
    <row r="506">
      <c r="A506" s="3"/>
    </row>
    <row r="507">
      <c r="A507" s="3"/>
    </row>
    <row r="508">
      <c r="A508" s="3"/>
    </row>
    <row r="509">
      <c r="A509" s="3"/>
    </row>
    <row r="510">
      <c r="A510" s="3"/>
    </row>
    <row r="511">
      <c r="A511" s="3"/>
    </row>
    <row r="512">
      <c r="A512" s="3"/>
    </row>
    <row r="513">
      <c r="A513" s="3"/>
    </row>
    <row r="514">
      <c r="A514" s="3"/>
    </row>
    <row r="515">
      <c r="A515" s="3"/>
    </row>
    <row r="516">
      <c r="A516" s="3"/>
    </row>
    <row r="517">
      <c r="A517" s="3"/>
    </row>
    <row r="518">
      <c r="A518" s="3"/>
    </row>
    <row r="519">
      <c r="A519" s="3"/>
    </row>
    <row r="520">
      <c r="A520" s="3"/>
    </row>
    <row r="521">
      <c r="A521" s="3"/>
    </row>
    <row r="522">
      <c r="A522" s="3"/>
    </row>
    <row r="523">
      <c r="A523" s="3"/>
    </row>
    <row r="524">
      <c r="A524" s="3"/>
    </row>
    <row r="525">
      <c r="A525" s="3"/>
    </row>
    <row r="526">
      <c r="A526" s="3"/>
    </row>
    <row r="527">
      <c r="A527" s="3"/>
    </row>
    <row r="528">
      <c r="A528" s="3"/>
    </row>
    <row r="529">
      <c r="A529" s="3"/>
    </row>
    <row r="530">
      <c r="A530" s="3"/>
    </row>
    <row r="531">
      <c r="A531" s="3"/>
    </row>
    <row r="532">
      <c r="A532" s="3"/>
    </row>
    <row r="533">
      <c r="A533" s="3"/>
    </row>
    <row r="534">
      <c r="A534" s="3"/>
    </row>
    <row r="535">
      <c r="A535" s="3"/>
    </row>
    <row r="536">
      <c r="A536" s="3"/>
    </row>
    <row r="537">
      <c r="A537" s="3"/>
    </row>
    <row r="538">
      <c r="A538" s="3"/>
    </row>
    <row r="539">
      <c r="A539" s="3"/>
    </row>
    <row r="540">
      <c r="A540" s="3"/>
    </row>
    <row r="541">
      <c r="A541" s="3"/>
    </row>
    <row r="542">
      <c r="A542" s="3"/>
    </row>
    <row r="543">
      <c r="A543" s="3"/>
    </row>
    <row r="544">
      <c r="A544" s="3"/>
    </row>
    <row r="545">
      <c r="A545" s="3"/>
    </row>
    <row r="546">
      <c r="A546" s="3"/>
    </row>
    <row r="547">
      <c r="A547" s="3"/>
    </row>
    <row r="548">
      <c r="A548" s="3"/>
    </row>
    <row r="549">
      <c r="A549" s="3"/>
    </row>
    <row r="550">
      <c r="A550" s="3"/>
    </row>
    <row r="551">
      <c r="A551" s="3"/>
    </row>
    <row r="552">
      <c r="A552" s="3"/>
    </row>
    <row r="553">
      <c r="A553" s="3"/>
    </row>
    <row r="554">
      <c r="A554" s="3"/>
    </row>
    <row r="555">
      <c r="A555" s="3"/>
    </row>
    <row r="556">
      <c r="A556" s="3"/>
    </row>
    <row r="557">
      <c r="A557" s="3"/>
    </row>
    <row r="558">
      <c r="A558" s="3"/>
    </row>
    <row r="559">
      <c r="A559" s="3"/>
    </row>
    <row r="560">
      <c r="A560" s="3"/>
    </row>
    <row r="561">
      <c r="A561" s="3"/>
    </row>
    <row r="562">
      <c r="A562" s="3"/>
    </row>
    <row r="563">
      <c r="A563" s="3"/>
    </row>
    <row r="564">
      <c r="A564" s="3"/>
    </row>
    <row r="565">
      <c r="A565" s="3"/>
    </row>
    <row r="566">
      <c r="A566" s="3"/>
    </row>
    <row r="567">
      <c r="A567" s="3"/>
    </row>
    <row r="568">
      <c r="A568" s="3"/>
    </row>
    <row r="569">
      <c r="A569" s="3"/>
    </row>
    <row r="570">
      <c r="A570" s="3"/>
    </row>
    <row r="571">
      <c r="A571" s="3"/>
    </row>
    <row r="572">
      <c r="A572" s="3"/>
    </row>
    <row r="573">
      <c r="A573" s="3"/>
    </row>
    <row r="574">
      <c r="A574" s="3"/>
    </row>
    <row r="575">
      <c r="A575" s="3"/>
    </row>
    <row r="576">
      <c r="A576" s="3"/>
    </row>
    <row r="577">
      <c r="A577" s="3"/>
    </row>
    <row r="578">
      <c r="A578" s="3"/>
    </row>
    <row r="579">
      <c r="A579" s="3"/>
    </row>
    <row r="580">
      <c r="A580" s="3"/>
    </row>
    <row r="581">
      <c r="A581" s="3"/>
    </row>
    <row r="582">
      <c r="A582" s="3"/>
    </row>
    <row r="583">
      <c r="A583" s="3"/>
    </row>
    <row r="584">
      <c r="A584" s="3"/>
    </row>
    <row r="585">
      <c r="A585" s="3"/>
    </row>
    <row r="586">
      <c r="A586" s="3"/>
    </row>
    <row r="587">
      <c r="A587" s="3"/>
    </row>
    <row r="588">
      <c r="A588" s="3"/>
    </row>
    <row r="589">
      <c r="A589" s="3"/>
    </row>
    <row r="590">
      <c r="A590" s="3"/>
    </row>
    <row r="591">
      <c r="A591" s="3"/>
    </row>
    <row r="592">
      <c r="A592" s="3"/>
    </row>
    <row r="593">
      <c r="A593" s="3"/>
    </row>
    <row r="594">
      <c r="A594" s="3"/>
    </row>
    <row r="595">
      <c r="A595" s="3"/>
    </row>
    <row r="596">
      <c r="A596" s="3"/>
    </row>
    <row r="597">
      <c r="A597" s="3"/>
    </row>
    <row r="598">
      <c r="A598" s="3"/>
    </row>
    <row r="599">
      <c r="A599" s="3"/>
    </row>
    <row r="600">
      <c r="A600" s="3"/>
    </row>
    <row r="601">
      <c r="A601" s="3"/>
    </row>
    <row r="602">
      <c r="A602" s="3"/>
    </row>
    <row r="603">
      <c r="A603" s="3"/>
    </row>
    <row r="604">
      <c r="A604" s="3"/>
    </row>
    <row r="605">
      <c r="A605" s="3"/>
    </row>
    <row r="606">
      <c r="A606" s="3"/>
    </row>
    <row r="607">
      <c r="A607" s="3"/>
    </row>
    <row r="608">
      <c r="A608" s="3"/>
    </row>
    <row r="609">
      <c r="A609" s="3"/>
    </row>
    <row r="610">
      <c r="A610" s="3"/>
    </row>
    <row r="611">
      <c r="A611" s="3"/>
    </row>
    <row r="612">
      <c r="A612" s="3"/>
    </row>
    <row r="613">
      <c r="A613" s="3"/>
    </row>
    <row r="614">
      <c r="A614" s="3"/>
    </row>
    <row r="615">
      <c r="A615" s="3"/>
    </row>
    <row r="616">
      <c r="A616" s="3"/>
    </row>
    <row r="617">
      <c r="A617" s="3"/>
    </row>
    <row r="618">
      <c r="A618" s="3"/>
    </row>
    <row r="619">
      <c r="A619" s="3"/>
    </row>
    <row r="620">
      <c r="A620" s="3"/>
    </row>
    <row r="621">
      <c r="A621" s="3"/>
    </row>
    <row r="622">
      <c r="A622" s="3"/>
    </row>
    <row r="623">
      <c r="A623" s="3"/>
    </row>
    <row r="624">
      <c r="A624" s="3"/>
    </row>
    <row r="625">
      <c r="A625" s="3"/>
    </row>
    <row r="626">
      <c r="A626" s="3"/>
    </row>
    <row r="627">
      <c r="A627" s="3"/>
    </row>
    <row r="628">
      <c r="A628" s="3"/>
    </row>
    <row r="629">
      <c r="A629" s="3"/>
    </row>
    <row r="630">
      <c r="A630" s="3"/>
    </row>
    <row r="631">
      <c r="A631" s="3"/>
    </row>
    <row r="632">
      <c r="A632" s="3"/>
    </row>
    <row r="633">
      <c r="A633" s="3"/>
    </row>
    <row r="634">
      <c r="A634" s="3"/>
    </row>
    <row r="635">
      <c r="A635" s="3"/>
    </row>
    <row r="636">
      <c r="A636" s="3"/>
    </row>
    <row r="637">
      <c r="A637" s="3"/>
    </row>
    <row r="638">
      <c r="A638" s="3"/>
    </row>
    <row r="639">
      <c r="A639" s="3"/>
    </row>
    <row r="640">
      <c r="A640" s="3"/>
    </row>
    <row r="641">
      <c r="A641" s="3"/>
    </row>
    <row r="642">
      <c r="A642" s="3"/>
    </row>
    <row r="643">
      <c r="A643" s="3"/>
    </row>
    <row r="644">
      <c r="A644" s="3"/>
    </row>
    <row r="645">
      <c r="A645" s="3"/>
    </row>
    <row r="646">
      <c r="A646" s="3"/>
    </row>
    <row r="647">
      <c r="A647" s="3"/>
    </row>
    <row r="648">
      <c r="A648" s="3"/>
    </row>
    <row r="649">
      <c r="A649" s="3"/>
    </row>
    <row r="650">
      <c r="A650" s="3"/>
    </row>
    <row r="651">
      <c r="A651" s="3"/>
    </row>
    <row r="652">
      <c r="A652" s="3"/>
    </row>
    <row r="653">
      <c r="A653" s="3"/>
    </row>
    <row r="654">
      <c r="A654" s="3"/>
    </row>
    <row r="655">
      <c r="A655" s="3"/>
    </row>
    <row r="656">
      <c r="A656" s="3"/>
    </row>
    <row r="657">
      <c r="A657" s="3"/>
    </row>
    <row r="658">
      <c r="A658" s="3"/>
    </row>
    <row r="659">
      <c r="A659" s="3"/>
    </row>
    <row r="660">
      <c r="A660" s="3"/>
    </row>
    <row r="661">
      <c r="A661" s="3"/>
    </row>
    <row r="662">
      <c r="A662" s="3"/>
    </row>
    <row r="663">
      <c r="A663" s="3"/>
    </row>
    <row r="664">
      <c r="A664" s="3"/>
    </row>
    <row r="665">
      <c r="A665" s="3"/>
    </row>
    <row r="666">
      <c r="A666" s="3"/>
    </row>
    <row r="667">
      <c r="A667" s="3"/>
    </row>
    <row r="668">
      <c r="A668" s="3"/>
    </row>
    <row r="669">
      <c r="A669" s="3"/>
    </row>
    <row r="670">
      <c r="A670" s="3"/>
    </row>
    <row r="671">
      <c r="A671" s="3"/>
    </row>
    <row r="672">
      <c r="A672" s="3"/>
    </row>
    <row r="673">
      <c r="A673" s="3"/>
    </row>
    <row r="674">
      <c r="A674" s="3"/>
    </row>
    <row r="675">
      <c r="A675" s="3"/>
    </row>
    <row r="676">
      <c r="A676" s="3"/>
    </row>
    <row r="677">
      <c r="A677" s="3"/>
    </row>
    <row r="678">
      <c r="A678" s="3"/>
    </row>
    <row r="679">
      <c r="A679" s="3"/>
    </row>
    <row r="680">
      <c r="A680" s="3"/>
    </row>
    <row r="681">
      <c r="A681" s="3"/>
    </row>
    <row r="682">
      <c r="A682" s="3"/>
    </row>
    <row r="683">
      <c r="A683" s="3"/>
    </row>
    <row r="684">
      <c r="A684" s="3"/>
    </row>
    <row r="685">
      <c r="A685" s="3"/>
    </row>
    <row r="686">
      <c r="A686" s="3"/>
    </row>
    <row r="687">
      <c r="A687" s="3"/>
    </row>
    <row r="688">
      <c r="A688" s="3"/>
    </row>
    <row r="689">
      <c r="A689" s="3"/>
    </row>
    <row r="690">
      <c r="A690" s="3"/>
    </row>
    <row r="691">
      <c r="A691" s="3"/>
    </row>
    <row r="692">
      <c r="A692" s="3"/>
    </row>
    <row r="693">
      <c r="A693" s="3"/>
    </row>
    <row r="694">
      <c r="A694" s="3"/>
    </row>
    <row r="695">
      <c r="A695" s="3"/>
    </row>
    <row r="696">
      <c r="A696" s="3"/>
    </row>
    <row r="697">
      <c r="A697" s="3"/>
    </row>
    <row r="698">
      <c r="A698" s="3"/>
    </row>
    <row r="699">
      <c r="A699" s="3"/>
    </row>
    <row r="700">
      <c r="A700" s="3"/>
    </row>
    <row r="701">
      <c r="A701" s="3"/>
    </row>
    <row r="702">
      <c r="A702" s="3"/>
    </row>
    <row r="703">
      <c r="A703" s="3"/>
    </row>
    <row r="704">
      <c r="A704" s="3"/>
    </row>
    <row r="705">
      <c r="A705" s="3"/>
    </row>
    <row r="706">
      <c r="A706" s="3"/>
    </row>
    <row r="707">
      <c r="A707" s="3"/>
    </row>
    <row r="708">
      <c r="A708" s="3"/>
    </row>
    <row r="709">
      <c r="A709" s="3"/>
    </row>
    <row r="710">
      <c r="A710" s="3"/>
    </row>
    <row r="711">
      <c r="A711" s="3"/>
    </row>
    <row r="712">
      <c r="A712" s="3"/>
    </row>
    <row r="713">
      <c r="A713" s="3"/>
    </row>
    <row r="714">
      <c r="A714" s="3"/>
    </row>
    <row r="715">
      <c r="A715" s="3"/>
    </row>
    <row r="716">
      <c r="A716" s="3"/>
    </row>
    <row r="717">
      <c r="A717" s="3"/>
    </row>
    <row r="718">
      <c r="A718" s="3"/>
    </row>
    <row r="719">
      <c r="A719" s="3"/>
    </row>
    <row r="720">
      <c r="A720" s="3"/>
    </row>
    <row r="721">
      <c r="A721" s="3"/>
    </row>
    <row r="722">
      <c r="A722" s="3"/>
    </row>
    <row r="723">
      <c r="A723" s="3"/>
    </row>
    <row r="724">
      <c r="A724" s="3"/>
    </row>
    <row r="725">
      <c r="A725" s="3"/>
    </row>
    <row r="726">
      <c r="A726" s="3"/>
    </row>
    <row r="727">
      <c r="A727" s="3"/>
    </row>
    <row r="728">
      <c r="A728" s="3"/>
    </row>
    <row r="729">
      <c r="A729" s="3"/>
    </row>
    <row r="730">
      <c r="A730" s="3"/>
    </row>
    <row r="731">
      <c r="A731" s="3"/>
    </row>
    <row r="732">
      <c r="A732" s="3"/>
    </row>
    <row r="733">
      <c r="A733" s="3"/>
    </row>
    <row r="734">
      <c r="A734" s="3"/>
    </row>
    <row r="735">
      <c r="A735" s="3"/>
    </row>
    <row r="736">
      <c r="A736" s="3"/>
    </row>
    <row r="737">
      <c r="A737" s="3"/>
    </row>
    <row r="738">
      <c r="A738" s="3"/>
    </row>
    <row r="739">
      <c r="A739" s="3"/>
    </row>
    <row r="740">
      <c r="A740" s="3"/>
    </row>
    <row r="741">
      <c r="A741" s="3"/>
    </row>
    <row r="742">
      <c r="A742" s="3"/>
    </row>
    <row r="743">
      <c r="A743" s="3"/>
    </row>
    <row r="744">
      <c r="A744" s="3"/>
    </row>
    <row r="745">
      <c r="A745" s="3"/>
    </row>
    <row r="746">
      <c r="A746" s="3"/>
    </row>
    <row r="747">
      <c r="A747" s="3"/>
    </row>
    <row r="748">
      <c r="A748" s="3"/>
    </row>
    <row r="749">
      <c r="A749" s="3"/>
    </row>
    <row r="750">
      <c r="A750" s="3"/>
    </row>
    <row r="751">
      <c r="A751" s="3"/>
    </row>
    <row r="752">
      <c r="A752" s="3"/>
    </row>
    <row r="753">
      <c r="A753" s="3"/>
    </row>
    <row r="754">
      <c r="A754" s="3"/>
    </row>
    <row r="755">
      <c r="A755" s="3"/>
    </row>
    <row r="756">
      <c r="A756" s="3"/>
    </row>
    <row r="757">
      <c r="A757" s="3"/>
    </row>
    <row r="758">
      <c r="A758" s="3"/>
    </row>
    <row r="759">
      <c r="A759" s="3"/>
    </row>
    <row r="760">
      <c r="A760" s="3"/>
    </row>
    <row r="761">
      <c r="A761" s="3"/>
    </row>
    <row r="762">
      <c r="A762" s="3"/>
    </row>
    <row r="763">
      <c r="A763" s="3"/>
    </row>
    <row r="764">
      <c r="A764" s="3"/>
    </row>
    <row r="765">
      <c r="A765" s="3"/>
    </row>
    <row r="766">
      <c r="A766" s="3"/>
    </row>
    <row r="767">
      <c r="A767" s="3"/>
    </row>
    <row r="768">
      <c r="A768" s="3"/>
    </row>
    <row r="769">
      <c r="A769" s="3"/>
    </row>
    <row r="770">
      <c r="A770" s="3"/>
    </row>
    <row r="771">
      <c r="A771" s="3"/>
    </row>
    <row r="772">
      <c r="A772" s="3"/>
    </row>
    <row r="773">
      <c r="A773" s="3"/>
    </row>
    <row r="774">
      <c r="A774" s="3"/>
    </row>
    <row r="775">
      <c r="A775" s="3"/>
    </row>
    <row r="776">
      <c r="A776" s="3"/>
    </row>
    <row r="777">
      <c r="A777" s="3"/>
    </row>
    <row r="778">
      <c r="A778" s="3"/>
    </row>
    <row r="779">
      <c r="A779" s="3"/>
    </row>
    <row r="780">
      <c r="A780" s="3"/>
    </row>
    <row r="781">
      <c r="A781" s="3"/>
    </row>
    <row r="782">
      <c r="A782" s="3"/>
    </row>
    <row r="783">
      <c r="A783" s="3"/>
    </row>
    <row r="784">
      <c r="A784" s="3"/>
    </row>
    <row r="785">
      <c r="A785" s="3"/>
    </row>
    <row r="786">
      <c r="A786" s="3"/>
    </row>
    <row r="787">
      <c r="A787" s="3"/>
    </row>
    <row r="788">
      <c r="A788" s="3"/>
    </row>
    <row r="789">
      <c r="A789" s="3"/>
    </row>
    <row r="790">
      <c r="A790" s="3"/>
    </row>
    <row r="791">
      <c r="A791" s="3"/>
    </row>
    <row r="792">
      <c r="A792" s="3"/>
    </row>
    <row r="793">
      <c r="A793" s="3"/>
    </row>
    <row r="794">
      <c r="A794" s="3"/>
    </row>
    <row r="795">
      <c r="A795" s="3"/>
    </row>
    <row r="796">
      <c r="A796" s="3"/>
    </row>
    <row r="797">
      <c r="A797" s="3"/>
    </row>
    <row r="798">
      <c r="A798" s="3"/>
    </row>
    <row r="799">
      <c r="A799" s="3"/>
    </row>
    <row r="800">
      <c r="A800" s="3"/>
    </row>
    <row r="801">
      <c r="A801" s="3"/>
    </row>
    <row r="802">
      <c r="A802" s="3"/>
    </row>
    <row r="803">
      <c r="A803" s="3"/>
    </row>
    <row r="804">
      <c r="A804" s="3"/>
    </row>
    <row r="805">
      <c r="A805" s="3"/>
    </row>
    <row r="806">
      <c r="A806" s="3"/>
    </row>
    <row r="807">
      <c r="A807" s="3"/>
    </row>
    <row r="808">
      <c r="A808" s="3"/>
    </row>
    <row r="809">
      <c r="A809" s="3"/>
    </row>
    <row r="810">
      <c r="A810" s="3"/>
    </row>
    <row r="811">
      <c r="A811" s="3"/>
    </row>
    <row r="812">
      <c r="A812" s="3"/>
    </row>
    <row r="813">
      <c r="A813" s="3"/>
    </row>
    <row r="814">
      <c r="A814" s="3"/>
    </row>
    <row r="815">
      <c r="A815" s="3"/>
    </row>
    <row r="816">
      <c r="A816" s="3"/>
    </row>
    <row r="817">
      <c r="A817" s="3"/>
    </row>
    <row r="818">
      <c r="A818" s="3"/>
    </row>
    <row r="819">
      <c r="A819" s="3"/>
    </row>
    <row r="820">
      <c r="A820" s="3"/>
    </row>
    <row r="821">
      <c r="A821" s="3"/>
    </row>
    <row r="822">
      <c r="A822" s="3"/>
    </row>
    <row r="823">
      <c r="A823" s="3"/>
    </row>
    <row r="824">
      <c r="A824" s="3"/>
    </row>
    <row r="825">
      <c r="A825" s="3"/>
    </row>
    <row r="826">
      <c r="A826" s="3"/>
    </row>
    <row r="827">
      <c r="A827" s="3"/>
    </row>
    <row r="828">
      <c r="A828" s="3"/>
    </row>
    <row r="829">
      <c r="A829" s="3"/>
    </row>
    <row r="830">
      <c r="A830" s="3"/>
    </row>
    <row r="831">
      <c r="A831" s="3"/>
    </row>
    <row r="832">
      <c r="A832" s="3"/>
    </row>
    <row r="833">
      <c r="A833" s="3"/>
    </row>
    <row r="834">
      <c r="A834" s="3"/>
    </row>
    <row r="835">
      <c r="A835" s="3"/>
    </row>
    <row r="836">
      <c r="A836" s="3"/>
    </row>
    <row r="837">
      <c r="A837" s="3"/>
    </row>
    <row r="838">
      <c r="A838" s="3"/>
    </row>
    <row r="839">
      <c r="A839" s="3"/>
    </row>
    <row r="840">
      <c r="A840" s="3"/>
    </row>
    <row r="841">
      <c r="A841" s="3"/>
    </row>
    <row r="842">
      <c r="A842" s="3"/>
    </row>
    <row r="843">
      <c r="A843" s="3"/>
    </row>
    <row r="844">
      <c r="A844" s="3"/>
    </row>
    <row r="845">
      <c r="A845" s="3"/>
    </row>
    <row r="846">
      <c r="A846" s="3"/>
    </row>
    <row r="847">
      <c r="A847" s="3"/>
    </row>
    <row r="848">
      <c r="A848" s="3"/>
    </row>
    <row r="849">
      <c r="A849" s="3"/>
    </row>
    <row r="850">
      <c r="A850" s="3"/>
    </row>
    <row r="851">
      <c r="A851" s="3"/>
    </row>
    <row r="852">
      <c r="A852" s="3"/>
    </row>
    <row r="853">
      <c r="A853" s="3"/>
    </row>
    <row r="854">
      <c r="A854" s="3"/>
    </row>
    <row r="855">
      <c r="A855" s="3"/>
    </row>
    <row r="856">
      <c r="A856" s="3"/>
    </row>
    <row r="857">
      <c r="A857" s="3"/>
    </row>
    <row r="858">
      <c r="A858" s="3"/>
    </row>
    <row r="859">
      <c r="A859" s="3"/>
    </row>
    <row r="860">
      <c r="A860" s="3"/>
    </row>
    <row r="861">
      <c r="A861" s="3"/>
    </row>
    <row r="862">
      <c r="A862" s="3"/>
    </row>
    <row r="863">
      <c r="A863" s="3"/>
    </row>
    <row r="864">
      <c r="A864" s="3"/>
    </row>
    <row r="865">
      <c r="A865" s="3"/>
    </row>
    <row r="866">
      <c r="A866" s="3"/>
    </row>
    <row r="867">
      <c r="A867" s="3"/>
    </row>
    <row r="868">
      <c r="A868" s="3"/>
    </row>
    <row r="869">
      <c r="A869" s="3"/>
    </row>
    <row r="870">
      <c r="A870" s="3"/>
    </row>
    <row r="871">
      <c r="A871" s="3"/>
    </row>
    <row r="872">
      <c r="A872" s="3"/>
    </row>
    <row r="873">
      <c r="A873" s="3"/>
    </row>
    <row r="874">
      <c r="A874" s="3"/>
    </row>
    <row r="875">
      <c r="A875" s="3"/>
    </row>
    <row r="876">
      <c r="A876" s="3"/>
    </row>
    <row r="877">
      <c r="A877" s="3"/>
    </row>
    <row r="878">
      <c r="A878" s="3"/>
    </row>
    <row r="879">
      <c r="A879" s="3"/>
    </row>
    <row r="880">
      <c r="A880" s="3"/>
    </row>
    <row r="881">
      <c r="A881" s="3"/>
    </row>
    <row r="882">
      <c r="A882" s="3"/>
    </row>
    <row r="883">
      <c r="A883" s="3"/>
    </row>
    <row r="884">
      <c r="A884" s="3"/>
    </row>
    <row r="885">
      <c r="A885" s="3"/>
    </row>
    <row r="886">
      <c r="A886" s="3"/>
    </row>
    <row r="887">
      <c r="A887" s="3"/>
    </row>
    <row r="888">
      <c r="A888" s="3"/>
    </row>
    <row r="889">
      <c r="A889" s="3"/>
    </row>
    <row r="890">
      <c r="A890" s="3"/>
    </row>
    <row r="891">
      <c r="A891" s="3"/>
    </row>
    <row r="892">
      <c r="A892" s="3"/>
    </row>
    <row r="893">
      <c r="A893" s="3"/>
    </row>
    <row r="894">
      <c r="A894" s="3"/>
    </row>
    <row r="895">
      <c r="A895" s="3"/>
    </row>
    <row r="896">
      <c r="A896" s="3"/>
    </row>
    <row r="897">
      <c r="A897" s="3"/>
    </row>
    <row r="898">
      <c r="A898" s="3"/>
    </row>
    <row r="899">
      <c r="A899" s="3"/>
    </row>
    <row r="900">
      <c r="A900" s="3"/>
    </row>
    <row r="901">
      <c r="A901" s="3"/>
    </row>
    <row r="902">
      <c r="A902" s="3"/>
    </row>
    <row r="903">
      <c r="A903" s="3"/>
    </row>
    <row r="904">
      <c r="A904" s="3"/>
    </row>
    <row r="905">
      <c r="A905" s="3"/>
    </row>
    <row r="906">
      <c r="A906" s="3"/>
    </row>
    <row r="907">
      <c r="A907" s="3"/>
    </row>
    <row r="908">
      <c r="A908" s="3"/>
    </row>
    <row r="909">
      <c r="A909" s="3"/>
    </row>
    <row r="910">
      <c r="A910" s="3"/>
    </row>
    <row r="911">
      <c r="A911" s="3"/>
    </row>
    <row r="912">
      <c r="A912" s="3"/>
    </row>
    <row r="913">
      <c r="A913" s="3"/>
    </row>
    <row r="914">
      <c r="A914" s="3"/>
    </row>
    <row r="915">
      <c r="A915" s="3"/>
    </row>
    <row r="916">
      <c r="A916" s="3"/>
    </row>
    <row r="917">
      <c r="A917" s="3"/>
    </row>
    <row r="918">
      <c r="A918" s="3"/>
    </row>
    <row r="919">
      <c r="A919" s="3"/>
    </row>
    <row r="920">
      <c r="A920" s="3"/>
    </row>
    <row r="921">
      <c r="A921" s="3"/>
    </row>
    <row r="922">
      <c r="A922" s="3"/>
    </row>
    <row r="923">
      <c r="A923" s="3"/>
    </row>
    <row r="924">
      <c r="A924" s="3"/>
    </row>
    <row r="925">
      <c r="A925" s="3"/>
    </row>
    <row r="926">
      <c r="A926" s="3"/>
    </row>
    <row r="927">
      <c r="A927" s="3"/>
    </row>
    <row r="928">
      <c r="A928" s="3"/>
    </row>
    <row r="929">
      <c r="A929" s="3"/>
    </row>
    <row r="930">
      <c r="A930" s="3"/>
    </row>
    <row r="931">
      <c r="A931" s="3"/>
    </row>
    <row r="932">
      <c r="A932" s="3"/>
    </row>
    <row r="933">
      <c r="A933" s="3"/>
    </row>
    <row r="934">
      <c r="A934" s="3"/>
    </row>
    <row r="935">
      <c r="A935" s="3"/>
    </row>
    <row r="936">
      <c r="A936" s="3"/>
    </row>
    <row r="937">
      <c r="A937" s="3"/>
    </row>
    <row r="938">
      <c r="A938" s="3"/>
    </row>
    <row r="939">
      <c r="A939" s="3"/>
    </row>
    <row r="940">
      <c r="A940" s="3"/>
    </row>
    <row r="941">
      <c r="A941" s="3"/>
    </row>
    <row r="942">
      <c r="A942" s="3"/>
    </row>
    <row r="943">
      <c r="A943" s="3"/>
    </row>
    <row r="944">
      <c r="A944" s="3"/>
    </row>
    <row r="945">
      <c r="A945" s="3"/>
    </row>
    <row r="946">
      <c r="A946" s="3"/>
    </row>
    <row r="947">
      <c r="A947" s="3"/>
    </row>
    <row r="948">
      <c r="A948" s="3"/>
    </row>
    <row r="949">
      <c r="A949" s="3"/>
    </row>
    <row r="950">
      <c r="A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row r="980">
      <c r="A980" s="3"/>
    </row>
    <row r="981">
      <c r="A981" s="3"/>
    </row>
    <row r="982">
      <c r="A982" s="3"/>
    </row>
    <row r="983">
      <c r="A983" s="3"/>
    </row>
    <row r="984">
      <c r="A984" s="3"/>
    </row>
    <row r="985">
      <c r="A985" s="3"/>
    </row>
    <row r="986">
      <c r="A986" s="3"/>
    </row>
    <row r="987">
      <c r="A987" s="3"/>
    </row>
    <row r="988">
      <c r="A988" s="3"/>
    </row>
    <row r="989">
      <c r="A989" s="3"/>
    </row>
    <row r="990">
      <c r="A990" s="3"/>
    </row>
    <row r="991">
      <c r="A991" s="3"/>
    </row>
    <row r="992">
      <c r="A992" s="3"/>
    </row>
    <row r="993">
      <c r="A993" s="3"/>
    </row>
    <row r="994">
      <c r="A994" s="3"/>
    </row>
    <row r="995">
      <c r="A995" s="3"/>
    </row>
    <row r="996">
      <c r="A996" s="3"/>
    </row>
    <row r="997">
      <c r="A997" s="3"/>
    </row>
    <row r="998">
      <c r="A998" s="3"/>
    </row>
    <row r="999">
      <c r="A999" s="3"/>
    </row>
    <row r="1000">
      <c r="A1000" s="3"/>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13"/>
    <col customWidth="1" min="3" max="3" width="11.5"/>
    <col customWidth="1" min="4" max="4" width="13.63"/>
    <col customWidth="1" min="5" max="5" width="21.88"/>
    <col customWidth="1" min="6" max="6" width="22.0"/>
    <col customWidth="1" min="7" max="7" width="17.5"/>
    <col customWidth="1" min="8" max="8" width="9.38"/>
  </cols>
  <sheetData>
    <row r="1" ht="22.5" customHeight="1">
      <c r="A1" s="4" t="s">
        <v>0</v>
      </c>
      <c r="B1" s="5" t="s">
        <v>1</v>
      </c>
      <c r="C1" s="5" t="s">
        <v>2</v>
      </c>
      <c r="D1" s="5" t="s">
        <v>3</v>
      </c>
      <c r="E1" s="5" t="s">
        <v>4</v>
      </c>
      <c r="F1" s="5" t="s">
        <v>5</v>
      </c>
      <c r="G1" s="5" t="s">
        <v>6</v>
      </c>
      <c r="H1" s="6" t="s">
        <v>41</v>
      </c>
      <c r="I1" s="5" t="s">
        <v>7</v>
      </c>
      <c r="J1" s="7"/>
      <c r="K1" s="7"/>
      <c r="L1" s="7"/>
      <c r="M1" s="7"/>
      <c r="N1" s="7"/>
      <c r="O1" s="7"/>
      <c r="P1" s="7"/>
      <c r="Q1" s="7"/>
      <c r="R1" s="7"/>
      <c r="S1" s="7"/>
      <c r="T1" s="7"/>
      <c r="U1" s="7"/>
      <c r="V1" s="7"/>
      <c r="W1" s="7"/>
      <c r="X1" s="7"/>
      <c r="Y1" s="7"/>
      <c r="Z1" s="7"/>
    </row>
    <row r="2" ht="22.5" customHeight="1">
      <c r="A2" s="8">
        <v>45660.0</v>
      </c>
      <c r="B2" s="9" t="s">
        <v>14</v>
      </c>
      <c r="C2" s="9" t="s">
        <v>9</v>
      </c>
      <c r="D2" s="9">
        <v>22.0</v>
      </c>
      <c r="E2" s="9" t="s">
        <v>10</v>
      </c>
      <c r="F2" s="9" t="s">
        <v>11</v>
      </c>
      <c r="G2" s="9" t="s">
        <v>12</v>
      </c>
      <c r="H2" s="9">
        <v>1.0</v>
      </c>
      <c r="I2" s="10" t="s">
        <v>42</v>
      </c>
    </row>
    <row r="3" ht="22.5" customHeight="1">
      <c r="A3" s="8">
        <v>45662.0</v>
      </c>
      <c r="B3" s="9" t="s">
        <v>8</v>
      </c>
      <c r="C3" s="9" t="s">
        <v>9</v>
      </c>
      <c r="D3" s="9">
        <v>14.0</v>
      </c>
      <c r="E3" s="9" t="s">
        <v>10</v>
      </c>
      <c r="F3" s="9" t="s">
        <v>11</v>
      </c>
      <c r="G3" s="9" t="s">
        <v>12</v>
      </c>
      <c r="H3" s="9">
        <v>1.0</v>
      </c>
      <c r="I3" s="10" t="s">
        <v>43</v>
      </c>
    </row>
    <row r="4" ht="22.5" customHeight="1">
      <c r="A4" s="8">
        <v>45663.0</v>
      </c>
      <c r="B4" s="9" t="s">
        <v>8</v>
      </c>
      <c r="C4" s="9" t="s">
        <v>9</v>
      </c>
      <c r="D4" s="9">
        <v>14.0</v>
      </c>
      <c r="E4" s="9" t="s">
        <v>10</v>
      </c>
      <c r="F4" s="9" t="s">
        <v>11</v>
      </c>
      <c r="G4" s="9" t="s">
        <v>12</v>
      </c>
      <c r="H4" s="9">
        <v>1.0</v>
      </c>
      <c r="I4" s="10" t="s">
        <v>44</v>
      </c>
    </row>
    <row r="5" ht="22.5" customHeight="1">
      <c r="A5" s="8">
        <v>45664.0</v>
      </c>
      <c r="B5" s="9" t="s">
        <v>14</v>
      </c>
      <c r="C5" s="9" t="s">
        <v>9</v>
      </c>
      <c r="D5" s="9">
        <v>21.0</v>
      </c>
      <c r="E5" s="9" t="s">
        <v>10</v>
      </c>
      <c r="F5" s="9" t="s">
        <v>15</v>
      </c>
      <c r="G5" s="9" t="s">
        <v>12</v>
      </c>
      <c r="H5" s="9">
        <v>1.0</v>
      </c>
      <c r="I5" s="10" t="s">
        <v>45</v>
      </c>
    </row>
    <row r="6" ht="22.5" customHeight="1">
      <c r="A6" s="8">
        <v>45665.0</v>
      </c>
      <c r="B6" s="9" t="s">
        <v>17</v>
      </c>
      <c r="C6" s="9" t="s">
        <v>9</v>
      </c>
      <c r="D6" s="9">
        <v>10.0</v>
      </c>
      <c r="E6" s="9" t="s">
        <v>10</v>
      </c>
      <c r="F6" s="9" t="s">
        <v>11</v>
      </c>
      <c r="G6" s="9" t="s">
        <v>12</v>
      </c>
      <c r="H6" s="9">
        <v>1.0</v>
      </c>
      <c r="I6" s="10" t="s">
        <v>46</v>
      </c>
    </row>
    <row r="7" ht="22.5" customHeight="1">
      <c r="A7" s="8">
        <v>45666.0</v>
      </c>
      <c r="B7" s="9" t="s">
        <v>19</v>
      </c>
      <c r="C7" s="9" t="s">
        <v>9</v>
      </c>
      <c r="D7" s="9">
        <v>7.0</v>
      </c>
      <c r="E7" s="9" t="s">
        <v>10</v>
      </c>
      <c r="F7" s="9" t="s">
        <v>15</v>
      </c>
      <c r="G7" s="9" t="s">
        <v>12</v>
      </c>
      <c r="H7" s="9">
        <v>1.0</v>
      </c>
      <c r="I7" s="10" t="s">
        <v>47</v>
      </c>
    </row>
    <row r="8" ht="22.5" customHeight="1">
      <c r="A8" s="8">
        <v>45667.0</v>
      </c>
      <c r="B8" s="9" t="s">
        <v>19</v>
      </c>
      <c r="C8" s="9" t="s">
        <v>9</v>
      </c>
      <c r="D8" s="9">
        <v>7.0</v>
      </c>
      <c r="E8" s="9" t="s">
        <v>10</v>
      </c>
      <c r="F8" s="9" t="s">
        <v>11</v>
      </c>
      <c r="G8" s="9" t="s">
        <v>12</v>
      </c>
      <c r="H8" s="9">
        <v>1.0</v>
      </c>
      <c r="I8" s="10" t="s">
        <v>42</v>
      </c>
    </row>
    <row r="9" ht="22.5" customHeight="1">
      <c r="A9" s="8">
        <v>45668.0</v>
      </c>
      <c r="B9" s="9" t="s">
        <v>17</v>
      </c>
      <c r="C9" s="9" t="s">
        <v>9</v>
      </c>
      <c r="D9" s="9">
        <v>9.0</v>
      </c>
      <c r="E9" s="9" t="s">
        <v>10</v>
      </c>
      <c r="F9" s="9" t="s">
        <v>11</v>
      </c>
      <c r="G9" s="9" t="s">
        <v>12</v>
      </c>
      <c r="H9" s="9">
        <v>1.0</v>
      </c>
      <c r="I9" s="10" t="s">
        <v>48</v>
      </c>
    </row>
    <row r="10" ht="22.5" customHeight="1">
      <c r="A10" s="8">
        <v>45669.0</v>
      </c>
      <c r="B10" s="9" t="s">
        <v>8</v>
      </c>
      <c r="C10" s="9" t="s">
        <v>21</v>
      </c>
      <c r="D10" s="9">
        <v>15.0</v>
      </c>
      <c r="E10" s="9" t="s">
        <v>22</v>
      </c>
      <c r="F10" s="9" t="s">
        <v>15</v>
      </c>
      <c r="G10" s="9" t="s">
        <v>12</v>
      </c>
      <c r="H10" s="9">
        <v>1.0</v>
      </c>
      <c r="I10" s="10" t="s">
        <v>43</v>
      </c>
    </row>
    <row r="11" ht="22.5" customHeight="1">
      <c r="A11" s="8">
        <v>45670.0</v>
      </c>
      <c r="B11" s="9" t="s">
        <v>8</v>
      </c>
      <c r="C11" s="9" t="s">
        <v>21</v>
      </c>
      <c r="D11" s="9">
        <v>14.0</v>
      </c>
      <c r="E11" s="9" t="s">
        <v>10</v>
      </c>
      <c r="F11" s="9" t="s">
        <v>11</v>
      </c>
      <c r="G11" s="9" t="s">
        <v>12</v>
      </c>
      <c r="H11" s="9">
        <v>1.0</v>
      </c>
      <c r="I11" s="10" t="s">
        <v>44</v>
      </c>
    </row>
    <row r="12" ht="22.5" customHeight="1">
      <c r="A12" s="8">
        <v>45671.0</v>
      </c>
      <c r="B12" s="9" t="s">
        <v>8</v>
      </c>
      <c r="C12" s="9" t="s">
        <v>9</v>
      </c>
      <c r="D12" s="9">
        <v>14.0</v>
      </c>
      <c r="E12" s="9" t="s">
        <v>10</v>
      </c>
      <c r="F12" s="9" t="s">
        <v>11</v>
      </c>
      <c r="G12" s="9" t="s">
        <v>12</v>
      </c>
      <c r="H12" s="9">
        <v>1.0</v>
      </c>
      <c r="I12" s="10" t="s">
        <v>45</v>
      </c>
    </row>
    <row r="13" ht="22.5" customHeight="1">
      <c r="A13" s="8">
        <v>45672.0</v>
      </c>
      <c r="B13" s="9" t="s">
        <v>23</v>
      </c>
      <c r="C13" s="9" t="s">
        <v>9</v>
      </c>
      <c r="D13" s="9">
        <v>18.0</v>
      </c>
      <c r="E13" s="9" t="s">
        <v>10</v>
      </c>
      <c r="F13" s="9" t="s">
        <v>15</v>
      </c>
      <c r="G13" s="9" t="s">
        <v>12</v>
      </c>
      <c r="H13" s="9">
        <v>1.0</v>
      </c>
      <c r="I13" s="10" t="s">
        <v>46</v>
      </c>
    </row>
    <row r="14" ht="22.5" customHeight="1">
      <c r="A14" s="8">
        <v>45673.0</v>
      </c>
      <c r="B14" s="9" t="s">
        <v>23</v>
      </c>
      <c r="C14" s="9" t="s">
        <v>9</v>
      </c>
      <c r="D14" s="9">
        <v>20.0</v>
      </c>
      <c r="E14" s="9" t="s">
        <v>10</v>
      </c>
      <c r="F14" s="9" t="s">
        <v>15</v>
      </c>
      <c r="G14" s="9" t="s">
        <v>12</v>
      </c>
      <c r="H14" s="9">
        <v>1.0</v>
      </c>
      <c r="I14" s="10" t="s">
        <v>47</v>
      </c>
    </row>
    <row r="15" ht="22.5" customHeight="1">
      <c r="A15" s="8">
        <v>45674.0</v>
      </c>
      <c r="B15" s="9" t="s">
        <v>14</v>
      </c>
      <c r="C15" s="9" t="s">
        <v>24</v>
      </c>
      <c r="D15" s="9">
        <v>25.0</v>
      </c>
      <c r="E15" s="9" t="s">
        <v>10</v>
      </c>
      <c r="F15" s="9" t="s">
        <v>11</v>
      </c>
      <c r="G15" s="9" t="s">
        <v>12</v>
      </c>
      <c r="H15" s="9">
        <v>1.0</v>
      </c>
      <c r="I15" s="10" t="s">
        <v>42</v>
      </c>
    </row>
    <row r="16" ht="22.5" customHeight="1">
      <c r="A16" s="8">
        <v>45675.0</v>
      </c>
      <c r="B16" s="9" t="s">
        <v>17</v>
      </c>
      <c r="C16" s="9" t="s">
        <v>24</v>
      </c>
      <c r="D16" s="9">
        <v>11.0</v>
      </c>
      <c r="E16" s="9" t="s">
        <v>10</v>
      </c>
      <c r="F16" s="9" t="s">
        <v>11</v>
      </c>
      <c r="G16" s="9" t="s">
        <v>12</v>
      </c>
      <c r="H16" s="9">
        <v>1.0</v>
      </c>
      <c r="I16" s="10" t="s">
        <v>48</v>
      </c>
    </row>
    <row r="17" ht="22.5" customHeight="1">
      <c r="A17" s="8">
        <v>45676.0</v>
      </c>
      <c r="B17" s="9" t="s">
        <v>17</v>
      </c>
      <c r="C17" s="9" t="s">
        <v>9</v>
      </c>
      <c r="D17" s="9">
        <v>8.0</v>
      </c>
      <c r="E17" s="9" t="s">
        <v>10</v>
      </c>
      <c r="F17" s="9" t="s">
        <v>11</v>
      </c>
      <c r="G17" s="9" t="s">
        <v>12</v>
      </c>
      <c r="H17" s="9">
        <v>1.0</v>
      </c>
      <c r="I17" s="10" t="s">
        <v>43</v>
      </c>
    </row>
    <row r="18" ht="22.5" customHeight="1">
      <c r="A18" s="8">
        <v>45677.0</v>
      </c>
      <c r="B18" s="9" t="s">
        <v>8</v>
      </c>
      <c r="C18" s="9" t="s">
        <v>9</v>
      </c>
      <c r="D18" s="9">
        <v>14.0</v>
      </c>
      <c r="E18" s="9" t="s">
        <v>10</v>
      </c>
      <c r="F18" s="9" t="s">
        <v>11</v>
      </c>
      <c r="G18" s="9" t="s">
        <v>12</v>
      </c>
      <c r="H18" s="9">
        <v>1.0</v>
      </c>
      <c r="I18" s="10" t="s">
        <v>44</v>
      </c>
    </row>
    <row r="19" ht="22.5" customHeight="1">
      <c r="A19" s="8">
        <v>45678.0</v>
      </c>
      <c r="B19" s="9" t="s">
        <v>8</v>
      </c>
      <c r="C19" s="9" t="s">
        <v>9</v>
      </c>
      <c r="D19" s="9">
        <v>14.0</v>
      </c>
      <c r="E19" s="9" t="s">
        <v>10</v>
      </c>
      <c r="F19" s="9" t="s">
        <v>15</v>
      </c>
      <c r="G19" s="9" t="s">
        <v>12</v>
      </c>
      <c r="H19" s="9">
        <v>1.0</v>
      </c>
      <c r="I19" s="10" t="s">
        <v>45</v>
      </c>
    </row>
    <row r="20" ht="22.5" customHeight="1">
      <c r="A20" s="8">
        <v>45679.0</v>
      </c>
      <c r="B20" s="9" t="s">
        <v>25</v>
      </c>
      <c r="C20" s="9" t="s">
        <v>9</v>
      </c>
      <c r="D20" s="9">
        <v>30.0</v>
      </c>
      <c r="E20" s="9" t="s">
        <v>22</v>
      </c>
      <c r="F20" s="9" t="s">
        <v>11</v>
      </c>
      <c r="G20" s="9" t="s">
        <v>12</v>
      </c>
      <c r="H20" s="9">
        <v>1.0</v>
      </c>
      <c r="I20" s="10" t="s">
        <v>46</v>
      </c>
    </row>
    <row r="21" ht="22.5" customHeight="1">
      <c r="A21" s="8">
        <v>45680.0</v>
      </c>
      <c r="B21" s="9" t="s">
        <v>14</v>
      </c>
      <c r="C21" s="9" t="s">
        <v>9</v>
      </c>
      <c r="D21" s="9">
        <v>24.0</v>
      </c>
      <c r="E21" s="9" t="s">
        <v>10</v>
      </c>
      <c r="F21" s="9" t="s">
        <v>15</v>
      </c>
      <c r="G21" s="9" t="s">
        <v>12</v>
      </c>
      <c r="H21" s="9">
        <v>1.0</v>
      </c>
      <c r="I21" s="10" t="s">
        <v>47</v>
      </c>
    </row>
    <row r="22" ht="22.5" customHeight="1">
      <c r="A22" s="8">
        <v>45681.0</v>
      </c>
      <c r="B22" s="9" t="s">
        <v>8</v>
      </c>
      <c r="C22" s="9" t="s">
        <v>21</v>
      </c>
      <c r="D22" s="9">
        <v>14.0</v>
      </c>
      <c r="E22" s="9" t="s">
        <v>10</v>
      </c>
      <c r="F22" s="9" t="s">
        <v>11</v>
      </c>
      <c r="G22" s="9" t="s">
        <v>12</v>
      </c>
      <c r="H22" s="9">
        <v>1.0</v>
      </c>
      <c r="I22" s="10" t="s">
        <v>42</v>
      </c>
    </row>
    <row r="23" ht="22.5" customHeight="1">
      <c r="A23" s="8">
        <v>45682.0</v>
      </c>
      <c r="B23" s="9" t="s">
        <v>19</v>
      </c>
      <c r="C23" s="9" t="s">
        <v>9</v>
      </c>
      <c r="D23" s="9">
        <v>7.0</v>
      </c>
      <c r="E23" s="9" t="s">
        <v>10</v>
      </c>
      <c r="F23" s="9" t="s">
        <v>11</v>
      </c>
      <c r="G23" s="9" t="s">
        <v>12</v>
      </c>
      <c r="H23" s="9">
        <v>1.0</v>
      </c>
      <c r="I23" s="10" t="s">
        <v>48</v>
      </c>
    </row>
    <row r="24" ht="22.5" customHeight="1">
      <c r="A24" s="8">
        <v>45683.0</v>
      </c>
      <c r="B24" s="9" t="s">
        <v>19</v>
      </c>
      <c r="C24" s="9" t="s">
        <v>9</v>
      </c>
      <c r="D24" s="9">
        <v>7.0</v>
      </c>
      <c r="E24" s="9" t="s">
        <v>10</v>
      </c>
      <c r="F24" s="9" t="s">
        <v>15</v>
      </c>
      <c r="G24" s="9" t="s">
        <v>12</v>
      </c>
      <c r="H24" s="9">
        <v>1.0</v>
      </c>
      <c r="I24" s="10" t="s">
        <v>43</v>
      </c>
    </row>
    <row r="25" ht="22.5" customHeight="1">
      <c r="A25" s="8">
        <v>45684.0</v>
      </c>
      <c r="B25" s="9" t="s">
        <v>8</v>
      </c>
      <c r="C25" s="9" t="s">
        <v>9</v>
      </c>
      <c r="D25" s="9">
        <v>14.0</v>
      </c>
      <c r="E25" s="9" t="s">
        <v>10</v>
      </c>
      <c r="F25" s="9" t="s">
        <v>11</v>
      </c>
      <c r="G25" s="9" t="s">
        <v>12</v>
      </c>
      <c r="H25" s="9">
        <v>1.0</v>
      </c>
      <c r="I25" s="10" t="s">
        <v>44</v>
      </c>
    </row>
    <row r="26" ht="22.5" customHeight="1">
      <c r="A26" s="8">
        <v>45685.0</v>
      </c>
      <c r="B26" s="9" t="s">
        <v>8</v>
      </c>
      <c r="C26" s="9" t="s">
        <v>9</v>
      </c>
      <c r="D26" s="9">
        <v>16.0</v>
      </c>
      <c r="E26" s="9" t="s">
        <v>10</v>
      </c>
      <c r="F26" s="9" t="s">
        <v>11</v>
      </c>
      <c r="G26" s="9" t="s">
        <v>12</v>
      </c>
      <c r="H26" s="9">
        <v>1.0</v>
      </c>
      <c r="I26" s="10" t="s">
        <v>45</v>
      </c>
    </row>
    <row r="27" ht="22.5" customHeight="1">
      <c r="A27" s="8">
        <v>45686.0</v>
      </c>
      <c r="B27" s="9" t="s">
        <v>17</v>
      </c>
      <c r="C27" s="9" t="s">
        <v>9</v>
      </c>
      <c r="D27" s="9">
        <v>9.0</v>
      </c>
      <c r="E27" s="9" t="s">
        <v>10</v>
      </c>
      <c r="F27" s="9" t="s">
        <v>11</v>
      </c>
      <c r="G27" s="9" t="s">
        <v>12</v>
      </c>
      <c r="H27" s="9">
        <v>1.0</v>
      </c>
      <c r="I27" s="10" t="s">
        <v>46</v>
      </c>
    </row>
    <row r="28" ht="22.5" customHeight="1">
      <c r="A28" s="8">
        <v>45687.0</v>
      </c>
      <c r="B28" s="9" t="s">
        <v>26</v>
      </c>
      <c r="C28" s="9" t="s">
        <v>21</v>
      </c>
      <c r="D28" s="9">
        <v>27.0</v>
      </c>
      <c r="E28" s="9" t="s">
        <v>22</v>
      </c>
      <c r="F28" s="9" t="s">
        <v>15</v>
      </c>
      <c r="G28" s="9" t="s">
        <v>12</v>
      </c>
      <c r="H28" s="9">
        <v>1.0</v>
      </c>
      <c r="I28" s="10" t="s">
        <v>47</v>
      </c>
    </row>
    <row r="29" ht="22.5" customHeight="1">
      <c r="A29" s="8">
        <v>45688.0</v>
      </c>
      <c r="B29" s="9" t="s">
        <v>26</v>
      </c>
      <c r="C29" s="9" t="s">
        <v>9</v>
      </c>
      <c r="D29" s="9">
        <v>21.0</v>
      </c>
      <c r="E29" s="9" t="s">
        <v>10</v>
      </c>
      <c r="F29" s="9" t="s">
        <v>15</v>
      </c>
      <c r="G29" s="9" t="s">
        <v>12</v>
      </c>
      <c r="H29" s="9">
        <v>1.0</v>
      </c>
      <c r="I29" s="10" t="s">
        <v>42</v>
      </c>
    </row>
    <row r="30" ht="22.5" customHeight="1">
      <c r="A30" s="8">
        <v>45689.0</v>
      </c>
      <c r="B30" s="9" t="s">
        <v>17</v>
      </c>
      <c r="C30" s="9" t="s">
        <v>9</v>
      </c>
      <c r="D30" s="9">
        <v>10.0</v>
      </c>
      <c r="E30" s="9" t="s">
        <v>10</v>
      </c>
      <c r="F30" s="9" t="s">
        <v>11</v>
      </c>
      <c r="G30" s="9" t="s">
        <v>27</v>
      </c>
      <c r="H30" s="9">
        <v>2.0</v>
      </c>
      <c r="I30" s="10" t="s">
        <v>48</v>
      </c>
    </row>
    <row r="31" ht="22.5" customHeight="1">
      <c r="A31" s="8">
        <v>45690.0</v>
      </c>
      <c r="B31" s="9" t="s">
        <v>8</v>
      </c>
      <c r="C31" s="9" t="s">
        <v>9</v>
      </c>
      <c r="D31" s="9">
        <v>14.0</v>
      </c>
      <c r="E31" s="9" t="s">
        <v>10</v>
      </c>
      <c r="F31" s="9" t="s">
        <v>11</v>
      </c>
      <c r="G31" s="9" t="s">
        <v>27</v>
      </c>
      <c r="H31" s="9">
        <v>2.0</v>
      </c>
      <c r="I31" s="10" t="s">
        <v>43</v>
      </c>
    </row>
    <row r="32" ht="22.5" customHeight="1">
      <c r="A32" s="8">
        <v>45691.0</v>
      </c>
      <c r="B32" s="9" t="s">
        <v>8</v>
      </c>
      <c r="C32" s="9" t="s">
        <v>9</v>
      </c>
      <c r="D32" s="9">
        <v>14.0</v>
      </c>
      <c r="E32" s="9" t="s">
        <v>10</v>
      </c>
      <c r="F32" s="9" t="s">
        <v>11</v>
      </c>
      <c r="G32" s="9" t="s">
        <v>27</v>
      </c>
      <c r="H32" s="9">
        <v>2.0</v>
      </c>
      <c r="I32" s="10" t="s">
        <v>44</v>
      </c>
    </row>
    <row r="33" ht="22.5" customHeight="1">
      <c r="A33" s="8">
        <v>45692.0</v>
      </c>
      <c r="B33" s="9" t="s">
        <v>17</v>
      </c>
      <c r="C33" s="9" t="s">
        <v>24</v>
      </c>
      <c r="D33" s="9">
        <v>12.0</v>
      </c>
      <c r="E33" s="9" t="s">
        <v>10</v>
      </c>
      <c r="F33" s="9" t="s">
        <v>11</v>
      </c>
      <c r="G33" s="9" t="s">
        <v>27</v>
      </c>
      <c r="H33" s="9">
        <v>2.0</v>
      </c>
      <c r="I33" s="10" t="s">
        <v>45</v>
      </c>
    </row>
    <row r="34" ht="22.5" customHeight="1">
      <c r="A34" s="8">
        <v>45693.0</v>
      </c>
      <c r="B34" s="9" t="s">
        <v>8</v>
      </c>
      <c r="C34" s="9" t="s">
        <v>9</v>
      </c>
      <c r="D34" s="9">
        <v>14.0</v>
      </c>
      <c r="E34" s="9" t="s">
        <v>10</v>
      </c>
      <c r="F34" s="9" t="s">
        <v>15</v>
      </c>
      <c r="G34" s="9" t="s">
        <v>27</v>
      </c>
      <c r="H34" s="9">
        <v>2.0</v>
      </c>
      <c r="I34" s="10" t="s">
        <v>46</v>
      </c>
    </row>
    <row r="35" ht="22.5" customHeight="1">
      <c r="A35" s="8">
        <v>45694.0</v>
      </c>
      <c r="B35" s="9" t="s">
        <v>14</v>
      </c>
      <c r="C35" s="9" t="s">
        <v>24</v>
      </c>
      <c r="D35" s="9">
        <v>21.0</v>
      </c>
      <c r="E35" s="9" t="s">
        <v>10</v>
      </c>
      <c r="F35" s="9" t="s">
        <v>15</v>
      </c>
      <c r="G35" s="9" t="s">
        <v>27</v>
      </c>
      <c r="H35" s="9">
        <v>2.0</v>
      </c>
      <c r="I35" s="10" t="s">
        <v>47</v>
      </c>
    </row>
    <row r="36" ht="22.5" customHeight="1">
      <c r="A36" s="8">
        <v>45695.0</v>
      </c>
      <c r="B36" s="9" t="s">
        <v>14</v>
      </c>
      <c r="C36" s="9" t="s">
        <v>9</v>
      </c>
      <c r="D36" s="9">
        <v>28.0</v>
      </c>
      <c r="E36" s="9" t="s">
        <v>22</v>
      </c>
      <c r="F36" s="9" t="s">
        <v>11</v>
      </c>
      <c r="G36" s="9" t="s">
        <v>27</v>
      </c>
      <c r="H36" s="9">
        <v>2.0</v>
      </c>
      <c r="I36" s="10" t="s">
        <v>42</v>
      </c>
    </row>
    <row r="37" ht="22.5" customHeight="1">
      <c r="A37" s="8">
        <v>45696.0</v>
      </c>
      <c r="B37" s="9" t="s">
        <v>19</v>
      </c>
      <c r="C37" s="9" t="s">
        <v>9</v>
      </c>
      <c r="D37" s="9">
        <v>7.0</v>
      </c>
      <c r="E37" s="9" t="s">
        <v>10</v>
      </c>
      <c r="F37" s="9" t="s">
        <v>11</v>
      </c>
      <c r="G37" s="9" t="s">
        <v>27</v>
      </c>
      <c r="H37" s="9">
        <v>2.0</v>
      </c>
      <c r="I37" s="10" t="s">
        <v>48</v>
      </c>
    </row>
    <row r="38" ht="22.5" customHeight="1">
      <c r="A38" s="8">
        <v>45697.0</v>
      </c>
      <c r="B38" s="9" t="s">
        <v>19</v>
      </c>
      <c r="C38" s="9" t="s">
        <v>9</v>
      </c>
      <c r="D38" s="9">
        <v>7.0</v>
      </c>
      <c r="E38" s="9" t="s">
        <v>10</v>
      </c>
      <c r="F38" s="9" t="s">
        <v>11</v>
      </c>
      <c r="G38" s="9" t="s">
        <v>27</v>
      </c>
      <c r="H38" s="9">
        <v>2.0</v>
      </c>
      <c r="I38" s="10" t="s">
        <v>43</v>
      </c>
    </row>
    <row r="39" ht="22.5" customHeight="1">
      <c r="A39" s="8">
        <v>45698.0</v>
      </c>
      <c r="B39" s="9" t="s">
        <v>8</v>
      </c>
      <c r="C39" s="9" t="s">
        <v>9</v>
      </c>
      <c r="D39" s="9">
        <v>14.0</v>
      </c>
      <c r="E39" s="9" t="s">
        <v>10</v>
      </c>
      <c r="F39" s="9" t="s">
        <v>11</v>
      </c>
      <c r="G39" s="9" t="s">
        <v>27</v>
      </c>
      <c r="H39" s="9">
        <v>2.0</v>
      </c>
      <c r="I39" s="10" t="s">
        <v>44</v>
      </c>
    </row>
    <row r="40" ht="22.5" customHeight="1">
      <c r="A40" s="8">
        <v>45699.0</v>
      </c>
      <c r="B40" s="9" t="s">
        <v>8</v>
      </c>
      <c r="C40" s="9" t="s">
        <v>21</v>
      </c>
      <c r="D40" s="9">
        <v>14.0</v>
      </c>
      <c r="E40" s="9" t="s">
        <v>10</v>
      </c>
      <c r="F40" s="9" t="s">
        <v>15</v>
      </c>
      <c r="G40" s="9" t="s">
        <v>27</v>
      </c>
      <c r="H40" s="9">
        <v>2.0</v>
      </c>
      <c r="I40" s="10" t="s">
        <v>45</v>
      </c>
    </row>
    <row r="41" ht="22.5" customHeight="1">
      <c r="A41" s="8">
        <v>45700.0</v>
      </c>
      <c r="B41" s="9" t="s">
        <v>17</v>
      </c>
      <c r="C41" s="9" t="s">
        <v>9</v>
      </c>
      <c r="D41" s="9">
        <v>10.0</v>
      </c>
      <c r="E41" s="9" t="s">
        <v>10</v>
      </c>
      <c r="F41" s="9" t="s">
        <v>11</v>
      </c>
      <c r="G41" s="9" t="s">
        <v>27</v>
      </c>
      <c r="H41" s="9">
        <v>2.0</v>
      </c>
      <c r="I41" s="10" t="s">
        <v>46</v>
      </c>
    </row>
    <row r="42" ht="22.5" customHeight="1">
      <c r="A42" s="8">
        <v>45701.0</v>
      </c>
      <c r="B42" s="9" t="s">
        <v>17</v>
      </c>
      <c r="C42" s="9" t="s">
        <v>9</v>
      </c>
      <c r="D42" s="9">
        <v>12.0</v>
      </c>
      <c r="E42" s="9" t="s">
        <v>10</v>
      </c>
      <c r="F42" s="9" t="s">
        <v>15</v>
      </c>
      <c r="G42" s="9" t="s">
        <v>27</v>
      </c>
      <c r="H42" s="9">
        <v>2.0</v>
      </c>
      <c r="I42" s="10" t="s">
        <v>47</v>
      </c>
    </row>
    <row r="43" ht="22.5" customHeight="1">
      <c r="A43" s="8">
        <v>45702.0</v>
      </c>
      <c r="B43" s="9" t="s">
        <v>8</v>
      </c>
      <c r="C43" s="9" t="s">
        <v>9</v>
      </c>
      <c r="D43" s="9">
        <v>14.0</v>
      </c>
      <c r="E43" s="9" t="s">
        <v>10</v>
      </c>
      <c r="F43" s="9" t="s">
        <v>11</v>
      </c>
      <c r="G43" s="9" t="s">
        <v>27</v>
      </c>
      <c r="H43" s="9">
        <v>2.0</v>
      </c>
      <c r="I43" s="10" t="s">
        <v>42</v>
      </c>
    </row>
    <row r="44" ht="22.5" customHeight="1">
      <c r="A44" s="8">
        <v>45703.0</v>
      </c>
      <c r="B44" s="9" t="s">
        <v>8</v>
      </c>
      <c r="C44" s="9" t="s">
        <v>21</v>
      </c>
      <c r="D44" s="9">
        <v>15.0</v>
      </c>
      <c r="E44" s="9" t="s">
        <v>10</v>
      </c>
      <c r="F44" s="9" t="s">
        <v>11</v>
      </c>
      <c r="G44" s="9" t="s">
        <v>27</v>
      </c>
      <c r="H44" s="9">
        <v>2.0</v>
      </c>
      <c r="I44" s="10" t="s">
        <v>48</v>
      </c>
    </row>
    <row r="45" ht="22.5" customHeight="1">
      <c r="A45" s="8">
        <v>45704.0</v>
      </c>
      <c r="B45" s="9" t="s">
        <v>23</v>
      </c>
      <c r="C45" s="9" t="s">
        <v>9</v>
      </c>
      <c r="D45" s="9">
        <v>21.0</v>
      </c>
      <c r="E45" s="9" t="s">
        <v>10</v>
      </c>
      <c r="F45" s="9" t="s">
        <v>15</v>
      </c>
      <c r="G45" s="9" t="s">
        <v>27</v>
      </c>
      <c r="H45" s="9">
        <v>2.0</v>
      </c>
      <c r="I45" s="10" t="s">
        <v>43</v>
      </c>
    </row>
    <row r="46" ht="22.5" customHeight="1">
      <c r="A46" s="8">
        <v>45705.0</v>
      </c>
      <c r="B46" s="9" t="s">
        <v>23</v>
      </c>
      <c r="C46" s="9" t="s">
        <v>9</v>
      </c>
      <c r="D46" s="9">
        <v>19.0</v>
      </c>
      <c r="E46" s="9" t="s">
        <v>10</v>
      </c>
      <c r="F46" s="9" t="s">
        <v>11</v>
      </c>
      <c r="G46" s="9" t="s">
        <v>27</v>
      </c>
      <c r="H46" s="9">
        <v>2.0</v>
      </c>
      <c r="I46" s="10" t="s">
        <v>44</v>
      </c>
    </row>
    <row r="47" ht="22.5" customHeight="1">
      <c r="A47" s="8">
        <v>45706.0</v>
      </c>
      <c r="B47" s="9" t="s">
        <v>14</v>
      </c>
      <c r="C47" s="9" t="s">
        <v>9</v>
      </c>
      <c r="D47" s="9">
        <v>23.0</v>
      </c>
      <c r="E47" s="9" t="s">
        <v>10</v>
      </c>
      <c r="F47" s="9" t="s">
        <v>11</v>
      </c>
      <c r="G47" s="9" t="s">
        <v>27</v>
      </c>
      <c r="H47" s="9">
        <v>2.0</v>
      </c>
      <c r="I47" s="10" t="s">
        <v>45</v>
      </c>
    </row>
    <row r="48" ht="22.5" customHeight="1">
      <c r="A48" s="8">
        <v>45707.0</v>
      </c>
      <c r="B48" s="9" t="s">
        <v>8</v>
      </c>
      <c r="C48" s="9" t="s">
        <v>9</v>
      </c>
      <c r="D48" s="9">
        <v>15.0</v>
      </c>
      <c r="E48" s="9" t="s">
        <v>10</v>
      </c>
      <c r="F48" s="9" t="s">
        <v>11</v>
      </c>
      <c r="G48" s="9" t="s">
        <v>27</v>
      </c>
      <c r="H48" s="9">
        <v>2.0</v>
      </c>
      <c r="I48" s="10" t="s">
        <v>46</v>
      </c>
    </row>
    <row r="49" ht="22.5" customHeight="1">
      <c r="A49" s="8">
        <v>45708.0</v>
      </c>
      <c r="B49" s="9" t="s">
        <v>14</v>
      </c>
      <c r="C49" s="9" t="s">
        <v>9</v>
      </c>
      <c r="D49" s="9">
        <v>22.0</v>
      </c>
      <c r="E49" s="9" t="s">
        <v>10</v>
      </c>
      <c r="F49" s="9" t="s">
        <v>15</v>
      </c>
      <c r="G49" s="9" t="s">
        <v>27</v>
      </c>
      <c r="H49" s="9">
        <v>2.0</v>
      </c>
      <c r="I49" s="10" t="s">
        <v>47</v>
      </c>
    </row>
    <row r="50" ht="22.5" customHeight="1">
      <c r="A50" s="8">
        <v>45709.0</v>
      </c>
      <c r="B50" s="9" t="s">
        <v>17</v>
      </c>
      <c r="C50" s="9" t="s">
        <v>9</v>
      </c>
      <c r="D50" s="9">
        <v>11.0</v>
      </c>
      <c r="E50" s="9" t="s">
        <v>10</v>
      </c>
      <c r="F50" s="9" t="s">
        <v>15</v>
      </c>
      <c r="G50" s="9" t="s">
        <v>27</v>
      </c>
      <c r="H50" s="9">
        <v>2.0</v>
      </c>
      <c r="I50" s="10" t="s">
        <v>42</v>
      </c>
    </row>
    <row r="51" ht="22.5" customHeight="1">
      <c r="A51" s="8">
        <v>45710.0</v>
      </c>
      <c r="B51" s="9" t="s">
        <v>8</v>
      </c>
      <c r="C51" s="9" t="s">
        <v>9</v>
      </c>
      <c r="D51" s="9">
        <v>14.0</v>
      </c>
      <c r="E51" s="9" t="s">
        <v>10</v>
      </c>
      <c r="F51" s="9" t="s">
        <v>11</v>
      </c>
      <c r="G51" s="9" t="s">
        <v>27</v>
      </c>
      <c r="H51" s="9">
        <v>2.0</v>
      </c>
      <c r="I51" s="10" t="s">
        <v>48</v>
      </c>
    </row>
    <row r="52" ht="22.5" customHeight="1">
      <c r="A52" s="8">
        <v>45711.0</v>
      </c>
      <c r="B52" s="9" t="s">
        <v>8</v>
      </c>
      <c r="C52" s="9" t="s">
        <v>24</v>
      </c>
      <c r="D52" s="9">
        <v>14.0</v>
      </c>
      <c r="E52" s="9" t="s">
        <v>10</v>
      </c>
      <c r="F52" s="9" t="s">
        <v>11</v>
      </c>
      <c r="G52" s="9" t="s">
        <v>27</v>
      </c>
      <c r="H52" s="9">
        <v>2.0</v>
      </c>
      <c r="I52" s="10" t="s">
        <v>43</v>
      </c>
    </row>
    <row r="53" ht="22.5" customHeight="1">
      <c r="A53" s="8">
        <v>45712.0</v>
      </c>
      <c r="B53" s="9" t="s">
        <v>19</v>
      </c>
      <c r="C53" s="9" t="s">
        <v>9</v>
      </c>
      <c r="D53" s="9">
        <v>7.0</v>
      </c>
      <c r="E53" s="9" t="s">
        <v>10</v>
      </c>
      <c r="F53" s="9" t="s">
        <v>11</v>
      </c>
      <c r="G53" s="9" t="s">
        <v>27</v>
      </c>
      <c r="H53" s="9">
        <v>2.0</v>
      </c>
      <c r="I53" s="10" t="s">
        <v>44</v>
      </c>
    </row>
    <row r="54" ht="22.5" customHeight="1">
      <c r="A54" s="8">
        <v>45713.0</v>
      </c>
      <c r="B54" s="9" t="s">
        <v>19</v>
      </c>
      <c r="C54" s="9" t="s">
        <v>9</v>
      </c>
      <c r="D54" s="9">
        <v>7.0</v>
      </c>
      <c r="E54" s="9" t="s">
        <v>10</v>
      </c>
      <c r="F54" s="9" t="s">
        <v>11</v>
      </c>
      <c r="G54" s="9" t="s">
        <v>27</v>
      </c>
      <c r="H54" s="9">
        <v>2.0</v>
      </c>
      <c r="I54" s="10" t="s">
        <v>45</v>
      </c>
    </row>
    <row r="55" ht="22.5" customHeight="1">
      <c r="A55" s="8">
        <v>45714.0</v>
      </c>
      <c r="B55" s="9" t="s">
        <v>26</v>
      </c>
      <c r="C55" s="9" t="s">
        <v>21</v>
      </c>
      <c r="D55" s="9">
        <v>25.0</v>
      </c>
      <c r="E55" s="9" t="s">
        <v>10</v>
      </c>
      <c r="F55" s="9" t="s">
        <v>15</v>
      </c>
      <c r="G55" s="9" t="s">
        <v>27</v>
      </c>
      <c r="H55" s="9">
        <v>2.0</v>
      </c>
      <c r="I55" s="10" t="s">
        <v>46</v>
      </c>
    </row>
    <row r="56" ht="22.5" customHeight="1">
      <c r="A56" s="8">
        <v>45715.0</v>
      </c>
      <c r="B56" s="9" t="s">
        <v>17</v>
      </c>
      <c r="C56" s="9" t="s">
        <v>24</v>
      </c>
      <c r="D56" s="9">
        <v>10.0</v>
      </c>
      <c r="E56" s="9" t="s">
        <v>10</v>
      </c>
      <c r="F56" s="9" t="s">
        <v>15</v>
      </c>
      <c r="G56" s="9" t="s">
        <v>27</v>
      </c>
      <c r="H56" s="9">
        <v>2.0</v>
      </c>
      <c r="I56" s="10" t="s">
        <v>47</v>
      </c>
    </row>
    <row r="57" ht="22.5" customHeight="1">
      <c r="A57" s="8">
        <v>45716.0</v>
      </c>
      <c r="B57" s="9" t="s">
        <v>8</v>
      </c>
      <c r="C57" s="9" t="s">
        <v>9</v>
      </c>
      <c r="D57" s="9">
        <v>14.0</v>
      </c>
      <c r="E57" s="9" t="s">
        <v>10</v>
      </c>
      <c r="F57" s="9" t="s">
        <v>11</v>
      </c>
      <c r="G57" s="9" t="s">
        <v>27</v>
      </c>
      <c r="H57" s="9">
        <v>2.0</v>
      </c>
      <c r="I57" s="10" t="s">
        <v>42</v>
      </c>
    </row>
    <row r="58" ht="22.5" customHeight="1">
      <c r="A58" s="8">
        <v>45717.0</v>
      </c>
      <c r="B58" s="9" t="s">
        <v>8</v>
      </c>
      <c r="C58" s="9" t="s">
        <v>9</v>
      </c>
      <c r="D58" s="9">
        <v>14.0</v>
      </c>
      <c r="E58" s="9" t="s">
        <v>10</v>
      </c>
      <c r="F58" s="9" t="s">
        <v>11</v>
      </c>
      <c r="G58" s="9" t="s">
        <v>28</v>
      </c>
      <c r="H58" s="9">
        <v>3.0</v>
      </c>
      <c r="I58" s="10" t="s">
        <v>48</v>
      </c>
    </row>
    <row r="59" ht="22.5" customHeight="1">
      <c r="A59" s="8">
        <v>45718.0</v>
      </c>
      <c r="B59" s="9" t="s">
        <v>17</v>
      </c>
      <c r="C59" s="9" t="s">
        <v>9</v>
      </c>
      <c r="D59" s="9">
        <v>9.0</v>
      </c>
      <c r="E59" s="9" t="s">
        <v>10</v>
      </c>
      <c r="F59" s="9" t="s">
        <v>11</v>
      </c>
      <c r="G59" s="9" t="s">
        <v>28</v>
      </c>
      <c r="H59" s="9">
        <v>3.0</v>
      </c>
      <c r="I59" s="10" t="s">
        <v>43</v>
      </c>
    </row>
    <row r="60" ht="22.5" customHeight="1">
      <c r="A60" s="8">
        <v>45719.0</v>
      </c>
      <c r="B60" s="9" t="s">
        <v>14</v>
      </c>
      <c r="C60" s="9" t="s">
        <v>9</v>
      </c>
      <c r="D60" s="9">
        <v>23.0</v>
      </c>
      <c r="E60" s="9" t="s">
        <v>10</v>
      </c>
      <c r="F60" s="9" t="s">
        <v>11</v>
      </c>
      <c r="G60" s="9" t="s">
        <v>28</v>
      </c>
      <c r="H60" s="9">
        <v>3.0</v>
      </c>
      <c r="I60" s="10" t="s">
        <v>44</v>
      </c>
    </row>
    <row r="61" ht="22.5" customHeight="1">
      <c r="A61" s="8">
        <v>45720.0</v>
      </c>
      <c r="B61" s="9" t="s">
        <v>8</v>
      </c>
      <c r="C61" s="9" t="s">
        <v>9</v>
      </c>
      <c r="D61" s="9">
        <v>14.0</v>
      </c>
      <c r="E61" s="9" t="s">
        <v>10</v>
      </c>
      <c r="F61" s="9" t="s">
        <v>15</v>
      </c>
      <c r="G61" s="9" t="s">
        <v>28</v>
      </c>
      <c r="H61" s="9">
        <v>3.0</v>
      </c>
      <c r="I61" s="10" t="s">
        <v>45</v>
      </c>
    </row>
    <row r="62" ht="22.5" customHeight="1">
      <c r="A62" s="8">
        <v>45721.0</v>
      </c>
      <c r="B62" s="9" t="s">
        <v>14</v>
      </c>
      <c r="C62" s="9" t="s">
        <v>9</v>
      </c>
      <c r="D62" s="9">
        <v>22.0</v>
      </c>
      <c r="E62" s="9" t="s">
        <v>10</v>
      </c>
      <c r="F62" s="9" t="s">
        <v>11</v>
      </c>
      <c r="G62" s="9" t="s">
        <v>28</v>
      </c>
      <c r="H62" s="9">
        <v>3.0</v>
      </c>
      <c r="I62" s="10" t="s">
        <v>46</v>
      </c>
    </row>
    <row r="63" ht="22.5" customHeight="1">
      <c r="A63" s="8">
        <v>45722.0</v>
      </c>
      <c r="B63" s="9" t="s">
        <v>8</v>
      </c>
      <c r="C63" s="9" t="s">
        <v>9</v>
      </c>
      <c r="D63" s="9">
        <v>14.0</v>
      </c>
      <c r="E63" s="9" t="s">
        <v>10</v>
      </c>
      <c r="F63" s="9" t="s">
        <v>15</v>
      </c>
      <c r="G63" s="9" t="s">
        <v>28</v>
      </c>
      <c r="H63" s="9">
        <v>3.0</v>
      </c>
      <c r="I63" s="10" t="s">
        <v>47</v>
      </c>
    </row>
    <row r="64" ht="22.5" customHeight="1">
      <c r="A64" s="8">
        <v>45723.0</v>
      </c>
      <c r="B64" s="9" t="s">
        <v>8</v>
      </c>
      <c r="C64" s="9" t="s">
        <v>21</v>
      </c>
      <c r="D64" s="9">
        <v>17.0</v>
      </c>
      <c r="E64" s="9" t="s">
        <v>22</v>
      </c>
      <c r="F64" s="9" t="s">
        <v>11</v>
      </c>
      <c r="G64" s="9" t="s">
        <v>28</v>
      </c>
      <c r="H64" s="9">
        <v>3.0</v>
      </c>
      <c r="I64" s="10" t="s">
        <v>42</v>
      </c>
    </row>
    <row r="65" ht="22.5" customHeight="1">
      <c r="A65" s="8">
        <v>45724.0</v>
      </c>
      <c r="B65" s="9" t="s">
        <v>19</v>
      </c>
      <c r="C65" s="9" t="s">
        <v>9</v>
      </c>
      <c r="D65" s="9">
        <v>7.0</v>
      </c>
      <c r="E65" s="9" t="s">
        <v>10</v>
      </c>
      <c r="F65" s="9" t="s">
        <v>11</v>
      </c>
      <c r="G65" s="9" t="s">
        <v>28</v>
      </c>
      <c r="H65" s="9">
        <v>3.0</v>
      </c>
      <c r="I65" s="10" t="s">
        <v>48</v>
      </c>
    </row>
    <row r="66" ht="22.5" customHeight="1">
      <c r="A66" s="8">
        <v>45725.0</v>
      </c>
      <c r="B66" s="9" t="s">
        <v>19</v>
      </c>
      <c r="C66" s="9" t="s">
        <v>9</v>
      </c>
      <c r="D66" s="9">
        <v>7.0</v>
      </c>
      <c r="E66" s="9" t="s">
        <v>10</v>
      </c>
      <c r="F66" s="9" t="s">
        <v>15</v>
      </c>
      <c r="G66" s="9" t="s">
        <v>28</v>
      </c>
      <c r="H66" s="9">
        <v>3.0</v>
      </c>
      <c r="I66" s="10" t="s">
        <v>43</v>
      </c>
    </row>
    <row r="67" ht="22.5" customHeight="1">
      <c r="A67" s="8">
        <v>45726.0</v>
      </c>
      <c r="B67" s="9" t="s">
        <v>17</v>
      </c>
      <c r="C67" s="9" t="s">
        <v>9</v>
      </c>
      <c r="D67" s="9">
        <v>11.0</v>
      </c>
      <c r="E67" s="9" t="s">
        <v>10</v>
      </c>
      <c r="F67" s="9" t="s">
        <v>11</v>
      </c>
      <c r="G67" s="9" t="s">
        <v>28</v>
      </c>
      <c r="H67" s="9">
        <v>3.0</v>
      </c>
      <c r="I67" s="10" t="s">
        <v>44</v>
      </c>
    </row>
    <row r="68" ht="22.5" customHeight="1">
      <c r="A68" s="8">
        <v>45727.0</v>
      </c>
      <c r="B68" s="9" t="s">
        <v>17</v>
      </c>
      <c r="C68" s="9" t="s">
        <v>24</v>
      </c>
      <c r="D68" s="9">
        <v>10.0</v>
      </c>
      <c r="E68" s="9" t="s">
        <v>10</v>
      </c>
      <c r="F68" s="9" t="s">
        <v>11</v>
      </c>
      <c r="G68" s="9" t="s">
        <v>28</v>
      </c>
      <c r="H68" s="9">
        <v>3.0</v>
      </c>
      <c r="I68" s="10" t="s">
        <v>45</v>
      </c>
    </row>
    <row r="69" ht="22.5" customHeight="1">
      <c r="A69" s="8">
        <v>45728.0</v>
      </c>
      <c r="B69" s="9" t="s">
        <v>8</v>
      </c>
      <c r="C69" s="9" t="s">
        <v>9</v>
      </c>
      <c r="D69" s="9">
        <v>14.0</v>
      </c>
      <c r="E69" s="9" t="s">
        <v>10</v>
      </c>
      <c r="F69" s="9" t="s">
        <v>11</v>
      </c>
      <c r="G69" s="9" t="s">
        <v>28</v>
      </c>
      <c r="H69" s="9">
        <v>3.0</v>
      </c>
      <c r="I69" s="10" t="s">
        <v>46</v>
      </c>
    </row>
    <row r="70" ht="22.5" customHeight="1">
      <c r="A70" s="8">
        <v>45729.0</v>
      </c>
      <c r="B70" s="9" t="s">
        <v>26</v>
      </c>
      <c r="C70" s="9" t="s">
        <v>9</v>
      </c>
      <c r="D70" s="9">
        <v>25.0</v>
      </c>
      <c r="E70" s="9" t="s">
        <v>10</v>
      </c>
      <c r="F70" s="9" t="s">
        <v>15</v>
      </c>
      <c r="G70" s="9" t="s">
        <v>28</v>
      </c>
      <c r="H70" s="9">
        <v>3.0</v>
      </c>
      <c r="I70" s="10" t="s">
        <v>47</v>
      </c>
    </row>
    <row r="71" ht="22.5" customHeight="1">
      <c r="A71" s="8">
        <v>45730.0</v>
      </c>
      <c r="B71" s="9" t="s">
        <v>25</v>
      </c>
      <c r="C71" s="9" t="s">
        <v>9</v>
      </c>
      <c r="D71" s="9">
        <v>35.0</v>
      </c>
      <c r="E71" s="9" t="s">
        <v>22</v>
      </c>
      <c r="F71" s="9" t="s">
        <v>15</v>
      </c>
      <c r="G71" s="9" t="s">
        <v>28</v>
      </c>
      <c r="H71" s="9">
        <v>3.0</v>
      </c>
      <c r="I71" s="10" t="s">
        <v>42</v>
      </c>
    </row>
    <row r="72" ht="22.5" customHeight="1">
      <c r="A72" s="8">
        <v>45731.0</v>
      </c>
      <c r="B72" s="9" t="s">
        <v>8</v>
      </c>
      <c r="C72" s="9" t="s">
        <v>21</v>
      </c>
      <c r="D72" s="9">
        <v>14.0</v>
      </c>
      <c r="E72" s="9" t="s">
        <v>10</v>
      </c>
      <c r="F72" s="9" t="s">
        <v>11</v>
      </c>
      <c r="G72" s="9" t="s">
        <v>28</v>
      </c>
      <c r="H72" s="9">
        <v>3.0</v>
      </c>
      <c r="I72" s="10" t="s">
        <v>48</v>
      </c>
    </row>
    <row r="73" ht="22.5" customHeight="1">
      <c r="A73" s="8">
        <v>45732.0</v>
      </c>
      <c r="B73" s="9" t="s">
        <v>8</v>
      </c>
      <c r="C73" s="9" t="s">
        <v>9</v>
      </c>
      <c r="D73" s="9">
        <v>14.0</v>
      </c>
      <c r="E73" s="9" t="s">
        <v>10</v>
      </c>
      <c r="F73" s="9" t="s">
        <v>11</v>
      </c>
      <c r="G73" s="9" t="s">
        <v>28</v>
      </c>
      <c r="H73" s="9">
        <v>3.0</v>
      </c>
      <c r="I73" s="10" t="s">
        <v>43</v>
      </c>
    </row>
    <row r="74" ht="22.5" customHeight="1">
      <c r="A74" s="8">
        <v>45733.0</v>
      </c>
      <c r="B74" s="9" t="s">
        <v>8</v>
      </c>
      <c r="C74" s="9" t="s">
        <v>24</v>
      </c>
      <c r="D74" s="9">
        <v>16.0</v>
      </c>
      <c r="E74" s="9" t="s">
        <v>22</v>
      </c>
      <c r="F74" s="9" t="s">
        <v>11</v>
      </c>
      <c r="G74" s="9" t="s">
        <v>28</v>
      </c>
      <c r="H74" s="9">
        <v>3.0</v>
      </c>
      <c r="I74" s="10" t="s">
        <v>44</v>
      </c>
    </row>
    <row r="75" ht="22.5" customHeight="1">
      <c r="A75" s="8">
        <v>45734.0</v>
      </c>
      <c r="B75" s="9" t="s">
        <v>23</v>
      </c>
      <c r="C75" s="9" t="s">
        <v>9</v>
      </c>
      <c r="D75" s="9">
        <v>19.0</v>
      </c>
      <c r="E75" s="9" t="s">
        <v>10</v>
      </c>
      <c r="F75" s="9" t="s">
        <v>15</v>
      </c>
      <c r="G75" s="9" t="s">
        <v>28</v>
      </c>
      <c r="H75" s="9">
        <v>3.0</v>
      </c>
      <c r="I75" s="10" t="s">
        <v>45</v>
      </c>
    </row>
    <row r="76" ht="22.5" customHeight="1">
      <c r="A76" s="8">
        <v>45735.0</v>
      </c>
      <c r="B76" s="9" t="s">
        <v>8</v>
      </c>
      <c r="C76" s="9" t="s">
        <v>9</v>
      </c>
      <c r="D76" s="9">
        <v>14.0</v>
      </c>
      <c r="E76" s="9" t="s">
        <v>10</v>
      </c>
      <c r="F76" s="9" t="s">
        <v>11</v>
      </c>
      <c r="G76" s="9" t="s">
        <v>28</v>
      </c>
      <c r="H76" s="9">
        <v>3.0</v>
      </c>
      <c r="I76" s="10" t="s">
        <v>46</v>
      </c>
    </row>
    <row r="77" ht="22.5" customHeight="1">
      <c r="A77" s="8">
        <v>45736.0</v>
      </c>
      <c r="B77" s="9" t="s">
        <v>23</v>
      </c>
      <c r="C77" s="9" t="s">
        <v>9</v>
      </c>
      <c r="D77" s="9">
        <v>18.0</v>
      </c>
      <c r="E77" s="9" t="s">
        <v>10</v>
      </c>
      <c r="F77" s="9" t="s">
        <v>15</v>
      </c>
      <c r="G77" s="9" t="s">
        <v>28</v>
      </c>
      <c r="H77" s="9">
        <v>3.0</v>
      </c>
      <c r="I77" s="10" t="s">
        <v>47</v>
      </c>
    </row>
    <row r="78" ht="22.5" customHeight="1">
      <c r="A78" s="8">
        <v>45737.0</v>
      </c>
      <c r="B78" s="9" t="s">
        <v>17</v>
      </c>
      <c r="C78" s="9" t="s">
        <v>9</v>
      </c>
      <c r="D78" s="9">
        <v>8.0</v>
      </c>
      <c r="E78" s="9" t="s">
        <v>10</v>
      </c>
      <c r="F78" s="9" t="s">
        <v>11</v>
      </c>
      <c r="G78" s="9" t="s">
        <v>28</v>
      </c>
      <c r="H78" s="9">
        <v>3.0</v>
      </c>
      <c r="I78" s="10" t="s">
        <v>42</v>
      </c>
    </row>
    <row r="79" ht="22.5" customHeight="1">
      <c r="A79" s="8">
        <v>45738.0</v>
      </c>
      <c r="B79" s="9" t="s">
        <v>17</v>
      </c>
      <c r="C79" s="9" t="s">
        <v>9</v>
      </c>
      <c r="D79" s="9">
        <v>9.0</v>
      </c>
      <c r="E79" s="9" t="s">
        <v>10</v>
      </c>
      <c r="F79" s="9" t="s">
        <v>11</v>
      </c>
      <c r="G79" s="9" t="s">
        <v>28</v>
      </c>
      <c r="H79" s="9">
        <v>3.0</v>
      </c>
      <c r="I79" s="10" t="s">
        <v>48</v>
      </c>
    </row>
    <row r="80" ht="22.5" customHeight="1">
      <c r="A80" s="8">
        <v>45739.0</v>
      </c>
      <c r="B80" s="9" t="s">
        <v>14</v>
      </c>
      <c r="C80" s="9" t="s">
        <v>9</v>
      </c>
      <c r="D80" s="9">
        <v>21.0</v>
      </c>
      <c r="E80" s="9" t="s">
        <v>10</v>
      </c>
      <c r="F80" s="9" t="s">
        <v>15</v>
      </c>
      <c r="G80" s="9" t="s">
        <v>28</v>
      </c>
      <c r="H80" s="9">
        <v>3.0</v>
      </c>
      <c r="I80" s="10" t="s">
        <v>43</v>
      </c>
    </row>
    <row r="81" ht="22.5" customHeight="1">
      <c r="A81" s="8">
        <v>45740.0</v>
      </c>
      <c r="B81" s="9" t="s">
        <v>14</v>
      </c>
      <c r="C81" s="9" t="s">
        <v>9</v>
      </c>
      <c r="D81" s="9">
        <v>21.0</v>
      </c>
      <c r="E81" s="9" t="s">
        <v>10</v>
      </c>
      <c r="F81" s="9" t="s">
        <v>11</v>
      </c>
      <c r="G81" s="9" t="s">
        <v>28</v>
      </c>
      <c r="H81" s="9">
        <v>3.0</v>
      </c>
      <c r="I81" s="10" t="s">
        <v>44</v>
      </c>
    </row>
    <row r="82" ht="22.5" customHeight="1">
      <c r="A82" s="8">
        <v>45741.0</v>
      </c>
      <c r="B82" s="9" t="s">
        <v>8</v>
      </c>
      <c r="C82" s="9" t="s">
        <v>24</v>
      </c>
      <c r="D82" s="9">
        <v>14.0</v>
      </c>
      <c r="E82" s="9" t="s">
        <v>10</v>
      </c>
      <c r="F82" s="9" t="s">
        <v>11</v>
      </c>
      <c r="G82" s="9" t="s">
        <v>28</v>
      </c>
      <c r="H82" s="9">
        <v>3.0</v>
      </c>
      <c r="I82" s="10" t="s">
        <v>45</v>
      </c>
    </row>
    <row r="83" ht="22.5" customHeight="1">
      <c r="A83" s="8">
        <v>45742.0</v>
      </c>
      <c r="B83" s="9" t="s">
        <v>19</v>
      </c>
      <c r="C83" s="9" t="s">
        <v>9</v>
      </c>
      <c r="D83" s="9">
        <v>7.0</v>
      </c>
      <c r="E83" s="9" t="s">
        <v>10</v>
      </c>
      <c r="F83" s="9" t="s">
        <v>11</v>
      </c>
      <c r="G83" s="9" t="s">
        <v>28</v>
      </c>
      <c r="H83" s="9">
        <v>3.0</v>
      </c>
      <c r="I83" s="10" t="s">
        <v>46</v>
      </c>
    </row>
    <row r="84" ht="22.5" customHeight="1">
      <c r="A84" s="8">
        <v>45743.0</v>
      </c>
      <c r="B84" s="9" t="s">
        <v>8</v>
      </c>
      <c r="C84" s="9" t="s">
        <v>9</v>
      </c>
      <c r="D84" s="9">
        <v>14.0</v>
      </c>
      <c r="E84" s="9" t="s">
        <v>10</v>
      </c>
      <c r="F84" s="9" t="s">
        <v>15</v>
      </c>
      <c r="G84" s="9" t="s">
        <v>28</v>
      </c>
      <c r="H84" s="9">
        <v>3.0</v>
      </c>
      <c r="I84" s="10" t="s">
        <v>47</v>
      </c>
    </row>
    <row r="85" ht="22.5" customHeight="1">
      <c r="A85" s="8">
        <v>45744.0</v>
      </c>
      <c r="B85" s="9" t="s">
        <v>8</v>
      </c>
      <c r="C85" s="9" t="s">
        <v>9</v>
      </c>
      <c r="D85" s="9">
        <v>15.0</v>
      </c>
      <c r="E85" s="9" t="s">
        <v>10</v>
      </c>
      <c r="F85" s="9" t="s">
        <v>15</v>
      </c>
      <c r="G85" s="9" t="s">
        <v>28</v>
      </c>
      <c r="H85" s="9">
        <v>3.0</v>
      </c>
      <c r="I85" s="10" t="s">
        <v>42</v>
      </c>
    </row>
    <row r="86" ht="22.5" customHeight="1">
      <c r="A86" s="8">
        <v>45745.0</v>
      </c>
      <c r="B86" s="9" t="s">
        <v>19</v>
      </c>
      <c r="C86" s="9" t="s">
        <v>9</v>
      </c>
      <c r="D86" s="9">
        <v>7.0</v>
      </c>
      <c r="E86" s="9" t="s">
        <v>10</v>
      </c>
      <c r="F86" s="9" t="s">
        <v>11</v>
      </c>
      <c r="G86" s="9" t="s">
        <v>28</v>
      </c>
      <c r="H86" s="9">
        <v>3.0</v>
      </c>
      <c r="I86" s="10" t="s">
        <v>48</v>
      </c>
    </row>
    <row r="87" ht="22.5" customHeight="1">
      <c r="A87" s="8">
        <v>45746.0</v>
      </c>
      <c r="B87" s="9" t="s">
        <v>26</v>
      </c>
      <c r="C87" s="9" t="s">
        <v>9</v>
      </c>
      <c r="D87" s="9">
        <v>24.0</v>
      </c>
      <c r="E87" s="9" t="s">
        <v>10</v>
      </c>
      <c r="F87" s="9" t="s">
        <v>11</v>
      </c>
      <c r="G87" s="9" t="s">
        <v>28</v>
      </c>
      <c r="H87" s="9">
        <v>3.0</v>
      </c>
      <c r="I87" s="10" t="s">
        <v>43</v>
      </c>
    </row>
    <row r="88" ht="22.5" customHeight="1">
      <c r="A88" s="8">
        <v>45747.0</v>
      </c>
      <c r="B88" s="9" t="s">
        <v>8</v>
      </c>
      <c r="C88" s="9" t="s">
        <v>9</v>
      </c>
      <c r="D88" s="9">
        <v>14.0</v>
      </c>
      <c r="E88" s="9" t="s">
        <v>10</v>
      </c>
      <c r="F88" s="9" t="s">
        <v>11</v>
      </c>
      <c r="G88" s="9" t="s">
        <v>28</v>
      </c>
      <c r="H88" s="9">
        <v>3.0</v>
      </c>
      <c r="I88" s="10" t="s">
        <v>44</v>
      </c>
    </row>
    <row r="89" ht="22.5" customHeight="1">
      <c r="A89" s="8">
        <v>45748.0</v>
      </c>
      <c r="B89" s="9" t="s">
        <v>8</v>
      </c>
      <c r="C89" s="9" t="s">
        <v>9</v>
      </c>
      <c r="D89" s="9">
        <v>14.0</v>
      </c>
      <c r="E89" s="9" t="s">
        <v>10</v>
      </c>
      <c r="F89" s="9" t="s">
        <v>11</v>
      </c>
      <c r="G89" s="9" t="s">
        <v>29</v>
      </c>
      <c r="H89" s="9">
        <v>4.0</v>
      </c>
      <c r="I89" s="10" t="s">
        <v>45</v>
      </c>
    </row>
    <row r="90" ht="22.5" customHeight="1">
      <c r="A90" s="8">
        <v>45749.0</v>
      </c>
      <c r="B90" s="9" t="s">
        <v>17</v>
      </c>
      <c r="C90" s="9" t="s">
        <v>9</v>
      </c>
      <c r="D90" s="9">
        <v>10.0</v>
      </c>
      <c r="E90" s="9" t="s">
        <v>10</v>
      </c>
      <c r="F90" s="9" t="s">
        <v>11</v>
      </c>
      <c r="G90" s="9" t="s">
        <v>29</v>
      </c>
      <c r="H90" s="9">
        <v>4.0</v>
      </c>
      <c r="I90" s="10" t="s">
        <v>46</v>
      </c>
    </row>
    <row r="91" ht="22.5" customHeight="1">
      <c r="A91" s="8">
        <v>45750.0</v>
      </c>
      <c r="B91" s="9" t="s">
        <v>17</v>
      </c>
      <c r="C91" s="9" t="s">
        <v>24</v>
      </c>
      <c r="D91" s="9">
        <v>10.0</v>
      </c>
      <c r="E91" s="9" t="s">
        <v>10</v>
      </c>
      <c r="F91" s="9" t="s">
        <v>15</v>
      </c>
      <c r="G91" s="9" t="s">
        <v>29</v>
      </c>
      <c r="H91" s="9">
        <v>4.0</v>
      </c>
      <c r="I91" s="10" t="s">
        <v>47</v>
      </c>
    </row>
    <row r="92" ht="22.5" customHeight="1">
      <c r="A92" s="8">
        <v>45751.0</v>
      </c>
      <c r="B92" s="9" t="s">
        <v>8</v>
      </c>
      <c r="C92" s="9" t="s">
        <v>21</v>
      </c>
      <c r="D92" s="9">
        <v>14.0</v>
      </c>
      <c r="E92" s="9" t="s">
        <v>10</v>
      </c>
      <c r="F92" s="9" t="s">
        <v>15</v>
      </c>
      <c r="G92" s="9" t="s">
        <v>29</v>
      </c>
      <c r="H92" s="9">
        <v>4.0</v>
      </c>
      <c r="I92" s="10" t="s">
        <v>42</v>
      </c>
    </row>
    <row r="93" ht="22.5" customHeight="1">
      <c r="A93" s="8">
        <v>45752.0</v>
      </c>
      <c r="B93" s="9" t="s">
        <v>14</v>
      </c>
      <c r="C93" s="9" t="s">
        <v>9</v>
      </c>
      <c r="D93" s="9">
        <v>22.0</v>
      </c>
      <c r="E93" s="9" t="s">
        <v>10</v>
      </c>
      <c r="F93" s="9" t="s">
        <v>11</v>
      </c>
      <c r="G93" s="9" t="s">
        <v>29</v>
      </c>
      <c r="H93" s="9">
        <v>4.0</v>
      </c>
      <c r="I93" s="10" t="s">
        <v>48</v>
      </c>
    </row>
    <row r="94" ht="22.5" customHeight="1">
      <c r="A94" s="8">
        <v>45753.0</v>
      </c>
      <c r="B94" s="9" t="s">
        <v>14</v>
      </c>
      <c r="C94" s="9" t="s">
        <v>9</v>
      </c>
      <c r="D94" s="9">
        <v>20.0</v>
      </c>
      <c r="E94" s="9" t="s">
        <v>10</v>
      </c>
      <c r="F94" s="9" t="s">
        <v>11</v>
      </c>
      <c r="G94" s="9" t="s">
        <v>29</v>
      </c>
      <c r="H94" s="9">
        <v>4.0</v>
      </c>
      <c r="I94" s="10" t="s">
        <v>43</v>
      </c>
    </row>
    <row r="95" ht="22.5" customHeight="1">
      <c r="A95" s="8">
        <v>45754.0</v>
      </c>
      <c r="B95" s="9" t="s">
        <v>8</v>
      </c>
      <c r="C95" s="9" t="s">
        <v>9</v>
      </c>
      <c r="D95" s="9">
        <v>14.0</v>
      </c>
      <c r="E95" s="9" t="s">
        <v>10</v>
      </c>
      <c r="F95" s="9" t="s">
        <v>11</v>
      </c>
      <c r="G95" s="9" t="s">
        <v>29</v>
      </c>
      <c r="H95" s="9">
        <v>4.0</v>
      </c>
      <c r="I95" s="10" t="s">
        <v>44</v>
      </c>
    </row>
    <row r="96" ht="22.5" customHeight="1">
      <c r="A96" s="8">
        <v>45755.0</v>
      </c>
      <c r="B96" s="9" t="s">
        <v>19</v>
      </c>
      <c r="C96" s="9" t="s">
        <v>9</v>
      </c>
      <c r="D96" s="9">
        <v>7.0</v>
      </c>
      <c r="E96" s="9" t="s">
        <v>10</v>
      </c>
      <c r="F96" s="9" t="s">
        <v>11</v>
      </c>
      <c r="G96" s="9" t="s">
        <v>29</v>
      </c>
      <c r="H96" s="9">
        <v>4.0</v>
      </c>
      <c r="I96" s="10" t="s">
        <v>45</v>
      </c>
    </row>
    <row r="97" ht="22.5" customHeight="1">
      <c r="A97" s="8">
        <v>45756.0</v>
      </c>
      <c r="B97" s="9" t="s">
        <v>8</v>
      </c>
      <c r="C97" s="9" t="s">
        <v>9</v>
      </c>
      <c r="D97" s="9">
        <v>14.0</v>
      </c>
      <c r="E97" s="9" t="s">
        <v>10</v>
      </c>
      <c r="F97" s="9" t="s">
        <v>15</v>
      </c>
      <c r="G97" s="9" t="s">
        <v>29</v>
      </c>
      <c r="H97" s="9">
        <v>4.0</v>
      </c>
      <c r="I97" s="10" t="s">
        <v>46</v>
      </c>
    </row>
    <row r="98" ht="22.5" customHeight="1">
      <c r="A98" s="8">
        <v>45757.0</v>
      </c>
      <c r="B98" s="9" t="s">
        <v>8</v>
      </c>
      <c r="C98" s="9" t="s">
        <v>21</v>
      </c>
      <c r="D98" s="9">
        <v>15.0</v>
      </c>
      <c r="E98" s="9" t="s">
        <v>10</v>
      </c>
      <c r="F98" s="9" t="s">
        <v>15</v>
      </c>
      <c r="G98" s="9" t="s">
        <v>29</v>
      </c>
      <c r="H98" s="9">
        <v>4.0</v>
      </c>
      <c r="I98" s="10" t="s">
        <v>47</v>
      </c>
    </row>
    <row r="99" ht="22.5" customHeight="1">
      <c r="A99" s="8">
        <v>45758.0</v>
      </c>
      <c r="B99" s="9" t="s">
        <v>17</v>
      </c>
      <c r="C99" s="9" t="s">
        <v>24</v>
      </c>
      <c r="D99" s="9">
        <v>11.0</v>
      </c>
      <c r="E99" s="9" t="s">
        <v>10</v>
      </c>
      <c r="F99" s="9" t="s">
        <v>11</v>
      </c>
      <c r="G99" s="9" t="s">
        <v>29</v>
      </c>
      <c r="H99" s="9">
        <v>4.0</v>
      </c>
      <c r="I99" s="10" t="s">
        <v>42</v>
      </c>
    </row>
    <row r="100" ht="22.5" customHeight="1">
      <c r="A100" s="8">
        <v>45759.0</v>
      </c>
      <c r="B100" s="9" t="s">
        <v>19</v>
      </c>
      <c r="C100" s="9" t="s">
        <v>9</v>
      </c>
      <c r="D100" s="9">
        <v>7.0</v>
      </c>
      <c r="E100" s="9" t="s">
        <v>10</v>
      </c>
      <c r="F100" s="9" t="s">
        <v>11</v>
      </c>
      <c r="G100" s="9" t="s">
        <v>29</v>
      </c>
      <c r="H100" s="9">
        <v>4.0</v>
      </c>
      <c r="I100" s="10" t="s">
        <v>48</v>
      </c>
    </row>
    <row r="101" ht="22.5" customHeight="1">
      <c r="A101" s="8">
        <v>45760.0</v>
      </c>
      <c r="B101" s="9" t="s">
        <v>8</v>
      </c>
      <c r="C101" s="9" t="s">
        <v>9</v>
      </c>
      <c r="D101" s="9">
        <v>16.0</v>
      </c>
      <c r="E101" s="9" t="s">
        <v>22</v>
      </c>
      <c r="F101" s="9" t="s">
        <v>11</v>
      </c>
      <c r="G101" s="9" t="s">
        <v>29</v>
      </c>
      <c r="H101" s="9">
        <v>4.0</v>
      </c>
      <c r="I101" s="10" t="s">
        <v>43</v>
      </c>
    </row>
    <row r="102" ht="22.5" customHeight="1">
      <c r="A102" s="8">
        <v>45761.0</v>
      </c>
      <c r="B102" s="9" t="s">
        <v>17</v>
      </c>
      <c r="C102" s="9" t="s">
        <v>9</v>
      </c>
      <c r="D102" s="9">
        <v>12.0</v>
      </c>
      <c r="E102" s="9" t="s">
        <v>10</v>
      </c>
      <c r="F102" s="9" t="s">
        <v>11</v>
      </c>
      <c r="G102" s="9" t="s">
        <v>29</v>
      </c>
      <c r="H102" s="9">
        <v>4.0</v>
      </c>
      <c r="I102" s="10" t="s">
        <v>44</v>
      </c>
    </row>
    <row r="103" ht="22.5" customHeight="1">
      <c r="A103" s="8">
        <v>45762.0</v>
      </c>
      <c r="B103" s="9" t="s">
        <v>23</v>
      </c>
      <c r="C103" s="9" t="s">
        <v>9</v>
      </c>
      <c r="D103" s="9">
        <v>21.0</v>
      </c>
      <c r="E103" s="9" t="s">
        <v>10</v>
      </c>
      <c r="F103" s="9" t="s">
        <v>15</v>
      </c>
      <c r="G103" s="9" t="s">
        <v>29</v>
      </c>
      <c r="H103" s="9">
        <v>4.0</v>
      </c>
      <c r="I103" s="10" t="s">
        <v>45</v>
      </c>
    </row>
    <row r="104" ht="22.5" customHeight="1">
      <c r="A104" s="8">
        <v>45763.0</v>
      </c>
      <c r="B104" s="9" t="s">
        <v>8</v>
      </c>
      <c r="C104" s="9" t="s">
        <v>9</v>
      </c>
      <c r="D104" s="9">
        <v>14.0</v>
      </c>
      <c r="E104" s="9" t="s">
        <v>10</v>
      </c>
      <c r="F104" s="9" t="s">
        <v>11</v>
      </c>
      <c r="G104" s="9" t="s">
        <v>29</v>
      </c>
      <c r="H104" s="9">
        <v>4.0</v>
      </c>
      <c r="I104" s="10" t="s">
        <v>46</v>
      </c>
    </row>
    <row r="105" ht="22.5" customHeight="1">
      <c r="A105" s="8">
        <v>45764.0</v>
      </c>
      <c r="B105" s="9" t="s">
        <v>23</v>
      </c>
      <c r="C105" s="9" t="s">
        <v>9</v>
      </c>
      <c r="D105" s="9">
        <v>20.0</v>
      </c>
      <c r="E105" s="9" t="s">
        <v>10</v>
      </c>
      <c r="F105" s="9" t="s">
        <v>15</v>
      </c>
      <c r="G105" s="9" t="s">
        <v>29</v>
      </c>
      <c r="H105" s="9">
        <v>4.0</v>
      </c>
      <c r="I105" s="10" t="s">
        <v>47</v>
      </c>
    </row>
    <row r="106" ht="22.5" customHeight="1">
      <c r="A106" s="8">
        <v>45765.0</v>
      </c>
      <c r="B106" s="9" t="s">
        <v>17</v>
      </c>
      <c r="C106" s="9" t="s">
        <v>9</v>
      </c>
      <c r="D106" s="9">
        <v>9.0</v>
      </c>
      <c r="E106" s="9" t="s">
        <v>10</v>
      </c>
      <c r="F106" s="9" t="s">
        <v>11</v>
      </c>
      <c r="G106" s="9" t="s">
        <v>29</v>
      </c>
      <c r="H106" s="9">
        <v>4.0</v>
      </c>
      <c r="I106" s="10" t="s">
        <v>42</v>
      </c>
    </row>
    <row r="107" ht="22.5" customHeight="1">
      <c r="A107" s="8">
        <v>45766.0</v>
      </c>
      <c r="B107" s="9" t="s">
        <v>8</v>
      </c>
      <c r="C107" s="9" t="s">
        <v>9</v>
      </c>
      <c r="D107" s="9">
        <v>14.0</v>
      </c>
      <c r="E107" s="9" t="s">
        <v>10</v>
      </c>
      <c r="F107" s="9" t="s">
        <v>11</v>
      </c>
      <c r="G107" s="9" t="s">
        <v>29</v>
      </c>
      <c r="H107" s="9">
        <v>4.0</v>
      </c>
      <c r="I107" s="10" t="s">
        <v>48</v>
      </c>
    </row>
    <row r="108" ht="22.5" customHeight="1">
      <c r="A108" s="8">
        <v>45767.0</v>
      </c>
      <c r="B108" s="9" t="s">
        <v>14</v>
      </c>
      <c r="C108" s="9" t="s">
        <v>9</v>
      </c>
      <c r="D108" s="9">
        <v>23.0</v>
      </c>
      <c r="E108" s="9" t="s">
        <v>10</v>
      </c>
      <c r="F108" s="9" t="s">
        <v>15</v>
      </c>
      <c r="G108" s="9" t="s">
        <v>29</v>
      </c>
      <c r="H108" s="9">
        <v>4.0</v>
      </c>
      <c r="I108" s="10" t="s">
        <v>43</v>
      </c>
    </row>
    <row r="109" ht="22.5" customHeight="1">
      <c r="A109" s="8">
        <v>45768.0</v>
      </c>
      <c r="B109" s="9" t="s">
        <v>14</v>
      </c>
      <c r="C109" s="9" t="s">
        <v>24</v>
      </c>
      <c r="D109" s="9">
        <v>24.0</v>
      </c>
      <c r="E109" s="9" t="s">
        <v>10</v>
      </c>
      <c r="F109" s="9" t="s">
        <v>11</v>
      </c>
      <c r="G109" s="9" t="s">
        <v>29</v>
      </c>
      <c r="H109" s="9">
        <v>4.0</v>
      </c>
      <c r="I109" s="10" t="s">
        <v>44</v>
      </c>
    </row>
    <row r="110" ht="22.5" customHeight="1">
      <c r="A110" s="8">
        <v>45769.0</v>
      </c>
      <c r="B110" s="9" t="s">
        <v>8</v>
      </c>
      <c r="C110" s="9" t="s">
        <v>9</v>
      </c>
      <c r="D110" s="9">
        <v>14.0</v>
      </c>
      <c r="E110" s="9" t="s">
        <v>10</v>
      </c>
      <c r="F110" s="9" t="s">
        <v>11</v>
      </c>
      <c r="G110" s="9" t="s">
        <v>29</v>
      </c>
      <c r="H110" s="9">
        <v>4.0</v>
      </c>
      <c r="I110" s="10" t="s">
        <v>45</v>
      </c>
    </row>
    <row r="111" ht="22.5" customHeight="1">
      <c r="A111" s="8">
        <v>45770.0</v>
      </c>
      <c r="B111" s="9" t="s">
        <v>19</v>
      </c>
      <c r="C111" s="9" t="s">
        <v>9</v>
      </c>
      <c r="D111" s="9">
        <v>7.0</v>
      </c>
      <c r="E111" s="9" t="s">
        <v>10</v>
      </c>
      <c r="F111" s="9" t="s">
        <v>11</v>
      </c>
      <c r="G111" s="9" t="s">
        <v>29</v>
      </c>
      <c r="H111" s="9">
        <v>4.0</v>
      </c>
      <c r="I111" s="10" t="s">
        <v>46</v>
      </c>
    </row>
    <row r="112" ht="22.5" customHeight="1">
      <c r="A112" s="8">
        <v>45771.0</v>
      </c>
      <c r="B112" s="9" t="s">
        <v>8</v>
      </c>
      <c r="C112" s="9" t="s">
        <v>9</v>
      </c>
      <c r="D112" s="9">
        <v>14.0</v>
      </c>
      <c r="E112" s="9" t="s">
        <v>10</v>
      </c>
      <c r="F112" s="9" t="s">
        <v>15</v>
      </c>
      <c r="G112" s="9" t="s">
        <v>29</v>
      </c>
      <c r="H112" s="9">
        <v>4.0</v>
      </c>
      <c r="I112" s="10" t="s">
        <v>47</v>
      </c>
    </row>
    <row r="113" ht="22.5" customHeight="1">
      <c r="A113" s="8">
        <v>45772.0</v>
      </c>
      <c r="B113" s="9" t="s">
        <v>26</v>
      </c>
      <c r="C113" s="9" t="s">
        <v>21</v>
      </c>
      <c r="D113" s="9">
        <v>26.0</v>
      </c>
      <c r="E113" s="9" t="s">
        <v>10</v>
      </c>
      <c r="F113" s="9" t="s">
        <v>15</v>
      </c>
      <c r="G113" s="9" t="s">
        <v>29</v>
      </c>
      <c r="H113" s="9">
        <v>4.0</v>
      </c>
      <c r="I113" s="10" t="s">
        <v>42</v>
      </c>
    </row>
    <row r="114" ht="22.5" customHeight="1">
      <c r="A114" s="8">
        <v>45773.0</v>
      </c>
      <c r="B114" s="9" t="s">
        <v>19</v>
      </c>
      <c r="C114" s="9" t="s">
        <v>9</v>
      </c>
      <c r="D114" s="9">
        <v>7.0</v>
      </c>
      <c r="E114" s="9" t="s">
        <v>10</v>
      </c>
      <c r="F114" s="9" t="s">
        <v>11</v>
      </c>
      <c r="G114" s="9" t="s">
        <v>29</v>
      </c>
      <c r="H114" s="9">
        <v>4.0</v>
      </c>
      <c r="I114" s="10" t="s">
        <v>48</v>
      </c>
    </row>
    <row r="115" ht="22.5" customHeight="1">
      <c r="A115" s="8">
        <v>45774.0</v>
      </c>
      <c r="B115" s="9" t="s">
        <v>8</v>
      </c>
      <c r="C115" s="9" t="s">
        <v>9</v>
      </c>
      <c r="D115" s="9">
        <v>14.0</v>
      </c>
      <c r="E115" s="9" t="s">
        <v>10</v>
      </c>
      <c r="F115" s="9" t="s">
        <v>11</v>
      </c>
      <c r="G115" s="9" t="s">
        <v>29</v>
      </c>
      <c r="H115" s="9">
        <v>4.0</v>
      </c>
      <c r="I115" s="10" t="s">
        <v>43</v>
      </c>
    </row>
    <row r="116" ht="22.5" customHeight="1">
      <c r="A116" s="8">
        <v>45775.0</v>
      </c>
      <c r="B116" s="9" t="s">
        <v>17</v>
      </c>
      <c r="C116" s="9" t="s">
        <v>9</v>
      </c>
      <c r="D116" s="9">
        <v>11.0</v>
      </c>
      <c r="E116" s="9" t="s">
        <v>10</v>
      </c>
      <c r="F116" s="9" t="s">
        <v>11</v>
      </c>
      <c r="G116" s="9" t="s">
        <v>29</v>
      </c>
      <c r="H116" s="9">
        <v>4.0</v>
      </c>
      <c r="I116" s="10" t="s">
        <v>44</v>
      </c>
    </row>
    <row r="117" ht="22.5" customHeight="1">
      <c r="A117" s="8">
        <v>45776.0</v>
      </c>
      <c r="B117" s="9" t="s">
        <v>17</v>
      </c>
      <c r="C117" s="9" t="s">
        <v>9</v>
      </c>
      <c r="D117" s="9">
        <v>10.0</v>
      </c>
      <c r="E117" s="9" t="s">
        <v>10</v>
      </c>
      <c r="F117" s="9" t="s">
        <v>11</v>
      </c>
      <c r="G117" s="9" t="s">
        <v>29</v>
      </c>
      <c r="H117" s="9">
        <v>4.0</v>
      </c>
      <c r="I117" s="10" t="s">
        <v>45</v>
      </c>
    </row>
    <row r="118" ht="22.5" customHeight="1">
      <c r="A118" s="8">
        <v>45777.0</v>
      </c>
      <c r="B118" s="9" t="s">
        <v>8</v>
      </c>
      <c r="C118" s="9" t="s">
        <v>24</v>
      </c>
      <c r="D118" s="9">
        <v>14.0</v>
      </c>
      <c r="E118" s="9" t="s">
        <v>10</v>
      </c>
      <c r="F118" s="9" t="s">
        <v>15</v>
      </c>
      <c r="G118" s="9" t="s">
        <v>29</v>
      </c>
      <c r="H118" s="9">
        <v>4.0</v>
      </c>
      <c r="I118" s="10" t="s">
        <v>46</v>
      </c>
    </row>
    <row r="119" ht="22.5" customHeight="1">
      <c r="A119" s="8">
        <v>45778.0</v>
      </c>
      <c r="B119" s="9" t="s">
        <v>26</v>
      </c>
      <c r="C119" s="9" t="s">
        <v>9</v>
      </c>
      <c r="D119" s="9">
        <v>26.0</v>
      </c>
      <c r="E119" s="9" t="s">
        <v>22</v>
      </c>
      <c r="F119" s="9" t="s">
        <v>15</v>
      </c>
      <c r="G119" s="9" t="s">
        <v>30</v>
      </c>
      <c r="H119" s="9">
        <v>5.0</v>
      </c>
      <c r="I119" s="10" t="s">
        <v>47</v>
      </c>
    </row>
    <row r="120" ht="22.5" customHeight="1">
      <c r="A120" s="8">
        <v>45779.0</v>
      </c>
      <c r="B120" s="9" t="s">
        <v>14</v>
      </c>
      <c r="C120" s="9" t="s">
        <v>9</v>
      </c>
      <c r="D120" s="9">
        <v>21.0</v>
      </c>
      <c r="E120" s="9" t="s">
        <v>10</v>
      </c>
      <c r="F120" s="9" t="s">
        <v>11</v>
      </c>
      <c r="G120" s="9" t="s">
        <v>30</v>
      </c>
      <c r="H120" s="9">
        <v>5.0</v>
      </c>
      <c r="I120" s="10" t="s">
        <v>42</v>
      </c>
    </row>
    <row r="121" ht="22.5" customHeight="1">
      <c r="A121" s="8">
        <v>45780.0</v>
      </c>
      <c r="B121" s="9" t="s">
        <v>8</v>
      </c>
      <c r="C121" s="9" t="s">
        <v>9</v>
      </c>
      <c r="D121" s="9">
        <v>14.0</v>
      </c>
      <c r="E121" s="9" t="s">
        <v>10</v>
      </c>
      <c r="F121" s="9" t="s">
        <v>11</v>
      </c>
      <c r="G121" s="9" t="s">
        <v>30</v>
      </c>
      <c r="H121" s="9">
        <v>5.0</v>
      </c>
      <c r="I121" s="10" t="s">
        <v>48</v>
      </c>
    </row>
    <row r="122" ht="22.5" customHeight="1">
      <c r="A122" s="8">
        <v>45781.0</v>
      </c>
      <c r="B122" s="9" t="s">
        <v>8</v>
      </c>
      <c r="C122" s="9" t="s">
        <v>9</v>
      </c>
      <c r="D122" s="9">
        <v>14.0</v>
      </c>
      <c r="E122" s="9" t="s">
        <v>10</v>
      </c>
      <c r="F122" s="9" t="s">
        <v>11</v>
      </c>
      <c r="G122" s="9" t="s">
        <v>30</v>
      </c>
      <c r="H122" s="9">
        <v>5.0</v>
      </c>
      <c r="I122" s="10" t="s">
        <v>43</v>
      </c>
    </row>
    <row r="123" ht="22.5" customHeight="1">
      <c r="A123" s="8">
        <v>45782.0</v>
      </c>
      <c r="B123" s="9" t="s">
        <v>14</v>
      </c>
      <c r="C123" s="9" t="s">
        <v>9</v>
      </c>
      <c r="D123" s="9">
        <v>21.0</v>
      </c>
      <c r="E123" s="9" t="s">
        <v>10</v>
      </c>
      <c r="F123" s="9" t="s">
        <v>11</v>
      </c>
      <c r="G123" s="9" t="s">
        <v>30</v>
      </c>
      <c r="H123" s="9">
        <v>5.0</v>
      </c>
      <c r="I123" s="10" t="s">
        <v>44</v>
      </c>
    </row>
    <row r="124" ht="22.5" customHeight="1">
      <c r="A124" s="8">
        <v>45783.0</v>
      </c>
      <c r="B124" s="9" t="s">
        <v>19</v>
      </c>
      <c r="C124" s="9" t="s">
        <v>9</v>
      </c>
      <c r="D124" s="9">
        <v>7.0</v>
      </c>
      <c r="E124" s="9" t="s">
        <v>10</v>
      </c>
      <c r="F124" s="9" t="s">
        <v>15</v>
      </c>
      <c r="G124" s="9" t="s">
        <v>30</v>
      </c>
      <c r="H124" s="9">
        <v>5.0</v>
      </c>
      <c r="I124" s="10" t="s">
        <v>45</v>
      </c>
    </row>
    <row r="125" ht="22.5" customHeight="1">
      <c r="A125" s="8">
        <v>45784.0</v>
      </c>
      <c r="B125" s="9" t="s">
        <v>17</v>
      </c>
      <c r="C125" s="9" t="s">
        <v>9</v>
      </c>
      <c r="D125" s="9">
        <v>12.0</v>
      </c>
      <c r="E125" s="9" t="s">
        <v>10</v>
      </c>
      <c r="F125" s="9" t="s">
        <v>11</v>
      </c>
      <c r="G125" s="9" t="s">
        <v>30</v>
      </c>
      <c r="H125" s="9">
        <v>5.0</v>
      </c>
      <c r="I125" s="10" t="s">
        <v>46</v>
      </c>
    </row>
    <row r="126" ht="22.5" customHeight="1">
      <c r="A126" s="8">
        <v>45785.0</v>
      </c>
      <c r="B126" s="9" t="s">
        <v>17</v>
      </c>
      <c r="C126" s="9" t="s">
        <v>24</v>
      </c>
      <c r="D126" s="9">
        <v>10.0</v>
      </c>
      <c r="E126" s="9" t="s">
        <v>10</v>
      </c>
      <c r="F126" s="9" t="s">
        <v>15</v>
      </c>
      <c r="G126" s="9" t="s">
        <v>30</v>
      </c>
      <c r="H126" s="9">
        <v>5.0</v>
      </c>
      <c r="I126" s="10" t="s">
        <v>47</v>
      </c>
    </row>
    <row r="127" ht="22.5" customHeight="1">
      <c r="A127" s="8">
        <v>45786.0</v>
      </c>
      <c r="B127" s="9" t="s">
        <v>8</v>
      </c>
      <c r="C127" s="9" t="s">
        <v>21</v>
      </c>
      <c r="D127" s="9">
        <v>15.0</v>
      </c>
      <c r="E127" s="9" t="s">
        <v>10</v>
      </c>
      <c r="F127" s="9" t="s">
        <v>11</v>
      </c>
      <c r="G127" s="9" t="s">
        <v>30</v>
      </c>
      <c r="H127" s="9">
        <v>5.0</v>
      </c>
      <c r="I127" s="10" t="s">
        <v>42</v>
      </c>
    </row>
    <row r="128" ht="22.5" customHeight="1">
      <c r="A128" s="8">
        <v>45787.0</v>
      </c>
      <c r="B128" s="9" t="s">
        <v>8</v>
      </c>
      <c r="C128" s="9" t="s">
        <v>21</v>
      </c>
      <c r="D128" s="9">
        <v>14.0</v>
      </c>
      <c r="E128" s="9" t="s">
        <v>10</v>
      </c>
      <c r="F128" s="9" t="s">
        <v>11</v>
      </c>
      <c r="G128" s="9" t="s">
        <v>30</v>
      </c>
      <c r="H128" s="9">
        <v>5.0</v>
      </c>
      <c r="I128" s="10" t="s">
        <v>48</v>
      </c>
    </row>
    <row r="129" ht="22.5" customHeight="1">
      <c r="A129" s="8">
        <v>45788.0</v>
      </c>
      <c r="B129" s="9" t="s">
        <v>25</v>
      </c>
      <c r="C129" s="9" t="s">
        <v>9</v>
      </c>
      <c r="D129" s="9">
        <v>28.0</v>
      </c>
      <c r="E129" s="9" t="s">
        <v>10</v>
      </c>
      <c r="F129" s="9" t="s">
        <v>15</v>
      </c>
      <c r="G129" s="9" t="s">
        <v>30</v>
      </c>
      <c r="H129" s="9">
        <v>5.0</v>
      </c>
      <c r="I129" s="10" t="s">
        <v>43</v>
      </c>
    </row>
    <row r="130" ht="22.5" customHeight="1">
      <c r="A130" s="8">
        <v>45789.0</v>
      </c>
      <c r="B130" s="9" t="s">
        <v>19</v>
      </c>
      <c r="C130" s="9" t="s">
        <v>9</v>
      </c>
      <c r="D130" s="9">
        <v>7.0</v>
      </c>
      <c r="E130" s="9" t="s">
        <v>10</v>
      </c>
      <c r="F130" s="9" t="s">
        <v>11</v>
      </c>
      <c r="G130" s="9" t="s">
        <v>30</v>
      </c>
      <c r="H130" s="9">
        <v>5.0</v>
      </c>
      <c r="I130" s="10" t="s">
        <v>44</v>
      </c>
    </row>
    <row r="131" ht="22.5" customHeight="1">
      <c r="A131" s="8">
        <v>45790.0</v>
      </c>
      <c r="B131" s="9" t="s">
        <v>8</v>
      </c>
      <c r="C131" s="9" t="s">
        <v>9</v>
      </c>
      <c r="D131" s="9">
        <v>14.0</v>
      </c>
      <c r="E131" s="9" t="s">
        <v>10</v>
      </c>
      <c r="F131" s="9" t="s">
        <v>11</v>
      </c>
      <c r="G131" s="9" t="s">
        <v>30</v>
      </c>
      <c r="H131" s="9">
        <v>5.0</v>
      </c>
      <c r="I131" s="10" t="s">
        <v>45</v>
      </c>
    </row>
    <row r="132" ht="22.5" customHeight="1">
      <c r="A132" s="8">
        <v>45791.0</v>
      </c>
      <c r="B132" s="9" t="s">
        <v>23</v>
      </c>
      <c r="C132" s="9" t="s">
        <v>9</v>
      </c>
      <c r="D132" s="9">
        <v>18.0</v>
      </c>
      <c r="E132" s="9" t="s">
        <v>10</v>
      </c>
      <c r="F132" s="9" t="s">
        <v>11</v>
      </c>
      <c r="G132" s="9" t="s">
        <v>30</v>
      </c>
      <c r="H132" s="9">
        <v>5.0</v>
      </c>
      <c r="I132" s="10" t="s">
        <v>46</v>
      </c>
    </row>
    <row r="133" ht="22.5" customHeight="1">
      <c r="A133" s="8">
        <v>45792.0</v>
      </c>
      <c r="B133" s="9" t="s">
        <v>8</v>
      </c>
      <c r="C133" s="9" t="s">
        <v>9</v>
      </c>
      <c r="D133" s="9">
        <v>14.0</v>
      </c>
      <c r="E133" s="9" t="s">
        <v>10</v>
      </c>
      <c r="F133" s="9" t="s">
        <v>15</v>
      </c>
      <c r="G133" s="9" t="s">
        <v>30</v>
      </c>
      <c r="H133" s="9">
        <v>5.0</v>
      </c>
      <c r="I133" s="10" t="s">
        <v>47</v>
      </c>
    </row>
    <row r="134" ht="22.5" customHeight="1">
      <c r="A134" s="8">
        <v>45793.0</v>
      </c>
      <c r="B134" s="9" t="s">
        <v>17</v>
      </c>
      <c r="C134" s="9" t="s">
        <v>24</v>
      </c>
      <c r="D134" s="9">
        <v>9.0</v>
      </c>
      <c r="E134" s="9" t="s">
        <v>10</v>
      </c>
      <c r="F134" s="9" t="s">
        <v>15</v>
      </c>
      <c r="G134" s="9" t="s">
        <v>30</v>
      </c>
      <c r="H134" s="9">
        <v>5.0</v>
      </c>
      <c r="I134" s="10" t="s">
        <v>42</v>
      </c>
    </row>
    <row r="135" ht="22.5" customHeight="1">
      <c r="A135" s="8">
        <v>45794.0</v>
      </c>
      <c r="B135" s="9" t="s">
        <v>23</v>
      </c>
      <c r="C135" s="9" t="s">
        <v>9</v>
      </c>
      <c r="D135" s="9">
        <v>19.0</v>
      </c>
      <c r="E135" s="9" t="s">
        <v>10</v>
      </c>
      <c r="F135" s="9" t="s">
        <v>11</v>
      </c>
      <c r="G135" s="9" t="s">
        <v>30</v>
      </c>
      <c r="H135" s="9">
        <v>5.0</v>
      </c>
      <c r="I135" s="10" t="s">
        <v>48</v>
      </c>
    </row>
    <row r="136" ht="22.5" customHeight="1">
      <c r="A136" s="8">
        <v>45795.0</v>
      </c>
      <c r="B136" s="9" t="s">
        <v>8</v>
      </c>
      <c r="C136" s="9" t="s">
        <v>9</v>
      </c>
      <c r="D136" s="9">
        <v>14.0</v>
      </c>
      <c r="E136" s="9" t="s">
        <v>10</v>
      </c>
      <c r="F136" s="9" t="s">
        <v>11</v>
      </c>
      <c r="G136" s="9" t="s">
        <v>30</v>
      </c>
      <c r="H136" s="9">
        <v>5.0</v>
      </c>
      <c r="I136" s="10" t="s">
        <v>43</v>
      </c>
    </row>
    <row r="137" ht="22.5" customHeight="1">
      <c r="A137" s="8">
        <v>45796.0</v>
      </c>
      <c r="B137" s="9" t="s">
        <v>17</v>
      </c>
      <c r="C137" s="9" t="s">
        <v>9</v>
      </c>
      <c r="D137" s="9">
        <v>9.0</v>
      </c>
      <c r="E137" s="9" t="s">
        <v>10</v>
      </c>
      <c r="F137" s="9" t="s">
        <v>11</v>
      </c>
      <c r="G137" s="9" t="s">
        <v>30</v>
      </c>
      <c r="H137" s="9">
        <v>5.0</v>
      </c>
      <c r="I137" s="10" t="s">
        <v>44</v>
      </c>
    </row>
    <row r="138" ht="22.5" customHeight="1">
      <c r="A138" s="8">
        <v>45797.0</v>
      </c>
      <c r="B138" s="9" t="s">
        <v>14</v>
      </c>
      <c r="C138" s="9" t="s">
        <v>9</v>
      </c>
      <c r="D138" s="9">
        <v>22.0</v>
      </c>
      <c r="E138" s="9" t="s">
        <v>10</v>
      </c>
      <c r="F138" s="9" t="s">
        <v>11</v>
      </c>
      <c r="G138" s="9" t="s">
        <v>30</v>
      </c>
      <c r="H138" s="9">
        <v>5.0</v>
      </c>
      <c r="I138" s="10" t="s">
        <v>45</v>
      </c>
    </row>
    <row r="139" ht="22.5" customHeight="1">
      <c r="A139" s="8">
        <v>45798.0</v>
      </c>
      <c r="B139" s="9" t="s">
        <v>19</v>
      </c>
      <c r="C139" s="9" t="s">
        <v>9</v>
      </c>
      <c r="D139" s="9">
        <v>7.0</v>
      </c>
      <c r="E139" s="9" t="s">
        <v>10</v>
      </c>
      <c r="F139" s="9" t="s">
        <v>15</v>
      </c>
      <c r="G139" s="9" t="s">
        <v>30</v>
      </c>
      <c r="H139" s="9">
        <v>5.0</v>
      </c>
      <c r="I139" s="10" t="s">
        <v>46</v>
      </c>
    </row>
    <row r="140" ht="22.5" customHeight="1">
      <c r="A140" s="8">
        <v>45799.0</v>
      </c>
      <c r="B140" s="9" t="s">
        <v>14</v>
      </c>
      <c r="C140" s="9" t="s">
        <v>9</v>
      </c>
      <c r="D140" s="9">
        <v>23.0</v>
      </c>
      <c r="E140" s="9" t="s">
        <v>10</v>
      </c>
      <c r="F140" s="9" t="s">
        <v>15</v>
      </c>
      <c r="G140" s="9" t="s">
        <v>30</v>
      </c>
      <c r="H140" s="9">
        <v>5.0</v>
      </c>
      <c r="I140" s="10" t="s">
        <v>47</v>
      </c>
    </row>
    <row r="141" ht="22.5" customHeight="1">
      <c r="A141" s="8">
        <v>45800.0</v>
      </c>
      <c r="B141" s="9" t="s">
        <v>8</v>
      </c>
      <c r="C141" s="9" t="s">
        <v>9</v>
      </c>
      <c r="D141" s="9">
        <v>14.0</v>
      </c>
      <c r="E141" s="9" t="s">
        <v>10</v>
      </c>
      <c r="F141" s="9" t="s">
        <v>11</v>
      </c>
      <c r="G141" s="9" t="s">
        <v>30</v>
      </c>
      <c r="H141" s="9">
        <v>5.0</v>
      </c>
      <c r="I141" s="10" t="s">
        <v>42</v>
      </c>
    </row>
    <row r="142" ht="22.5" customHeight="1">
      <c r="A142" s="8">
        <v>45801.0</v>
      </c>
      <c r="B142" s="9" t="s">
        <v>8</v>
      </c>
      <c r="C142" s="9" t="s">
        <v>9</v>
      </c>
      <c r="D142" s="9">
        <v>14.0</v>
      </c>
      <c r="E142" s="9" t="s">
        <v>10</v>
      </c>
      <c r="F142" s="9" t="s">
        <v>11</v>
      </c>
      <c r="G142" s="9" t="s">
        <v>30</v>
      </c>
      <c r="H142" s="9">
        <v>5.0</v>
      </c>
      <c r="I142" s="10" t="s">
        <v>48</v>
      </c>
    </row>
    <row r="143" ht="22.5" customHeight="1">
      <c r="A143" s="8">
        <v>45802.0</v>
      </c>
      <c r="B143" s="9" t="s">
        <v>26</v>
      </c>
      <c r="C143" s="9" t="s">
        <v>9</v>
      </c>
      <c r="D143" s="9">
        <v>25.0</v>
      </c>
      <c r="E143" s="9" t="s">
        <v>22</v>
      </c>
      <c r="F143" s="9" t="s">
        <v>15</v>
      </c>
      <c r="G143" s="9" t="s">
        <v>30</v>
      </c>
      <c r="H143" s="9">
        <v>5.0</v>
      </c>
      <c r="I143" s="10" t="s">
        <v>43</v>
      </c>
    </row>
    <row r="144" ht="22.5" customHeight="1">
      <c r="A144" s="8">
        <v>45803.0</v>
      </c>
      <c r="B144" s="9" t="s">
        <v>8</v>
      </c>
      <c r="C144" s="9" t="s">
        <v>24</v>
      </c>
      <c r="D144" s="9">
        <v>15.0</v>
      </c>
      <c r="E144" s="9" t="s">
        <v>10</v>
      </c>
      <c r="F144" s="9" t="s">
        <v>11</v>
      </c>
      <c r="G144" s="9" t="s">
        <v>30</v>
      </c>
      <c r="H144" s="9">
        <v>5.0</v>
      </c>
      <c r="I144" s="10" t="s">
        <v>44</v>
      </c>
    </row>
    <row r="145" ht="22.5" customHeight="1">
      <c r="A145" s="8">
        <v>45804.0</v>
      </c>
      <c r="B145" s="9" t="s">
        <v>17</v>
      </c>
      <c r="C145" s="9" t="s">
        <v>9</v>
      </c>
      <c r="D145" s="9">
        <v>10.0</v>
      </c>
      <c r="E145" s="9" t="s">
        <v>10</v>
      </c>
      <c r="F145" s="9" t="s">
        <v>11</v>
      </c>
      <c r="G145" s="9" t="s">
        <v>30</v>
      </c>
      <c r="H145" s="9">
        <v>5.0</v>
      </c>
      <c r="I145" s="10" t="s">
        <v>45</v>
      </c>
    </row>
    <row r="146" ht="22.5" customHeight="1">
      <c r="A146" s="8">
        <v>45805.0</v>
      </c>
      <c r="B146" s="9" t="s">
        <v>8</v>
      </c>
      <c r="C146" s="9" t="s">
        <v>9</v>
      </c>
      <c r="D146" s="9">
        <v>14.0</v>
      </c>
      <c r="E146" s="9" t="s">
        <v>10</v>
      </c>
      <c r="F146" s="9" t="s">
        <v>11</v>
      </c>
      <c r="G146" s="9" t="s">
        <v>30</v>
      </c>
      <c r="H146" s="9">
        <v>5.0</v>
      </c>
      <c r="I146" s="10" t="s">
        <v>46</v>
      </c>
    </row>
    <row r="147" ht="22.5" customHeight="1">
      <c r="A147" s="8">
        <v>45806.0</v>
      </c>
      <c r="B147" s="9" t="s">
        <v>19</v>
      </c>
      <c r="C147" s="9" t="s">
        <v>9</v>
      </c>
      <c r="D147" s="9">
        <v>7.0</v>
      </c>
      <c r="E147" s="9" t="s">
        <v>10</v>
      </c>
      <c r="F147" s="9" t="s">
        <v>15</v>
      </c>
      <c r="G147" s="9" t="s">
        <v>30</v>
      </c>
      <c r="H147" s="9">
        <v>5.0</v>
      </c>
      <c r="I147" s="10" t="s">
        <v>47</v>
      </c>
    </row>
    <row r="148" ht="22.5" customHeight="1">
      <c r="A148" s="8">
        <v>45807.0</v>
      </c>
      <c r="B148" s="9" t="s">
        <v>8</v>
      </c>
      <c r="C148" s="9" t="s">
        <v>21</v>
      </c>
      <c r="D148" s="9">
        <v>16.0</v>
      </c>
      <c r="E148" s="9" t="s">
        <v>10</v>
      </c>
      <c r="F148" s="9" t="s">
        <v>15</v>
      </c>
      <c r="G148" s="9" t="s">
        <v>30</v>
      </c>
      <c r="H148" s="9">
        <v>5.0</v>
      </c>
      <c r="I148" s="10" t="s">
        <v>42</v>
      </c>
    </row>
    <row r="149" ht="22.5" customHeight="1">
      <c r="A149" s="8">
        <v>45808.0</v>
      </c>
      <c r="B149" s="9" t="s">
        <v>17</v>
      </c>
      <c r="C149" s="9" t="s">
        <v>9</v>
      </c>
      <c r="D149" s="9">
        <v>10.0</v>
      </c>
      <c r="E149" s="9" t="s">
        <v>10</v>
      </c>
      <c r="F149" s="9" t="s">
        <v>11</v>
      </c>
      <c r="G149" s="9" t="s">
        <v>30</v>
      </c>
      <c r="H149" s="9">
        <v>5.0</v>
      </c>
      <c r="I149" s="10" t="s">
        <v>48</v>
      </c>
    </row>
    <row r="150" ht="22.5" customHeight="1">
      <c r="A150" s="8">
        <v>45809.0</v>
      </c>
      <c r="B150" s="9" t="s">
        <v>19</v>
      </c>
      <c r="C150" s="9" t="s">
        <v>9</v>
      </c>
      <c r="D150" s="9">
        <v>7.0</v>
      </c>
      <c r="E150" s="9" t="s">
        <v>10</v>
      </c>
      <c r="F150" s="9" t="s">
        <v>11</v>
      </c>
      <c r="G150" s="9" t="s">
        <v>31</v>
      </c>
      <c r="H150" s="9">
        <v>6.0</v>
      </c>
      <c r="I150" s="10" t="s">
        <v>43</v>
      </c>
    </row>
    <row r="151" ht="22.5" customHeight="1">
      <c r="A151" s="8">
        <v>45811.0</v>
      </c>
      <c r="B151" s="9" t="s">
        <v>8</v>
      </c>
      <c r="C151" s="9" t="s">
        <v>9</v>
      </c>
      <c r="D151" s="9">
        <v>21.0</v>
      </c>
      <c r="E151" s="9" t="s">
        <v>10</v>
      </c>
      <c r="F151" s="9" t="s">
        <v>11</v>
      </c>
      <c r="G151" s="9" t="s">
        <v>31</v>
      </c>
      <c r="H151" s="9">
        <v>6.0</v>
      </c>
      <c r="I151" s="10" t="s">
        <v>45</v>
      </c>
    </row>
    <row r="152" ht="22.5" customHeight="1">
      <c r="A152" s="8">
        <v>45812.0</v>
      </c>
      <c r="B152" s="9" t="s">
        <v>17</v>
      </c>
      <c r="C152" s="9" t="s">
        <v>9</v>
      </c>
      <c r="D152" s="9">
        <v>14.0</v>
      </c>
      <c r="E152" s="9" t="s">
        <v>10</v>
      </c>
      <c r="F152" s="9" t="s">
        <v>15</v>
      </c>
      <c r="G152" s="9" t="s">
        <v>31</v>
      </c>
      <c r="H152" s="9">
        <v>6.0</v>
      </c>
      <c r="I152" s="10" t="s">
        <v>46</v>
      </c>
    </row>
    <row r="153" ht="22.5" customHeight="1">
      <c r="A153" s="8">
        <v>45814.0</v>
      </c>
      <c r="B153" s="9" t="s">
        <v>14</v>
      </c>
      <c r="C153" s="9" t="s">
        <v>24</v>
      </c>
      <c r="D153" s="9">
        <v>20.0</v>
      </c>
      <c r="E153" s="9" t="s">
        <v>10</v>
      </c>
      <c r="F153" s="9" t="s">
        <v>11</v>
      </c>
      <c r="G153" s="9" t="s">
        <v>31</v>
      </c>
      <c r="H153" s="9">
        <v>6.0</v>
      </c>
      <c r="I153" s="10" t="s">
        <v>42</v>
      </c>
    </row>
    <row r="154" ht="22.5" customHeight="1">
      <c r="A154" s="8">
        <v>45816.0</v>
      </c>
      <c r="B154" s="9" t="s">
        <v>8</v>
      </c>
      <c r="C154" s="9" t="s">
        <v>9</v>
      </c>
      <c r="D154" s="9">
        <v>14.0</v>
      </c>
      <c r="E154" s="9" t="s">
        <v>10</v>
      </c>
      <c r="F154" s="9" t="s">
        <v>11</v>
      </c>
      <c r="G154" s="9" t="s">
        <v>31</v>
      </c>
      <c r="H154" s="9">
        <v>6.0</v>
      </c>
      <c r="I154" s="10" t="s">
        <v>43</v>
      </c>
    </row>
    <row r="155" ht="22.5" customHeight="1">
      <c r="A155" s="8">
        <v>45818.0</v>
      </c>
      <c r="B155" s="9" t="s">
        <v>19</v>
      </c>
      <c r="C155" s="9" t="s">
        <v>9</v>
      </c>
      <c r="D155" s="9">
        <v>7.0</v>
      </c>
      <c r="E155" s="9" t="s">
        <v>10</v>
      </c>
      <c r="F155" s="9" t="s">
        <v>15</v>
      </c>
      <c r="G155" s="9" t="s">
        <v>31</v>
      </c>
      <c r="H155" s="9">
        <v>6.0</v>
      </c>
      <c r="I155" s="10" t="s">
        <v>45</v>
      </c>
    </row>
    <row r="156" ht="22.5" customHeight="1">
      <c r="A156" s="8">
        <v>45819.0</v>
      </c>
      <c r="B156" s="9" t="s">
        <v>17</v>
      </c>
      <c r="C156" s="9" t="s">
        <v>9</v>
      </c>
      <c r="D156" s="9">
        <v>11.0</v>
      </c>
      <c r="E156" s="9" t="s">
        <v>10</v>
      </c>
      <c r="F156" s="9" t="s">
        <v>11</v>
      </c>
      <c r="G156" s="9" t="s">
        <v>31</v>
      </c>
      <c r="H156" s="9">
        <v>6.0</v>
      </c>
      <c r="I156" s="10" t="s">
        <v>46</v>
      </c>
    </row>
    <row r="157" ht="22.5" customHeight="1">
      <c r="A157" s="8">
        <v>45821.0</v>
      </c>
      <c r="B157" s="9" t="s">
        <v>8</v>
      </c>
      <c r="C157" s="9" t="s">
        <v>9</v>
      </c>
      <c r="D157" s="9">
        <v>15.0</v>
      </c>
      <c r="E157" s="9" t="s">
        <v>10</v>
      </c>
      <c r="F157" s="9" t="s">
        <v>11</v>
      </c>
      <c r="G157" s="9" t="s">
        <v>31</v>
      </c>
      <c r="H157" s="9">
        <v>6.0</v>
      </c>
      <c r="I157" s="10" t="s">
        <v>42</v>
      </c>
    </row>
    <row r="158" ht="22.5" customHeight="1">
      <c r="A158" s="8">
        <v>45823.0</v>
      </c>
      <c r="B158" s="9" t="s">
        <v>23</v>
      </c>
      <c r="C158" s="9" t="s">
        <v>9</v>
      </c>
      <c r="D158" s="9">
        <v>19.0</v>
      </c>
      <c r="E158" s="9" t="s">
        <v>10</v>
      </c>
      <c r="F158" s="9" t="s">
        <v>15</v>
      </c>
      <c r="G158" s="9" t="s">
        <v>31</v>
      </c>
      <c r="H158" s="9">
        <v>6.0</v>
      </c>
      <c r="I158" s="10" t="s">
        <v>43</v>
      </c>
    </row>
    <row r="159" ht="22.5" customHeight="1">
      <c r="A159" s="8">
        <v>45825.0</v>
      </c>
      <c r="B159" s="9" t="s">
        <v>8</v>
      </c>
      <c r="C159" s="9" t="s">
        <v>21</v>
      </c>
      <c r="D159" s="9">
        <v>14.0</v>
      </c>
      <c r="E159" s="9" t="s">
        <v>10</v>
      </c>
      <c r="F159" s="9" t="s">
        <v>11</v>
      </c>
      <c r="G159" s="9" t="s">
        <v>31</v>
      </c>
      <c r="H159" s="9">
        <v>6.0</v>
      </c>
      <c r="I159" s="10" t="s">
        <v>45</v>
      </c>
    </row>
    <row r="160" ht="22.5" customHeight="1">
      <c r="A160" s="8">
        <v>45826.0</v>
      </c>
      <c r="B160" s="9" t="s">
        <v>17</v>
      </c>
      <c r="C160" s="9" t="s">
        <v>24</v>
      </c>
      <c r="D160" s="9">
        <v>10.0</v>
      </c>
      <c r="E160" s="9" t="s">
        <v>10</v>
      </c>
      <c r="F160" s="9" t="s">
        <v>11</v>
      </c>
      <c r="G160" s="9" t="s">
        <v>31</v>
      </c>
      <c r="H160" s="9">
        <v>6.0</v>
      </c>
      <c r="I160" s="10" t="s">
        <v>46</v>
      </c>
    </row>
    <row r="161" ht="22.5" customHeight="1">
      <c r="A161" s="8">
        <v>45828.0</v>
      </c>
      <c r="B161" s="9" t="s">
        <v>14</v>
      </c>
      <c r="C161" s="9" t="s">
        <v>9</v>
      </c>
      <c r="D161" s="9">
        <v>24.0</v>
      </c>
      <c r="E161" s="9" t="s">
        <v>10</v>
      </c>
      <c r="F161" s="9" t="s">
        <v>15</v>
      </c>
      <c r="G161" s="9" t="s">
        <v>31</v>
      </c>
      <c r="H161" s="9">
        <v>6.0</v>
      </c>
      <c r="I161" s="10" t="s">
        <v>42</v>
      </c>
    </row>
    <row r="162" ht="22.5" customHeight="1">
      <c r="A162" s="8">
        <v>45830.0</v>
      </c>
      <c r="B162" s="9" t="s">
        <v>8</v>
      </c>
      <c r="C162" s="9" t="s">
        <v>9</v>
      </c>
      <c r="D162" s="9">
        <v>14.0</v>
      </c>
      <c r="E162" s="9" t="s">
        <v>10</v>
      </c>
      <c r="F162" s="9" t="s">
        <v>11</v>
      </c>
      <c r="G162" s="9" t="s">
        <v>31</v>
      </c>
      <c r="H162" s="9">
        <v>6.0</v>
      </c>
      <c r="I162" s="10" t="s">
        <v>43</v>
      </c>
    </row>
    <row r="163" ht="22.5" customHeight="1">
      <c r="A163" s="8">
        <v>45832.0</v>
      </c>
      <c r="B163" s="9" t="s">
        <v>19</v>
      </c>
      <c r="C163" s="9" t="s">
        <v>9</v>
      </c>
      <c r="D163" s="9">
        <v>7.0</v>
      </c>
      <c r="E163" s="9" t="s">
        <v>10</v>
      </c>
      <c r="F163" s="9" t="s">
        <v>11</v>
      </c>
      <c r="G163" s="9" t="s">
        <v>31</v>
      </c>
      <c r="H163" s="9">
        <v>6.0</v>
      </c>
      <c r="I163" s="10" t="s">
        <v>45</v>
      </c>
    </row>
    <row r="164" ht="22.5" customHeight="1">
      <c r="A164" s="8">
        <v>45833.0</v>
      </c>
      <c r="B164" s="9" t="s">
        <v>26</v>
      </c>
      <c r="C164" s="9" t="s">
        <v>9</v>
      </c>
      <c r="D164" s="9">
        <v>22.0</v>
      </c>
      <c r="E164" s="9" t="s">
        <v>10</v>
      </c>
      <c r="F164" s="9" t="s">
        <v>15</v>
      </c>
      <c r="G164" s="9" t="s">
        <v>31</v>
      </c>
      <c r="H164" s="9">
        <v>6.0</v>
      </c>
      <c r="I164" s="10" t="s">
        <v>46</v>
      </c>
    </row>
    <row r="165" ht="22.5" customHeight="1">
      <c r="A165" s="8">
        <v>45835.0</v>
      </c>
      <c r="B165" s="9" t="s">
        <v>8</v>
      </c>
      <c r="C165" s="9" t="s">
        <v>9</v>
      </c>
      <c r="D165" s="9">
        <v>14.0</v>
      </c>
      <c r="E165" s="9" t="s">
        <v>10</v>
      </c>
      <c r="F165" s="9" t="s">
        <v>11</v>
      </c>
      <c r="G165" s="9" t="s">
        <v>31</v>
      </c>
      <c r="H165" s="9">
        <v>6.0</v>
      </c>
      <c r="I165" s="10" t="s">
        <v>42</v>
      </c>
    </row>
    <row r="166" ht="22.5" customHeight="1">
      <c r="A166" s="8">
        <v>45837.0</v>
      </c>
      <c r="B166" s="9" t="s">
        <v>17</v>
      </c>
      <c r="C166" s="9" t="s">
        <v>9</v>
      </c>
      <c r="D166" s="9">
        <v>9.0</v>
      </c>
      <c r="E166" s="9" t="s">
        <v>10</v>
      </c>
      <c r="F166" s="9" t="s">
        <v>11</v>
      </c>
      <c r="G166" s="9" t="s">
        <v>31</v>
      </c>
      <c r="H166" s="9">
        <v>6.0</v>
      </c>
      <c r="I166" s="10" t="s">
        <v>43</v>
      </c>
    </row>
    <row r="167" ht="22.5" customHeight="1">
      <c r="A167" s="8">
        <v>45839.0</v>
      </c>
      <c r="B167" s="9" t="s">
        <v>8</v>
      </c>
      <c r="C167" s="9" t="s">
        <v>9</v>
      </c>
      <c r="D167" s="9">
        <v>21.0</v>
      </c>
      <c r="E167" s="9" t="s">
        <v>10</v>
      </c>
      <c r="F167" s="9" t="s">
        <v>15</v>
      </c>
      <c r="G167" s="9" t="s">
        <v>32</v>
      </c>
      <c r="H167" s="9">
        <v>7.0</v>
      </c>
      <c r="I167" s="10" t="s">
        <v>45</v>
      </c>
    </row>
    <row r="168" ht="22.5" customHeight="1">
      <c r="A168" s="8">
        <v>45841.0</v>
      </c>
      <c r="B168" s="9" t="s">
        <v>14</v>
      </c>
      <c r="C168" s="9" t="s">
        <v>9</v>
      </c>
      <c r="D168" s="9">
        <v>28.0</v>
      </c>
      <c r="E168" s="9" t="s">
        <v>22</v>
      </c>
      <c r="F168" s="9" t="s">
        <v>11</v>
      </c>
      <c r="G168" s="9" t="s">
        <v>32</v>
      </c>
      <c r="H168" s="9">
        <v>7.0</v>
      </c>
      <c r="I168" s="10" t="s">
        <v>47</v>
      </c>
    </row>
    <row r="169" ht="22.5" customHeight="1">
      <c r="A169" s="8">
        <v>45844.0</v>
      </c>
      <c r="B169" s="9" t="s">
        <v>19</v>
      </c>
      <c r="C169" s="9" t="s">
        <v>9</v>
      </c>
      <c r="D169" s="9">
        <v>7.0</v>
      </c>
      <c r="E169" s="9" t="s">
        <v>10</v>
      </c>
      <c r="F169" s="9" t="s">
        <v>11</v>
      </c>
      <c r="G169" s="9" t="s">
        <v>32</v>
      </c>
      <c r="H169" s="9">
        <v>7.0</v>
      </c>
      <c r="I169" s="10" t="s">
        <v>43</v>
      </c>
    </row>
    <row r="170" ht="22.5" customHeight="1">
      <c r="A170" s="8">
        <v>45846.0</v>
      </c>
      <c r="B170" s="9" t="s">
        <v>17</v>
      </c>
      <c r="C170" s="9" t="s">
        <v>9</v>
      </c>
      <c r="D170" s="9">
        <v>14.0</v>
      </c>
      <c r="E170" s="9" t="s">
        <v>10</v>
      </c>
      <c r="F170" s="9" t="s">
        <v>15</v>
      </c>
      <c r="G170" s="9" t="s">
        <v>32</v>
      </c>
      <c r="H170" s="9">
        <v>7.0</v>
      </c>
      <c r="I170" s="10" t="s">
        <v>45</v>
      </c>
    </row>
    <row r="171" ht="22.5" customHeight="1">
      <c r="A171" s="8">
        <v>45848.0</v>
      </c>
      <c r="B171" s="9" t="s">
        <v>8</v>
      </c>
      <c r="C171" s="9" t="s">
        <v>24</v>
      </c>
      <c r="D171" s="9">
        <v>15.0</v>
      </c>
      <c r="E171" s="9" t="s">
        <v>10</v>
      </c>
      <c r="F171" s="9" t="s">
        <v>11</v>
      </c>
      <c r="G171" s="9" t="s">
        <v>32</v>
      </c>
      <c r="H171" s="9">
        <v>7.0</v>
      </c>
      <c r="I171" s="10" t="s">
        <v>47</v>
      </c>
    </row>
    <row r="172" ht="22.5" customHeight="1">
      <c r="A172" s="8">
        <v>45851.0</v>
      </c>
      <c r="B172" s="9" t="s">
        <v>8</v>
      </c>
      <c r="C172" s="9" t="s">
        <v>9</v>
      </c>
      <c r="D172" s="9">
        <v>21.0</v>
      </c>
      <c r="E172" s="9" t="s">
        <v>10</v>
      </c>
      <c r="F172" s="9" t="s">
        <v>11</v>
      </c>
      <c r="G172" s="9" t="s">
        <v>32</v>
      </c>
      <c r="H172" s="9">
        <v>7.0</v>
      </c>
      <c r="I172" s="10" t="s">
        <v>43</v>
      </c>
    </row>
    <row r="173" ht="22.5" customHeight="1">
      <c r="A173" s="8">
        <v>45853.0</v>
      </c>
      <c r="B173" s="9" t="s">
        <v>17</v>
      </c>
      <c r="C173" s="9" t="s">
        <v>9</v>
      </c>
      <c r="D173" s="9">
        <v>12.0</v>
      </c>
      <c r="E173" s="9" t="s">
        <v>10</v>
      </c>
      <c r="F173" s="9" t="s">
        <v>15</v>
      </c>
      <c r="G173" s="9" t="s">
        <v>32</v>
      </c>
      <c r="H173" s="9">
        <v>7.0</v>
      </c>
      <c r="I173" s="10" t="s">
        <v>45</v>
      </c>
    </row>
    <row r="174" ht="22.5" customHeight="1">
      <c r="A174" s="8">
        <v>45855.0</v>
      </c>
      <c r="B174" s="9" t="s">
        <v>23</v>
      </c>
      <c r="C174" s="9" t="s">
        <v>9</v>
      </c>
      <c r="D174" s="9">
        <v>20.0</v>
      </c>
      <c r="E174" s="9" t="s">
        <v>10</v>
      </c>
      <c r="F174" s="9" t="s">
        <v>11</v>
      </c>
      <c r="G174" s="9" t="s">
        <v>32</v>
      </c>
      <c r="H174" s="9">
        <v>7.0</v>
      </c>
      <c r="I174" s="10" t="s">
        <v>47</v>
      </c>
    </row>
    <row r="175" ht="22.5" customHeight="1">
      <c r="A175" s="8">
        <v>45858.0</v>
      </c>
      <c r="B175" s="9" t="s">
        <v>8</v>
      </c>
      <c r="C175" s="9" t="s">
        <v>21</v>
      </c>
      <c r="D175" s="9">
        <v>14.0</v>
      </c>
      <c r="E175" s="9" t="s">
        <v>10</v>
      </c>
      <c r="F175" s="9" t="s">
        <v>11</v>
      </c>
      <c r="G175" s="9" t="s">
        <v>32</v>
      </c>
      <c r="H175" s="9">
        <v>7.0</v>
      </c>
      <c r="I175" s="10" t="s">
        <v>43</v>
      </c>
    </row>
    <row r="176" ht="22.5" customHeight="1">
      <c r="A176" s="8">
        <v>45860.0</v>
      </c>
      <c r="B176" s="9" t="s">
        <v>19</v>
      </c>
      <c r="C176" s="9" t="s">
        <v>9</v>
      </c>
      <c r="D176" s="9">
        <v>7.0</v>
      </c>
      <c r="E176" s="9" t="s">
        <v>10</v>
      </c>
      <c r="F176" s="9" t="s">
        <v>15</v>
      </c>
      <c r="G176" s="9" t="s">
        <v>32</v>
      </c>
      <c r="H176" s="9">
        <v>7.0</v>
      </c>
      <c r="I176" s="10" t="s">
        <v>45</v>
      </c>
    </row>
    <row r="177" ht="22.5" customHeight="1">
      <c r="A177" s="8">
        <v>45862.0</v>
      </c>
      <c r="B177" s="9" t="s">
        <v>8</v>
      </c>
      <c r="C177" s="9" t="s">
        <v>9</v>
      </c>
      <c r="D177" s="9">
        <v>21.0</v>
      </c>
      <c r="E177" s="9" t="s">
        <v>10</v>
      </c>
      <c r="F177" s="9" t="s">
        <v>11</v>
      </c>
      <c r="G177" s="9" t="s">
        <v>32</v>
      </c>
      <c r="H177" s="9">
        <v>7.0</v>
      </c>
      <c r="I177" s="10" t="s">
        <v>47</v>
      </c>
    </row>
    <row r="178" ht="22.5" customHeight="1">
      <c r="A178" s="8">
        <v>45865.0</v>
      </c>
      <c r="B178" s="9" t="s">
        <v>17</v>
      </c>
      <c r="C178" s="9" t="s">
        <v>9</v>
      </c>
      <c r="D178" s="9">
        <v>10.0</v>
      </c>
      <c r="E178" s="9" t="s">
        <v>10</v>
      </c>
      <c r="F178" s="9" t="s">
        <v>11</v>
      </c>
      <c r="G178" s="9" t="s">
        <v>32</v>
      </c>
      <c r="H178" s="9">
        <v>7.0</v>
      </c>
      <c r="I178" s="10" t="s">
        <v>43</v>
      </c>
    </row>
    <row r="179" ht="22.5" customHeight="1">
      <c r="A179" s="8">
        <v>45867.0</v>
      </c>
      <c r="B179" s="9" t="s">
        <v>14</v>
      </c>
      <c r="C179" s="9" t="s">
        <v>9</v>
      </c>
      <c r="D179" s="9">
        <v>25.0</v>
      </c>
      <c r="E179" s="9" t="s">
        <v>10</v>
      </c>
      <c r="F179" s="9" t="s">
        <v>15</v>
      </c>
      <c r="G179" s="9" t="s">
        <v>32</v>
      </c>
      <c r="H179" s="9">
        <v>7.0</v>
      </c>
      <c r="I179" s="10" t="s">
        <v>45</v>
      </c>
    </row>
    <row r="180" ht="22.5" customHeight="1">
      <c r="A180" s="8">
        <v>45869.0</v>
      </c>
      <c r="B180" s="9" t="s">
        <v>8</v>
      </c>
      <c r="C180" s="9" t="s">
        <v>9</v>
      </c>
      <c r="D180" s="9">
        <v>14.0</v>
      </c>
      <c r="E180" s="9" t="s">
        <v>10</v>
      </c>
      <c r="F180" s="9" t="s">
        <v>11</v>
      </c>
      <c r="G180" s="9" t="s">
        <v>32</v>
      </c>
      <c r="H180" s="9">
        <v>7.0</v>
      </c>
      <c r="I180" s="10" t="s">
        <v>47</v>
      </c>
    </row>
    <row r="181" ht="22.5" customHeight="1">
      <c r="A181" s="8">
        <v>45872.0</v>
      </c>
      <c r="B181" s="9" t="s">
        <v>19</v>
      </c>
      <c r="C181" s="9" t="s">
        <v>9</v>
      </c>
      <c r="D181" s="9">
        <v>7.0</v>
      </c>
      <c r="E181" s="9" t="s">
        <v>10</v>
      </c>
      <c r="F181" s="9" t="s">
        <v>11</v>
      </c>
      <c r="G181" s="9" t="s">
        <v>34</v>
      </c>
      <c r="H181" s="9">
        <v>8.0</v>
      </c>
      <c r="I181" s="10" t="s">
        <v>43</v>
      </c>
    </row>
    <row r="182" ht="22.5" customHeight="1">
      <c r="A182" s="8">
        <v>45874.0</v>
      </c>
      <c r="B182" s="9" t="s">
        <v>8</v>
      </c>
      <c r="C182" s="9" t="s">
        <v>9</v>
      </c>
      <c r="D182" s="9">
        <v>28.0</v>
      </c>
      <c r="E182" s="9" t="s">
        <v>22</v>
      </c>
      <c r="F182" s="9" t="s">
        <v>15</v>
      </c>
      <c r="G182" s="9" t="s">
        <v>34</v>
      </c>
      <c r="H182" s="9">
        <v>8.0</v>
      </c>
      <c r="I182" s="10" t="s">
        <v>45</v>
      </c>
    </row>
    <row r="183" ht="22.5" customHeight="1">
      <c r="A183" s="8">
        <v>45876.0</v>
      </c>
      <c r="B183" s="9" t="s">
        <v>17</v>
      </c>
      <c r="C183" s="9" t="s">
        <v>24</v>
      </c>
      <c r="D183" s="9">
        <v>14.0</v>
      </c>
      <c r="E183" s="9" t="s">
        <v>10</v>
      </c>
      <c r="F183" s="9" t="s">
        <v>11</v>
      </c>
      <c r="G183" s="9" t="s">
        <v>34</v>
      </c>
      <c r="H183" s="9">
        <v>8.0</v>
      </c>
      <c r="I183" s="10" t="s">
        <v>47</v>
      </c>
    </row>
    <row r="184" ht="22.5" customHeight="1">
      <c r="A184" s="8">
        <v>45879.0</v>
      </c>
      <c r="B184" s="9" t="s">
        <v>8</v>
      </c>
      <c r="C184" s="9" t="s">
        <v>9</v>
      </c>
      <c r="D184" s="9">
        <v>21.0</v>
      </c>
      <c r="E184" s="9" t="s">
        <v>10</v>
      </c>
      <c r="F184" s="9" t="s">
        <v>11</v>
      </c>
      <c r="G184" s="9" t="s">
        <v>34</v>
      </c>
      <c r="H184" s="9">
        <v>8.0</v>
      </c>
      <c r="I184" s="10" t="s">
        <v>43</v>
      </c>
    </row>
    <row r="185" ht="22.5" customHeight="1">
      <c r="A185" s="8">
        <v>45881.0</v>
      </c>
      <c r="B185" s="9" t="s">
        <v>14</v>
      </c>
      <c r="C185" s="9" t="s">
        <v>9</v>
      </c>
      <c r="D185" s="9">
        <v>23.0</v>
      </c>
      <c r="E185" s="9" t="s">
        <v>10</v>
      </c>
      <c r="F185" s="9" t="s">
        <v>15</v>
      </c>
      <c r="G185" s="9" t="s">
        <v>34</v>
      </c>
      <c r="H185" s="9">
        <v>8.0</v>
      </c>
      <c r="I185" s="10" t="s">
        <v>45</v>
      </c>
    </row>
    <row r="186" ht="22.5" customHeight="1">
      <c r="A186" s="8">
        <v>45883.0</v>
      </c>
      <c r="B186" s="9" t="s">
        <v>17</v>
      </c>
      <c r="C186" s="9" t="s">
        <v>9</v>
      </c>
      <c r="D186" s="9">
        <v>11.0</v>
      </c>
      <c r="E186" s="9" t="s">
        <v>10</v>
      </c>
      <c r="F186" s="9" t="s">
        <v>11</v>
      </c>
      <c r="G186" s="9" t="s">
        <v>34</v>
      </c>
      <c r="H186" s="9">
        <v>8.0</v>
      </c>
      <c r="I186" s="10" t="s">
        <v>47</v>
      </c>
    </row>
    <row r="187" ht="22.5" customHeight="1">
      <c r="A187" s="8">
        <v>45886.0</v>
      </c>
      <c r="B187" s="9" t="s">
        <v>8</v>
      </c>
      <c r="C187" s="9" t="s">
        <v>9</v>
      </c>
      <c r="D187" s="9">
        <v>14.0</v>
      </c>
      <c r="E187" s="9" t="s">
        <v>10</v>
      </c>
      <c r="F187" s="9" t="s">
        <v>11</v>
      </c>
      <c r="G187" s="9" t="s">
        <v>34</v>
      </c>
      <c r="H187" s="9">
        <v>8.0</v>
      </c>
      <c r="I187" s="10" t="s">
        <v>43</v>
      </c>
    </row>
    <row r="188" ht="22.5" customHeight="1">
      <c r="A188" s="8">
        <v>45888.0</v>
      </c>
      <c r="B188" s="9" t="s">
        <v>19</v>
      </c>
      <c r="C188" s="9" t="s">
        <v>9</v>
      </c>
      <c r="D188" s="9">
        <v>7.0</v>
      </c>
      <c r="E188" s="9" t="s">
        <v>10</v>
      </c>
      <c r="F188" s="9" t="s">
        <v>15</v>
      </c>
      <c r="G188" s="9" t="s">
        <v>34</v>
      </c>
      <c r="H188" s="9">
        <v>8.0</v>
      </c>
      <c r="I188" s="10" t="s">
        <v>45</v>
      </c>
    </row>
    <row r="189" ht="22.5" customHeight="1">
      <c r="A189" s="8">
        <v>45890.0</v>
      </c>
      <c r="B189" s="9" t="s">
        <v>26</v>
      </c>
      <c r="C189" s="9" t="s">
        <v>21</v>
      </c>
      <c r="D189" s="9">
        <v>26.0</v>
      </c>
      <c r="E189" s="9" t="s">
        <v>10</v>
      </c>
      <c r="F189" s="9" t="s">
        <v>11</v>
      </c>
      <c r="G189" s="9" t="s">
        <v>34</v>
      </c>
      <c r="H189" s="9">
        <v>8.0</v>
      </c>
      <c r="I189" s="10" t="s">
        <v>47</v>
      </c>
    </row>
    <row r="190" ht="22.5" customHeight="1">
      <c r="A190" s="8">
        <v>45893.0</v>
      </c>
      <c r="B190" s="9" t="s">
        <v>8</v>
      </c>
      <c r="C190" s="9" t="s">
        <v>9</v>
      </c>
      <c r="D190" s="9">
        <v>21.0</v>
      </c>
      <c r="E190" s="9" t="s">
        <v>10</v>
      </c>
      <c r="F190" s="9" t="s">
        <v>11</v>
      </c>
      <c r="G190" s="9" t="s">
        <v>34</v>
      </c>
      <c r="H190" s="9">
        <v>8.0</v>
      </c>
      <c r="I190" s="10" t="s">
        <v>43</v>
      </c>
    </row>
    <row r="191" ht="22.5" customHeight="1">
      <c r="A191" s="8">
        <v>45895.0</v>
      </c>
      <c r="B191" s="9" t="s">
        <v>17</v>
      </c>
      <c r="C191" s="9" t="s">
        <v>9</v>
      </c>
      <c r="D191" s="9">
        <v>10.0</v>
      </c>
      <c r="E191" s="9" t="s">
        <v>10</v>
      </c>
      <c r="F191" s="9" t="s">
        <v>15</v>
      </c>
      <c r="G191" s="9" t="s">
        <v>34</v>
      </c>
      <c r="H191" s="9">
        <v>8.0</v>
      </c>
      <c r="I191" s="10" t="s">
        <v>45</v>
      </c>
    </row>
    <row r="192" ht="22.5" customHeight="1">
      <c r="A192" s="8">
        <v>45897.0</v>
      </c>
      <c r="B192" s="9" t="s">
        <v>8</v>
      </c>
      <c r="C192" s="9" t="s">
        <v>24</v>
      </c>
      <c r="D192" s="9">
        <v>14.0</v>
      </c>
      <c r="E192" s="9" t="s">
        <v>10</v>
      </c>
      <c r="F192" s="9" t="s">
        <v>11</v>
      </c>
      <c r="G192" s="9" t="s">
        <v>34</v>
      </c>
      <c r="H192" s="9">
        <v>8.0</v>
      </c>
      <c r="I192" s="10" t="s">
        <v>47</v>
      </c>
    </row>
    <row r="193" ht="22.5" customHeight="1">
      <c r="A193" s="8">
        <v>45900.0</v>
      </c>
      <c r="B193" s="9" t="s">
        <v>23</v>
      </c>
      <c r="C193" s="9" t="s">
        <v>9</v>
      </c>
      <c r="D193" s="9">
        <v>19.0</v>
      </c>
      <c r="E193" s="9" t="s">
        <v>10</v>
      </c>
      <c r="F193" s="9" t="s">
        <v>11</v>
      </c>
      <c r="G193" s="9" t="s">
        <v>34</v>
      </c>
      <c r="H193" s="9">
        <v>8.0</v>
      </c>
      <c r="I193" s="10" t="s">
        <v>43</v>
      </c>
    </row>
    <row r="194" ht="22.5" customHeight="1">
      <c r="A194" s="8">
        <v>45902.0</v>
      </c>
      <c r="B194" s="9" t="s">
        <v>8</v>
      </c>
      <c r="C194" s="9" t="s">
        <v>9</v>
      </c>
      <c r="D194" s="9">
        <v>14.0</v>
      </c>
      <c r="E194" s="9" t="s">
        <v>10</v>
      </c>
      <c r="F194" s="9" t="s">
        <v>15</v>
      </c>
      <c r="G194" s="9" t="s">
        <v>35</v>
      </c>
      <c r="H194" s="9">
        <v>9.0</v>
      </c>
      <c r="I194" s="10" t="s">
        <v>45</v>
      </c>
    </row>
    <row r="195" ht="22.5" customHeight="1">
      <c r="A195" s="8">
        <v>45903.0</v>
      </c>
      <c r="B195" s="9" t="s">
        <v>17</v>
      </c>
      <c r="C195" s="9" t="s">
        <v>9</v>
      </c>
      <c r="D195" s="9">
        <v>9.0</v>
      </c>
      <c r="E195" s="9" t="s">
        <v>10</v>
      </c>
      <c r="F195" s="9" t="s">
        <v>11</v>
      </c>
      <c r="G195" s="9" t="s">
        <v>35</v>
      </c>
      <c r="H195" s="9">
        <v>9.0</v>
      </c>
      <c r="I195" s="10" t="s">
        <v>46</v>
      </c>
    </row>
    <row r="196" ht="22.5" customHeight="1">
      <c r="A196" s="8">
        <v>45905.0</v>
      </c>
      <c r="B196" s="9" t="s">
        <v>14</v>
      </c>
      <c r="C196" s="9" t="s">
        <v>9</v>
      </c>
      <c r="D196" s="9">
        <v>21.0</v>
      </c>
      <c r="E196" s="9" t="s">
        <v>10</v>
      </c>
      <c r="F196" s="9" t="s">
        <v>11</v>
      </c>
      <c r="G196" s="9" t="s">
        <v>35</v>
      </c>
      <c r="H196" s="9">
        <v>9.0</v>
      </c>
      <c r="I196" s="10" t="s">
        <v>42</v>
      </c>
    </row>
    <row r="197" ht="22.5" customHeight="1">
      <c r="A197" s="8">
        <v>45907.0</v>
      </c>
      <c r="B197" s="9" t="s">
        <v>8</v>
      </c>
      <c r="C197" s="9" t="s">
        <v>21</v>
      </c>
      <c r="D197" s="9">
        <v>14.0</v>
      </c>
      <c r="E197" s="9" t="s">
        <v>10</v>
      </c>
      <c r="F197" s="9" t="s">
        <v>15</v>
      </c>
      <c r="G197" s="9" t="s">
        <v>35</v>
      </c>
      <c r="H197" s="9">
        <v>9.0</v>
      </c>
      <c r="I197" s="10" t="s">
        <v>43</v>
      </c>
    </row>
    <row r="198" ht="22.5" customHeight="1">
      <c r="A198" s="8">
        <v>45909.0</v>
      </c>
      <c r="B198" s="9" t="s">
        <v>19</v>
      </c>
      <c r="C198" s="9" t="s">
        <v>9</v>
      </c>
      <c r="D198" s="9">
        <v>7.0</v>
      </c>
      <c r="E198" s="9" t="s">
        <v>10</v>
      </c>
      <c r="F198" s="9" t="s">
        <v>11</v>
      </c>
      <c r="G198" s="9" t="s">
        <v>35</v>
      </c>
      <c r="H198" s="9">
        <v>9.0</v>
      </c>
      <c r="I198" s="10" t="s">
        <v>45</v>
      </c>
    </row>
    <row r="199" ht="22.5" customHeight="1">
      <c r="A199" s="8">
        <v>45910.0</v>
      </c>
      <c r="B199" s="9" t="s">
        <v>17</v>
      </c>
      <c r="C199" s="9" t="s">
        <v>24</v>
      </c>
      <c r="D199" s="9">
        <v>12.0</v>
      </c>
      <c r="E199" s="9" t="s">
        <v>10</v>
      </c>
      <c r="F199" s="9" t="s">
        <v>11</v>
      </c>
      <c r="G199" s="9" t="s">
        <v>35</v>
      </c>
      <c r="H199" s="9">
        <v>9.0</v>
      </c>
      <c r="I199" s="10" t="s">
        <v>46</v>
      </c>
    </row>
    <row r="200" ht="22.5" customHeight="1">
      <c r="A200" s="8">
        <v>45912.0</v>
      </c>
      <c r="B200" s="9" t="s">
        <v>8</v>
      </c>
      <c r="C200" s="9" t="s">
        <v>9</v>
      </c>
      <c r="D200" s="9">
        <v>14.0</v>
      </c>
      <c r="E200" s="9" t="s">
        <v>10</v>
      </c>
      <c r="F200" s="9" t="s">
        <v>15</v>
      </c>
      <c r="G200" s="9" t="s">
        <v>35</v>
      </c>
      <c r="H200" s="9">
        <v>9.0</v>
      </c>
      <c r="I200" s="10" t="s">
        <v>42</v>
      </c>
    </row>
    <row r="201" ht="22.5" customHeight="1">
      <c r="A201" s="8">
        <v>45914.0</v>
      </c>
      <c r="B201" s="9" t="s">
        <v>8</v>
      </c>
      <c r="C201" s="9" t="s">
        <v>9</v>
      </c>
      <c r="D201" s="9">
        <v>16.0</v>
      </c>
      <c r="E201" s="9" t="s">
        <v>22</v>
      </c>
      <c r="F201" s="9" t="s">
        <v>11</v>
      </c>
      <c r="G201" s="9" t="s">
        <v>35</v>
      </c>
      <c r="H201" s="9">
        <v>9.0</v>
      </c>
      <c r="I201" s="10" t="s">
        <v>43</v>
      </c>
    </row>
    <row r="202" ht="22.5" customHeight="1">
      <c r="A202" s="8">
        <v>45916.0</v>
      </c>
      <c r="B202" s="9" t="s">
        <v>23</v>
      </c>
      <c r="C202" s="9" t="s">
        <v>9</v>
      </c>
      <c r="D202" s="9">
        <v>18.0</v>
      </c>
      <c r="E202" s="9" t="s">
        <v>10</v>
      </c>
      <c r="F202" s="9" t="s">
        <v>15</v>
      </c>
      <c r="G202" s="9" t="s">
        <v>35</v>
      </c>
      <c r="H202" s="9">
        <v>9.0</v>
      </c>
      <c r="I202" s="10" t="s">
        <v>45</v>
      </c>
    </row>
    <row r="203" ht="22.5" customHeight="1">
      <c r="A203" s="8">
        <v>45917.0</v>
      </c>
      <c r="B203" s="9" t="s">
        <v>17</v>
      </c>
      <c r="C203" s="9" t="s">
        <v>9</v>
      </c>
      <c r="D203" s="9">
        <v>10.0</v>
      </c>
      <c r="E203" s="9" t="s">
        <v>10</v>
      </c>
      <c r="F203" s="9" t="s">
        <v>11</v>
      </c>
      <c r="G203" s="9" t="s">
        <v>35</v>
      </c>
      <c r="H203" s="9">
        <v>9.0</v>
      </c>
      <c r="I203" s="10" t="s">
        <v>46</v>
      </c>
    </row>
    <row r="204" ht="22.5" customHeight="1">
      <c r="A204" s="8">
        <v>45919.0</v>
      </c>
      <c r="B204" s="9" t="s">
        <v>14</v>
      </c>
      <c r="C204" s="9" t="s">
        <v>9</v>
      </c>
      <c r="D204" s="9">
        <v>22.0</v>
      </c>
      <c r="E204" s="9" t="s">
        <v>10</v>
      </c>
      <c r="F204" s="9" t="s">
        <v>11</v>
      </c>
      <c r="G204" s="9" t="s">
        <v>35</v>
      </c>
      <c r="H204" s="9">
        <v>9.0</v>
      </c>
      <c r="I204" s="10" t="s">
        <v>42</v>
      </c>
    </row>
    <row r="205" ht="22.5" customHeight="1">
      <c r="A205" s="8">
        <v>45921.0</v>
      </c>
      <c r="B205" s="9" t="s">
        <v>8</v>
      </c>
      <c r="C205" s="9" t="s">
        <v>9</v>
      </c>
      <c r="D205" s="9">
        <v>14.0</v>
      </c>
      <c r="E205" s="9" t="s">
        <v>10</v>
      </c>
      <c r="F205" s="9" t="s">
        <v>15</v>
      </c>
      <c r="G205" s="9" t="s">
        <v>35</v>
      </c>
      <c r="H205" s="9">
        <v>9.0</v>
      </c>
      <c r="I205" s="10" t="s">
        <v>43</v>
      </c>
    </row>
    <row r="206" ht="22.5" customHeight="1">
      <c r="A206" s="8">
        <v>45923.0</v>
      </c>
      <c r="B206" s="9" t="s">
        <v>19</v>
      </c>
      <c r="C206" s="9" t="s">
        <v>9</v>
      </c>
      <c r="D206" s="9">
        <v>7.0</v>
      </c>
      <c r="E206" s="9" t="s">
        <v>10</v>
      </c>
      <c r="F206" s="9" t="s">
        <v>11</v>
      </c>
      <c r="G206" s="9" t="s">
        <v>35</v>
      </c>
      <c r="H206" s="9">
        <v>9.0</v>
      </c>
      <c r="I206" s="10" t="s">
        <v>45</v>
      </c>
    </row>
    <row r="207" ht="22.5" customHeight="1">
      <c r="A207" s="8">
        <v>45924.0</v>
      </c>
      <c r="B207" s="9" t="s">
        <v>8</v>
      </c>
      <c r="C207" s="9" t="s">
        <v>24</v>
      </c>
      <c r="D207" s="9">
        <v>14.0</v>
      </c>
      <c r="E207" s="9" t="s">
        <v>10</v>
      </c>
      <c r="F207" s="9" t="s">
        <v>11</v>
      </c>
      <c r="G207" s="9" t="s">
        <v>35</v>
      </c>
      <c r="H207" s="9">
        <v>9.0</v>
      </c>
      <c r="I207" s="10" t="s">
        <v>46</v>
      </c>
    </row>
    <row r="208" ht="22.5" customHeight="1">
      <c r="A208" s="8">
        <v>45926.0</v>
      </c>
      <c r="B208" s="9" t="s">
        <v>26</v>
      </c>
      <c r="C208" s="9" t="s">
        <v>9</v>
      </c>
      <c r="D208" s="9">
        <v>24.0</v>
      </c>
      <c r="E208" s="9" t="s">
        <v>10</v>
      </c>
      <c r="F208" s="9" t="s">
        <v>15</v>
      </c>
      <c r="G208" s="9" t="s">
        <v>35</v>
      </c>
      <c r="H208" s="9">
        <v>9.0</v>
      </c>
      <c r="I208" s="10" t="s">
        <v>42</v>
      </c>
    </row>
    <row r="209" ht="22.5" customHeight="1">
      <c r="A209" s="8">
        <v>45928.0</v>
      </c>
      <c r="B209" s="9" t="s">
        <v>17</v>
      </c>
      <c r="C209" s="9" t="s">
        <v>9</v>
      </c>
      <c r="D209" s="9">
        <v>9.0</v>
      </c>
      <c r="E209" s="9" t="s">
        <v>10</v>
      </c>
      <c r="F209" s="9" t="s">
        <v>11</v>
      </c>
      <c r="G209" s="9" t="s">
        <v>35</v>
      </c>
      <c r="H209" s="9">
        <v>9.0</v>
      </c>
      <c r="I209" s="10" t="s">
        <v>43</v>
      </c>
    </row>
    <row r="210" ht="22.5" customHeight="1">
      <c r="A210" s="8">
        <v>45930.0</v>
      </c>
      <c r="B210" s="9" t="s">
        <v>8</v>
      </c>
      <c r="C210" s="9" t="s">
        <v>9</v>
      </c>
      <c r="D210" s="9">
        <v>14.0</v>
      </c>
      <c r="E210" s="9" t="s">
        <v>10</v>
      </c>
      <c r="F210" s="9" t="s">
        <v>11</v>
      </c>
      <c r="G210" s="9" t="s">
        <v>35</v>
      </c>
      <c r="H210" s="9">
        <v>9.0</v>
      </c>
      <c r="I210" s="10" t="s">
        <v>45</v>
      </c>
    </row>
    <row r="211" ht="22.5" customHeight="1">
      <c r="A211" s="8">
        <v>45931.0</v>
      </c>
      <c r="B211" s="9" t="s">
        <v>14</v>
      </c>
      <c r="C211" s="9" t="s">
        <v>9</v>
      </c>
      <c r="D211" s="9">
        <v>21.0</v>
      </c>
      <c r="E211" s="9" t="s">
        <v>10</v>
      </c>
      <c r="F211" s="9" t="s">
        <v>15</v>
      </c>
      <c r="G211" s="9" t="s">
        <v>36</v>
      </c>
      <c r="H211" s="9">
        <v>10.0</v>
      </c>
      <c r="I211" s="10" t="s">
        <v>46</v>
      </c>
    </row>
    <row r="212" ht="22.5" customHeight="1">
      <c r="A212" s="8">
        <v>45933.0</v>
      </c>
      <c r="B212" s="9" t="s">
        <v>8</v>
      </c>
      <c r="C212" s="9" t="s">
        <v>21</v>
      </c>
      <c r="D212" s="9">
        <v>14.0</v>
      </c>
      <c r="E212" s="9" t="s">
        <v>10</v>
      </c>
      <c r="F212" s="9" t="s">
        <v>11</v>
      </c>
      <c r="G212" s="9" t="s">
        <v>36</v>
      </c>
      <c r="H212" s="9">
        <v>10.0</v>
      </c>
      <c r="I212" s="10" t="s">
        <v>42</v>
      </c>
    </row>
    <row r="213" ht="22.5" customHeight="1">
      <c r="A213" s="8">
        <v>45935.0</v>
      </c>
      <c r="B213" s="9" t="s">
        <v>19</v>
      </c>
      <c r="C213" s="9" t="s">
        <v>9</v>
      </c>
      <c r="D213" s="9">
        <v>7.0</v>
      </c>
      <c r="E213" s="9" t="s">
        <v>10</v>
      </c>
      <c r="F213" s="9" t="s">
        <v>11</v>
      </c>
      <c r="G213" s="9" t="s">
        <v>36</v>
      </c>
      <c r="H213" s="9">
        <v>10.0</v>
      </c>
      <c r="I213" s="10" t="s">
        <v>43</v>
      </c>
    </row>
    <row r="214" ht="22.5" customHeight="1">
      <c r="A214" s="8">
        <v>45937.0</v>
      </c>
      <c r="B214" s="9" t="s">
        <v>17</v>
      </c>
      <c r="C214" s="9" t="s">
        <v>9</v>
      </c>
      <c r="D214" s="9">
        <v>11.0</v>
      </c>
      <c r="E214" s="9" t="s">
        <v>10</v>
      </c>
      <c r="F214" s="9" t="s">
        <v>15</v>
      </c>
      <c r="G214" s="9" t="s">
        <v>36</v>
      </c>
      <c r="H214" s="9">
        <v>10.0</v>
      </c>
      <c r="I214" s="10" t="s">
        <v>45</v>
      </c>
    </row>
    <row r="215" ht="22.5" customHeight="1">
      <c r="A215" s="8">
        <v>45938.0</v>
      </c>
      <c r="B215" s="9" t="s">
        <v>8</v>
      </c>
      <c r="C215" s="9" t="s">
        <v>9</v>
      </c>
      <c r="D215" s="9">
        <v>14.0</v>
      </c>
      <c r="E215" s="9" t="s">
        <v>10</v>
      </c>
      <c r="F215" s="9" t="s">
        <v>11</v>
      </c>
      <c r="G215" s="9" t="s">
        <v>36</v>
      </c>
      <c r="H215" s="9">
        <v>10.0</v>
      </c>
      <c r="I215" s="10" t="s">
        <v>46</v>
      </c>
    </row>
    <row r="216" ht="22.5" customHeight="1">
      <c r="A216" s="8">
        <v>45940.0</v>
      </c>
      <c r="B216" s="9" t="s">
        <v>8</v>
      </c>
      <c r="C216" s="9" t="s">
        <v>9</v>
      </c>
      <c r="D216" s="9">
        <v>15.0</v>
      </c>
      <c r="E216" s="9" t="s">
        <v>10</v>
      </c>
      <c r="F216" s="9" t="s">
        <v>11</v>
      </c>
      <c r="G216" s="9" t="s">
        <v>36</v>
      </c>
      <c r="H216" s="9">
        <v>10.0</v>
      </c>
      <c r="I216" s="10" t="s">
        <v>42</v>
      </c>
    </row>
    <row r="217" ht="22.5" customHeight="1">
      <c r="A217" s="8">
        <v>45942.0</v>
      </c>
      <c r="B217" s="9" t="s">
        <v>23</v>
      </c>
      <c r="C217" s="9" t="s">
        <v>9</v>
      </c>
      <c r="D217" s="9">
        <v>20.0</v>
      </c>
      <c r="E217" s="9" t="s">
        <v>10</v>
      </c>
      <c r="F217" s="9" t="s">
        <v>15</v>
      </c>
      <c r="G217" s="9" t="s">
        <v>36</v>
      </c>
      <c r="H217" s="9">
        <v>10.0</v>
      </c>
      <c r="I217" s="10" t="s">
        <v>43</v>
      </c>
    </row>
    <row r="218" ht="22.5" customHeight="1">
      <c r="A218" s="8">
        <v>45944.0</v>
      </c>
      <c r="B218" s="9" t="s">
        <v>17</v>
      </c>
      <c r="C218" s="9" t="s">
        <v>24</v>
      </c>
      <c r="D218" s="9">
        <v>10.0</v>
      </c>
      <c r="E218" s="9" t="s">
        <v>10</v>
      </c>
      <c r="F218" s="9" t="s">
        <v>11</v>
      </c>
      <c r="G218" s="9" t="s">
        <v>36</v>
      </c>
      <c r="H218" s="9">
        <v>10.0</v>
      </c>
      <c r="I218" s="10" t="s">
        <v>45</v>
      </c>
    </row>
    <row r="219" ht="22.5" customHeight="1">
      <c r="A219" s="8">
        <v>45945.0</v>
      </c>
      <c r="B219" s="9" t="s">
        <v>14</v>
      </c>
      <c r="C219" s="9" t="s">
        <v>9</v>
      </c>
      <c r="D219" s="9">
        <v>23.0</v>
      </c>
      <c r="E219" s="9" t="s">
        <v>10</v>
      </c>
      <c r="F219" s="9" t="s">
        <v>11</v>
      </c>
      <c r="G219" s="9" t="s">
        <v>36</v>
      </c>
      <c r="H219" s="9">
        <v>10.0</v>
      </c>
      <c r="I219" s="10" t="s">
        <v>46</v>
      </c>
    </row>
    <row r="220" ht="22.5" customHeight="1">
      <c r="A220" s="8">
        <v>45947.0</v>
      </c>
      <c r="B220" s="9" t="s">
        <v>8</v>
      </c>
      <c r="C220" s="9" t="s">
        <v>9</v>
      </c>
      <c r="D220" s="9">
        <v>14.0</v>
      </c>
      <c r="E220" s="9" t="s">
        <v>10</v>
      </c>
      <c r="F220" s="9" t="s">
        <v>15</v>
      </c>
      <c r="G220" s="9" t="s">
        <v>36</v>
      </c>
      <c r="H220" s="9">
        <v>10.0</v>
      </c>
      <c r="I220" s="10" t="s">
        <v>42</v>
      </c>
    </row>
    <row r="221" ht="22.5" customHeight="1">
      <c r="A221" s="8">
        <v>45949.0</v>
      </c>
      <c r="B221" s="9" t="s">
        <v>19</v>
      </c>
      <c r="C221" s="9" t="s">
        <v>9</v>
      </c>
      <c r="D221" s="9">
        <v>7.0</v>
      </c>
      <c r="E221" s="9" t="s">
        <v>10</v>
      </c>
      <c r="F221" s="9" t="s">
        <v>11</v>
      </c>
      <c r="G221" s="9" t="s">
        <v>36</v>
      </c>
      <c r="H221" s="9">
        <v>10.0</v>
      </c>
      <c r="I221" s="10" t="s">
        <v>43</v>
      </c>
    </row>
    <row r="222" ht="22.5" customHeight="1">
      <c r="A222" s="8">
        <v>45951.0</v>
      </c>
      <c r="B222" s="9" t="s">
        <v>8</v>
      </c>
      <c r="C222" s="9" t="s">
        <v>9</v>
      </c>
      <c r="D222" s="9">
        <v>14.0</v>
      </c>
      <c r="E222" s="9" t="s">
        <v>10</v>
      </c>
      <c r="F222" s="9" t="s">
        <v>11</v>
      </c>
      <c r="G222" s="9" t="s">
        <v>36</v>
      </c>
      <c r="H222" s="9">
        <v>10.0</v>
      </c>
      <c r="I222" s="10" t="s">
        <v>45</v>
      </c>
    </row>
    <row r="223" ht="22.5" customHeight="1">
      <c r="A223" s="8">
        <v>45952.0</v>
      </c>
      <c r="B223" s="9" t="s">
        <v>17</v>
      </c>
      <c r="C223" s="9" t="s">
        <v>9</v>
      </c>
      <c r="D223" s="9">
        <v>9.0</v>
      </c>
      <c r="E223" s="9" t="s">
        <v>10</v>
      </c>
      <c r="F223" s="9" t="s">
        <v>15</v>
      </c>
      <c r="G223" s="9" t="s">
        <v>36</v>
      </c>
      <c r="H223" s="9">
        <v>10.0</v>
      </c>
      <c r="I223" s="10" t="s">
        <v>46</v>
      </c>
    </row>
    <row r="224" ht="22.5" customHeight="1">
      <c r="A224" s="8">
        <v>45954.0</v>
      </c>
      <c r="B224" s="9" t="s">
        <v>26</v>
      </c>
      <c r="C224" s="9" t="s">
        <v>21</v>
      </c>
      <c r="D224" s="9">
        <v>25.0</v>
      </c>
      <c r="E224" s="9" t="s">
        <v>10</v>
      </c>
      <c r="F224" s="9" t="s">
        <v>11</v>
      </c>
      <c r="G224" s="9" t="s">
        <v>36</v>
      </c>
      <c r="H224" s="9">
        <v>10.0</v>
      </c>
      <c r="I224" s="10" t="s">
        <v>42</v>
      </c>
    </row>
    <row r="225" ht="22.5" customHeight="1">
      <c r="A225" s="8">
        <v>45956.0</v>
      </c>
      <c r="B225" s="9" t="s">
        <v>8</v>
      </c>
      <c r="C225" s="9" t="s">
        <v>9</v>
      </c>
      <c r="D225" s="9">
        <v>14.0</v>
      </c>
      <c r="E225" s="9" t="s">
        <v>10</v>
      </c>
      <c r="F225" s="9" t="s">
        <v>11</v>
      </c>
      <c r="G225" s="9" t="s">
        <v>36</v>
      </c>
      <c r="H225" s="9">
        <v>10.0</v>
      </c>
      <c r="I225" s="10" t="s">
        <v>43</v>
      </c>
    </row>
    <row r="226" ht="22.5" customHeight="1">
      <c r="A226" s="8">
        <v>45958.0</v>
      </c>
      <c r="B226" s="9" t="s">
        <v>8</v>
      </c>
      <c r="C226" s="9" t="s">
        <v>24</v>
      </c>
      <c r="D226" s="9">
        <v>16.0</v>
      </c>
      <c r="E226" s="9" t="s">
        <v>10</v>
      </c>
      <c r="F226" s="9" t="s">
        <v>15</v>
      </c>
      <c r="G226" s="9" t="s">
        <v>36</v>
      </c>
      <c r="H226" s="9">
        <v>10.0</v>
      </c>
      <c r="I226" s="10" t="s">
        <v>45</v>
      </c>
    </row>
    <row r="227" ht="22.5" customHeight="1">
      <c r="A227" s="8">
        <v>45959.0</v>
      </c>
      <c r="B227" s="9" t="s">
        <v>14</v>
      </c>
      <c r="C227" s="9" t="s">
        <v>9</v>
      </c>
      <c r="D227" s="9">
        <v>21.0</v>
      </c>
      <c r="E227" s="9" t="s">
        <v>10</v>
      </c>
      <c r="F227" s="9" t="s">
        <v>11</v>
      </c>
      <c r="G227" s="9" t="s">
        <v>36</v>
      </c>
      <c r="H227" s="9">
        <v>10.0</v>
      </c>
      <c r="I227" s="10" t="s">
        <v>46</v>
      </c>
    </row>
    <row r="228" ht="22.5" customHeight="1">
      <c r="A228" s="8">
        <v>45961.0</v>
      </c>
      <c r="B228" s="9" t="s">
        <v>17</v>
      </c>
      <c r="C228" s="9" t="s">
        <v>9</v>
      </c>
      <c r="D228" s="9">
        <v>10.0</v>
      </c>
      <c r="E228" s="9" t="s">
        <v>10</v>
      </c>
      <c r="F228" s="9" t="s">
        <v>11</v>
      </c>
      <c r="G228" s="9" t="s">
        <v>36</v>
      </c>
      <c r="H228" s="9">
        <v>10.0</v>
      </c>
      <c r="I228" s="10" t="s">
        <v>42</v>
      </c>
    </row>
    <row r="229" ht="22.5" customHeight="1">
      <c r="A229" s="8">
        <v>45963.0</v>
      </c>
      <c r="B229" s="9" t="s">
        <v>8</v>
      </c>
      <c r="C229" s="9" t="s">
        <v>9</v>
      </c>
      <c r="D229" s="9">
        <v>14.0</v>
      </c>
      <c r="E229" s="9" t="s">
        <v>10</v>
      </c>
      <c r="F229" s="9" t="s">
        <v>15</v>
      </c>
      <c r="G229" s="9" t="s">
        <v>37</v>
      </c>
      <c r="H229" s="9">
        <v>11.0</v>
      </c>
      <c r="I229" s="10" t="s">
        <v>43</v>
      </c>
    </row>
    <row r="230" ht="22.5" customHeight="1">
      <c r="A230" s="8">
        <v>45965.0</v>
      </c>
      <c r="B230" s="9" t="s">
        <v>19</v>
      </c>
      <c r="C230" s="9" t="s">
        <v>9</v>
      </c>
      <c r="D230" s="9">
        <v>7.0</v>
      </c>
      <c r="E230" s="9" t="s">
        <v>10</v>
      </c>
      <c r="F230" s="9" t="s">
        <v>11</v>
      </c>
      <c r="G230" s="9" t="s">
        <v>37</v>
      </c>
      <c r="H230" s="9">
        <v>11.0</v>
      </c>
      <c r="I230" s="10" t="s">
        <v>45</v>
      </c>
    </row>
    <row r="231" ht="22.5" customHeight="1">
      <c r="A231" s="8">
        <v>45966.0</v>
      </c>
      <c r="B231" s="9" t="s">
        <v>8</v>
      </c>
      <c r="C231" s="9" t="s">
        <v>21</v>
      </c>
      <c r="D231" s="9">
        <v>14.0</v>
      </c>
      <c r="E231" s="9" t="s">
        <v>10</v>
      </c>
      <c r="F231" s="9" t="s">
        <v>11</v>
      </c>
      <c r="G231" s="9" t="s">
        <v>37</v>
      </c>
      <c r="H231" s="9">
        <v>11.0</v>
      </c>
      <c r="I231" s="10" t="s">
        <v>46</v>
      </c>
    </row>
    <row r="232" ht="22.5" customHeight="1">
      <c r="A232" s="8">
        <v>45968.0</v>
      </c>
      <c r="B232" s="9" t="s">
        <v>17</v>
      </c>
      <c r="C232" s="9" t="s">
        <v>9</v>
      </c>
      <c r="D232" s="9">
        <v>12.0</v>
      </c>
      <c r="E232" s="9" t="s">
        <v>10</v>
      </c>
      <c r="F232" s="9" t="s">
        <v>15</v>
      </c>
      <c r="G232" s="9" t="s">
        <v>37</v>
      </c>
      <c r="H232" s="9">
        <v>11.0</v>
      </c>
      <c r="I232" s="10" t="s">
        <v>42</v>
      </c>
    </row>
    <row r="233" ht="22.5" customHeight="1">
      <c r="A233" s="8">
        <v>45970.0</v>
      </c>
      <c r="B233" s="9" t="s">
        <v>14</v>
      </c>
      <c r="C233" s="9" t="s">
        <v>9</v>
      </c>
      <c r="D233" s="9">
        <v>22.0</v>
      </c>
      <c r="E233" s="9" t="s">
        <v>10</v>
      </c>
      <c r="F233" s="9" t="s">
        <v>11</v>
      </c>
      <c r="G233" s="9" t="s">
        <v>37</v>
      </c>
      <c r="H233" s="9">
        <v>11.0</v>
      </c>
      <c r="I233" s="10" t="s">
        <v>43</v>
      </c>
    </row>
    <row r="234" ht="22.5" customHeight="1">
      <c r="A234" s="8">
        <v>45972.0</v>
      </c>
      <c r="B234" s="9" t="s">
        <v>8</v>
      </c>
      <c r="C234" s="9" t="s">
        <v>9</v>
      </c>
      <c r="D234" s="9">
        <v>14.0</v>
      </c>
      <c r="E234" s="9" t="s">
        <v>10</v>
      </c>
      <c r="F234" s="9" t="s">
        <v>11</v>
      </c>
      <c r="G234" s="9" t="s">
        <v>37</v>
      </c>
      <c r="H234" s="9">
        <v>11.0</v>
      </c>
      <c r="I234" s="10" t="s">
        <v>45</v>
      </c>
    </row>
    <row r="235" ht="22.5" customHeight="1">
      <c r="A235" s="8">
        <v>45973.0</v>
      </c>
      <c r="B235" s="9" t="s">
        <v>23</v>
      </c>
      <c r="C235" s="9" t="s">
        <v>9</v>
      </c>
      <c r="D235" s="9">
        <v>19.0</v>
      </c>
      <c r="E235" s="9" t="s">
        <v>10</v>
      </c>
      <c r="F235" s="9" t="s">
        <v>15</v>
      </c>
      <c r="G235" s="9" t="s">
        <v>37</v>
      </c>
      <c r="H235" s="9">
        <v>11.0</v>
      </c>
      <c r="I235" s="10" t="s">
        <v>46</v>
      </c>
    </row>
    <row r="236" ht="22.5" customHeight="1">
      <c r="A236" s="8">
        <v>45975.0</v>
      </c>
      <c r="B236" s="9" t="s">
        <v>17</v>
      </c>
      <c r="C236" s="9" t="s">
        <v>24</v>
      </c>
      <c r="D236" s="9">
        <v>9.0</v>
      </c>
      <c r="E236" s="9" t="s">
        <v>10</v>
      </c>
      <c r="F236" s="9" t="s">
        <v>11</v>
      </c>
      <c r="G236" s="9" t="s">
        <v>37</v>
      </c>
      <c r="H236" s="9">
        <v>11.0</v>
      </c>
      <c r="I236" s="10" t="s">
        <v>42</v>
      </c>
    </row>
    <row r="237" ht="22.5" customHeight="1">
      <c r="A237" s="8">
        <v>45977.0</v>
      </c>
      <c r="B237" s="9" t="s">
        <v>8</v>
      </c>
      <c r="C237" s="9" t="s">
        <v>9</v>
      </c>
      <c r="D237" s="9">
        <v>14.0</v>
      </c>
      <c r="E237" s="9" t="s">
        <v>10</v>
      </c>
      <c r="F237" s="9" t="s">
        <v>11</v>
      </c>
      <c r="G237" s="9" t="s">
        <v>37</v>
      </c>
      <c r="H237" s="9">
        <v>11.0</v>
      </c>
      <c r="I237" s="10" t="s">
        <v>43</v>
      </c>
    </row>
    <row r="238" ht="22.5" customHeight="1">
      <c r="A238" s="8">
        <v>45979.0</v>
      </c>
      <c r="B238" s="9" t="s">
        <v>19</v>
      </c>
      <c r="C238" s="9" t="s">
        <v>9</v>
      </c>
      <c r="D238" s="9">
        <v>7.0</v>
      </c>
      <c r="E238" s="9" t="s">
        <v>10</v>
      </c>
      <c r="F238" s="9" t="s">
        <v>15</v>
      </c>
      <c r="G238" s="9" t="s">
        <v>37</v>
      </c>
      <c r="H238" s="9">
        <v>11.0</v>
      </c>
      <c r="I238" s="10" t="s">
        <v>45</v>
      </c>
    </row>
    <row r="239" ht="22.5" customHeight="1">
      <c r="A239" s="8">
        <v>45980.0</v>
      </c>
      <c r="B239" s="9" t="s">
        <v>14</v>
      </c>
      <c r="C239" s="9" t="s">
        <v>9</v>
      </c>
      <c r="D239" s="9">
        <v>24.0</v>
      </c>
      <c r="E239" s="9" t="s">
        <v>22</v>
      </c>
      <c r="F239" s="9" t="s">
        <v>11</v>
      </c>
      <c r="G239" s="9" t="s">
        <v>37</v>
      </c>
      <c r="H239" s="9">
        <v>11.0</v>
      </c>
      <c r="I239" s="10" t="s">
        <v>46</v>
      </c>
    </row>
    <row r="240" ht="22.5" customHeight="1">
      <c r="A240" s="8">
        <v>45982.0</v>
      </c>
      <c r="B240" s="9" t="s">
        <v>8</v>
      </c>
      <c r="C240" s="9" t="s">
        <v>9</v>
      </c>
      <c r="D240" s="9">
        <v>14.0</v>
      </c>
      <c r="E240" s="9" t="s">
        <v>10</v>
      </c>
      <c r="F240" s="9" t="s">
        <v>11</v>
      </c>
      <c r="G240" s="9" t="s">
        <v>37</v>
      </c>
      <c r="H240" s="9">
        <v>11.0</v>
      </c>
      <c r="I240" s="10" t="s">
        <v>42</v>
      </c>
    </row>
    <row r="241" ht="22.5" customHeight="1">
      <c r="A241" s="8">
        <v>45984.0</v>
      </c>
      <c r="B241" s="9" t="s">
        <v>17</v>
      </c>
      <c r="C241" s="9" t="s">
        <v>9</v>
      </c>
      <c r="D241" s="9">
        <v>10.0</v>
      </c>
      <c r="E241" s="9" t="s">
        <v>10</v>
      </c>
      <c r="F241" s="9" t="s">
        <v>15</v>
      </c>
      <c r="G241" s="9" t="s">
        <v>37</v>
      </c>
      <c r="H241" s="9">
        <v>11.0</v>
      </c>
      <c r="I241" s="10" t="s">
        <v>43</v>
      </c>
    </row>
    <row r="242" ht="22.5" customHeight="1">
      <c r="A242" s="8">
        <v>45986.0</v>
      </c>
      <c r="B242" s="9" t="s">
        <v>26</v>
      </c>
      <c r="C242" s="9" t="s">
        <v>9</v>
      </c>
      <c r="D242" s="9">
        <v>26.0</v>
      </c>
      <c r="E242" s="9" t="s">
        <v>10</v>
      </c>
      <c r="F242" s="9" t="s">
        <v>11</v>
      </c>
      <c r="G242" s="9" t="s">
        <v>37</v>
      </c>
      <c r="H242" s="9">
        <v>11.0</v>
      </c>
      <c r="I242" s="10" t="s">
        <v>45</v>
      </c>
    </row>
    <row r="243" ht="22.5" customHeight="1">
      <c r="A243" s="8">
        <v>45987.0</v>
      </c>
      <c r="B243" s="9" t="s">
        <v>8</v>
      </c>
      <c r="C243" s="9" t="s">
        <v>24</v>
      </c>
      <c r="D243" s="9">
        <v>14.0</v>
      </c>
      <c r="E243" s="9" t="s">
        <v>10</v>
      </c>
      <c r="F243" s="9" t="s">
        <v>11</v>
      </c>
      <c r="G243" s="9" t="s">
        <v>37</v>
      </c>
      <c r="H243" s="9">
        <v>11.0</v>
      </c>
      <c r="I243" s="10" t="s">
        <v>46</v>
      </c>
    </row>
    <row r="244" ht="22.5" customHeight="1">
      <c r="A244" s="8">
        <v>45989.0</v>
      </c>
      <c r="B244" s="9" t="s">
        <v>8</v>
      </c>
      <c r="C244" s="9" t="s">
        <v>9</v>
      </c>
      <c r="D244" s="9">
        <v>15.0</v>
      </c>
      <c r="E244" s="9" t="s">
        <v>10</v>
      </c>
      <c r="F244" s="9" t="s">
        <v>15</v>
      </c>
      <c r="G244" s="9" t="s">
        <v>37</v>
      </c>
      <c r="H244" s="9">
        <v>11.0</v>
      </c>
      <c r="I244" s="10" t="s">
        <v>42</v>
      </c>
    </row>
    <row r="245" ht="22.5" customHeight="1">
      <c r="A245" s="8">
        <v>45991.0</v>
      </c>
      <c r="B245" s="9" t="s">
        <v>17</v>
      </c>
      <c r="C245" s="9" t="s">
        <v>9</v>
      </c>
      <c r="D245" s="9">
        <v>11.0</v>
      </c>
      <c r="E245" s="9" t="s">
        <v>10</v>
      </c>
      <c r="F245" s="9" t="s">
        <v>11</v>
      </c>
      <c r="G245" s="9" t="s">
        <v>37</v>
      </c>
      <c r="H245" s="9">
        <v>11.0</v>
      </c>
      <c r="I245" s="10" t="s">
        <v>43</v>
      </c>
    </row>
    <row r="246" ht="22.5" customHeight="1">
      <c r="A246" s="8">
        <v>45993.0</v>
      </c>
      <c r="B246" s="9" t="s">
        <v>14</v>
      </c>
      <c r="C246" s="9" t="s">
        <v>9</v>
      </c>
      <c r="D246" s="9">
        <v>21.0</v>
      </c>
      <c r="E246" s="9" t="s">
        <v>10</v>
      </c>
      <c r="F246" s="9" t="s">
        <v>11</v>
      </c>
      <c r="G246" s="9" t="s">
        <v>38</v>
      </c>
      <c r="H246" s="9">
        <v>12.0</v>
      </c>
      <c r="I246" s="10" t="s">
        <v>45</v>
      </c>
    </row>
    <row r="247" ht="22.5" customHeight="1">
      <c r="A247" s="8">
        <v>45994.0</v>
      </c>
      <c r="B247" s="9" t="s">
        <v>8</v>
      </c>
      <c r="C247" s="9" t="s">
        <v>9</v>
      </c>
      <c r="D247" s="9">
        <v>14.0</v>
      </c>
      <c r="E247" s="9" t="s">
        <v>10</v>
      </c>
      <c r="F247" s="9" t="s">
        <v>15</v>
      </c>
      <c r="G247" s="9" t="s">
        <v>38</v>
      </c>
      <c r="H247" s="9">
        <v>12.0</v>
      </c>
      <c r="I247" s="10" t="s">
        <v>46</v>
      </c>
    </row>
    <row r="248" ht="22.5" customHeight="1">
      <c r="A248" s="8">
        <v>45996.0</v>
      </c>
      <c r="B248" s="9" t="s">
        <v>19</v>
      </c>
      <c r="C248" s="9" t="s">
        <v>9</v>
      </c>
      <c r="D248" s="9">
        <v>7.0</v>
      </c>
      <c r="E248" s="9" t="s">
        <v>10</v>
      </c>
      <c r="F248" s="9" t="s">
        <v>11</v>
      </c>
      <c r="G248" s="9" t="s">
        <v>38</v>
      </c>
      <c r="H248" s="9">
        <v>12.0</v>
      </c>
      <c r="I248" s="10" t="s">
        <v>42</v>
      </c>
    </row>
    <row r="249" ht="22.5" customHeight="1">
      <c r="A249" s="8">
        <v>45998.0</v>
      </c>
      <c r="B249" s="9" t="s">
        <v>17</v>
      </c>
      <c r="C249" s="9" t="s">
        <v>9</v>
      </c>
      <c r="D249" s="9">
        <v>10.0</v>
      </c>
      <c r="E249" s="9" t="s">
        <v>10</v>
      </c>
      <c r="F249" s="9" t="s">
        <v>11</v>
      </c>
      <c r="G249" s="9" t="s">
        <v>38</v>
      </c>
      <c r="H249" s="9">
        <v>12.0</v>
      </c>
      <c r="I249" s="10" t="s">
        <v>43</v>
      </c>
    </row>
    <row r="250" ht="22.5" customHeight="1">
      <c r="A250" s="8">
        <v>46000.0</v>
      </c>
      <c r="B250" s="9" t="s">
        <v>8</v>
      </c>
      <c r="C250" s="9" t="s">
        <v>21</v>
      </c>
      <c r="D250" s="9">
        <v>14.0</v>
      </c>
      <c r="E250" s="9" t="s">
        <v>10</v>
      </c>
      <c r="F250" s="9" t="s">
        <v>15</v>
      </c>
      <c r="G250" s="9" t="s">
        <v>38</v>
      </c>
      <c r="H250" s="9">
        <v>12.0</v>
      </c>
      <c r="I250" s="10" t="s">
        <v>45</v>
      </c>
    </row>
    <row r="251" ht="22.5" customHeight="1">
      <c r="A251" s="8">
        <v>46001.0</v>
      </c>
      <c r="B251" s="9" t="s">
        <v>8</v>
      </c>
      <c r="C251" s="9" t="s">
        <v>9</v>
      </c>
      <c r="D251" s="9">
        <v>14.0</v>
      </c>
      <c r="E251" s="9" t="s">
        <v>10</v>
      </c>
      <c r="F251" s="9" t="s">
        <v>11</v>
      </c>
      <c r="G251" s="9" t="s">
        <v>38</v>
      </c>
      <c r="H251" s="9">
        <v>12.0</v>
      </c>
      <c r="I251" s="10" t="s">
        <v>46</v>
      </c>
    </row>
    <row r="252" ht="22.5" customHeight="1">
      <c r="A252" s="8">
        <v>46003.0</v>
      </c>
      <c r="B252" s="9" t="s">
        <v>23</v>
      </c>
      <c r="C252" s="9" t="s">
        <v>9</v>
      </c>
      <c r="D252" s="9">
        <v>18.0</v>
      </c>
      <c r="E252" s="9" t="s">
        <v>10</v>
      </c>
      <c r="F252" s="9" t="s">
        <v>11</v>
      </c>
      <c r="G252" s="9" t="s">
        <v>38</v>
      </c>
      <c r="H252" s="9">
        <v>12.0</v>
      </c>
      <c r="I252" s="10" t="s">
        <v>42</v>
      </c>
    </row>
    <row r="253" ht="22.5" customHeight="1">
      <c r="A253" s="8">
        <v>46005.0</v>
      </c>
      <c r="B253" s="9" t="s">
        <v>17</v>
      </c>
      <c r="C253" s="9" t="s">
        <v>24</v>
      </c>
      <c r="D253" s="9">
        <v>12.0</v>
      </c>
      <c r="E253" s="9" t="s">
        <v>10</v>
      </c>
      <c r="F253" s="9" t="s">
        <v>15</v>
      </c>
      <c r="G253" s="9" t="s">
        <v>38</v>
      </c>
      <c r="H253" s="9">
        <v>12.0</v>
      </c>
      <c r="I253" s="10" t="s">
        <v>43</v>
      </c>
    </row>
    <row r="254" ht="22.5" customHeight="1">
      <c r="A254" s="8">
        <v>46007.0</v>
      </c>
      <c r="B254" s="9" t="s">
        <v>14</v>
      </c>
      <c r="C254" s="9" t="s">
        <v>9</v>
      </c>
      <c r="D254" s="9">
        <v>23.0</v>
      </c>
      <c r="E254" s="9" t="s">
        <v>10</v>
      </c>
      <c r="F254" s="9" t="s">
        <v>11</v>
      </c>
      <c r="G254" s="9" t="s">
        <v>38</v>
      </c>
      <c r="H254" s="9">
        <v>12.0</v>
      </c>
      <c r="I254" s="10" t="s">
        <v>45</v>
      </c>
    </row>
    <row r="255" ht="22.5" customHeight="1">
      <c r="A255" s="8">
        <v>46008.0</v>
      </c>
      <c r="B255" s="9" t="s">
        <v>8</v>
      </c>
      <c r="C255" s="9" t="s">
        <v>9</v>
      </c>
      <c r="D255" s="9">
        <v>14.0</v>
      </c>
      <c r="E255" s="9" t="s">
        <v>10</v>
      </c>
      <c r="F255" s="9" t="s">
        <v>11</v>
      </c>
      <c r="G255" s="9" t="s">
        <v>38</v>
      </c>
      <c r="H255" s="9">
        <v>12.0</v>
      </c>
      <c r="I255" s="10" t="s">
        <v>46</v>
      </c>
    </row>
    <row r="256" ht="22.5" customHeight="1">
      <c r="A256" s="8">
        <v>46010.0</v>
      </c>
      <c r="B256" s="9" t="s">
        <v>19</v>
      </c>
      <c r="C256" s="9" t="s">
        <v>9</v>
      </c>
      <c r="D256" s="9">
        <v>7.0</v>
      </c>
      <c r="E256" s="9" t="s">
        <v>10</v>
      </c>
      <c r="F256" s="9" t="s">
        <v>15</v>
      </c>
      <c r="G256" s="9" t="s">
        <v>38</v>
      </c>
      <c r="H256" s="9">
        <v>12.0</v>
      </c>
      <c r="I256" s="10" t="s">
        <v>42</v>
      </c>
    </row>
    <row r="257" ht="22.5" customHeight="1">
      <c r="A257" s="8">
        <v>46012.0</v>
      </c>
      <c r="B257" s="9" t="s">
        <v>8</v>
      </c>
      <c r="C257" s="9" t="s">
        <v>9</v>
      </c>
      <c r="D257" s="9">
        <v>21.0</v>
      </c>
      <c r="E257" s="9" t="s">
        <v>10</v>
      </c>
      <c r="F257" s="9" t="s">
        <v>11</v>
      </c>
      <c r="G257" s="9" t="s">
        <v>38</v>
      </c>
      <c r="H257" s="9">
        <v>12.0</v>
      </c>
      <c r="I257" s="10" t="s">
        <v>43</v>
      </c>
    </row>
    <row r="258" ht="22.5" customHeight="1">
      <c r="A258" s="8">
        <v>46014.0</v>
      </c>
      <c r="B258" s="9" t="s">
        <v>17</v>
      </c>
      <c r="C258" s="9" t="s">
        <v>9</v>
      </c>
      <c r="D258" s="9">
        <v>14.0</v>
      </c>
      <c r="E258" s="9" t="s">
        <v>10</v>
      </c>
      <c r="F258" s="9" t="s">
        <v>11</v>
      </c>
      <c r="G258" s="9" t="s">
        <v>38</v>
      </c>
      <c r="H258" s="9">
        <v>12.0</v>
      </c>
      <c r="I258" s="10" t="s">
        <v>45</v>
      </c>
    </row>
    <row r="259" ht="22.5" customHeight="1">
      <c r="A259" s="8">
        <v>46015.0</v>
      </c>
      <c r="B259" s="9" t="s">
        <v>26</v>
      </c>
      <c r="C259" s="9" t="s">
        <v>9</v>
      </c>
      <c r="D259" s="9">
        <v>28.0</v>
      </c>
      <c r="E259" s="9" t="s">
        <v>22</v>
      </c>
      <c r="F259" s="9" t="s">
        <v>15</v>
      </c>
      <c r="G259" s="9" t="s">
        <v>38</v>
      </c>
      <c r="H259" s="9">
        <v>12.0</v>
      </c>
      <c r="I259" s="10" t="s">
        <v>46</v>
      </c>
    </row>
    <row r="260" ht="22.5" customHeight="1">
      <c r="A260" s="8">
        <v>46017.0</v>
      </c>
      <c r="B260" s="9" t="s">
        <v>8</v>
      </c>
      <c r="C260" s="9" t="s">
        <v>9</v>
      </c>
      <c r="D260" s="9">
        <v>14.0</v>
      </c>
      <c r="E260" s="9" t="s">
        <v>10</v>
      </c>
      <c r="F260" s="9" t="s">
        <v>11</v>
      </c>
      <c r="G260" s="9" t="s">
        <v>38</v>
      </c>
      <c r="H260" s="9">
        <v>12.0</v>
      </c>
      <c r="I260" s="10" t="s">
        <v>42</v>
      </c>
    </row>
    <row r="261" ht="22.5" customHeight="1">
      <c r="A261" s="8">
        <v>46019.0</v>
      </c>
      <c r="B261" s="9" t="s">
        <v>8</v>
      </c>
      <c r="C261" s="9" t="s">
        <v>24</v>
      </c>
      <c r="D261" s="9">
        <v>15.0</v>
      </c>
      <c r="E261" s="9" t="s">
        <v>10</v>
      </c>
      <c r="F261" s="9" t="s">
        <v>11</v>
      </c>
      <c r="G261" s="9" t="s">
        <v>38</v>
      </c>
      <c r="H261" s="9">
        <v>12.0</v>
      </c>
      <c r="I261" s="10" t="s">
        <v>43</v>
      </c>
    </row>
    <row r="262" ht="22.5" customHeight="1">
      <c r="A262" s="8">
        <v>46021.0</v>
      </c>
      <c r="B262" s="9" t="s">
        <v>17</v>
      </c>
      <c r="C262" s="9" t="s">
        <v>9</v>
      </c>
      <c r="D262" s="9">
        <v>10.0</v>
      </c>
      <c r="E262" s="9" t="s">
        <v>10</v>
      </c>
      <c r="F262" s="9" t="s">
        <v>15</v>
      </c>
      <c r="G262" s="9" t="s">
        <v>38</v>
      </c>
      <c r="H262" s="9">
        <v>12.0</v>
      </c>
      <c r="I262" s="10" t="s">
        <v>45</v>
      </c>
    </row>
    <row r="263">
      <c r="A263" s="3"/>
      <c r="I263" s="11"/>
    </row>
    <row r="264">
      <c r="A264" s="3"/>
      <c r="I264" s="11"/>
    </row>
    <row r="265">
      <c r="A265" s="3"/>
      <c r="I265" s="11"/>
    </row>
    <row r="266">
      <c r="A266" s="3"/>
      <c r="I266" s="11"/>
    </row>
    <row r="267">
      <c r="A267" s="3"/>
      <c r="I267" s="11"/>
    </row>
    <row r="268">
      <c r="A268" s="3"/>
      <c r="I268" s="11"/>
    </row>
    <row r="269">
      <c r="A269" s="3"/>
      <c r="I269" s="11"/>
    </row>
    <row r="270">
      <c r="A270" s="3"/>
      <c r="I270" s="11"/>
    </row>
    <row r="271">
      <c r="A271" s="3"/>
      <c r="I271" s="11"/>
    </row>
    <row r="272">
      <c r="A272" s="3"/>
      <c r="I272" s="11"/>
    </row>
    <row r="273">
      <c r="A273" s="3"/>
      <c r="I273" s="11"/>
    </row>
    <row r="274">
      <c r="A274" s="3"/>
      <c r="I274" s="11"/>
    </row>
    <row r="275">
      <c r="A275" s="3"/>
      <c r="I275" s="11"/>
    </row>
    <row r="276">
      <c r="A276" s="3"/>
      <c r="I276" s="11"/>
    </row>
    <row r="277">
      <c r="A277" s="3"/>
      <c r="I277" s="11"/>
    </row>
    <row r="278">
      <c r="A278" s="3"/>
      <c r="I278" s="11"/>
    </row>
    <row r="279">
      <c r="A279" s="3"/>
      <c r="I279" s="11"/>
    </row>
    <row r="280">
      <c r="A280" s="3"/>
      <c r="I280" s="11"/>
    </row>
    <row r="281">
      <c r="A281" s="3"/>
      <c r="I281" s="11"/>
    </row>
    <row r="282">
      <c r="A282" s="3"/>
      <c r="I282" s="11"/>
    </row>
    <row r="283">
      <c r="A283" s="3"/>
      <c r="I283" s="11"/>
    </row>
    <row r="284">
      <c r="A284" s="3"/>
      <c r="I284" s="11"/>
    </row>
    <row r="285">
      <c r="A285" s="3"/>
      <c r="I285" s="11"/>
    </row>
    <row r="286">
      <c r="A286" s="3"/>
      <c r="I286" s="11"/>
    </row>
    <row r="287">
      <c r="A287" s="3"/>
      <c r="I287" s="11"/>
    </row>
    <row r="288">
      <c r="A288" s="3"/>
      <c r="I288" s="11"/>
    </row>
    <row r="289">
      <c r="A289" s="3"/>
      <c r="I289" s="11"/>
    </row>
    <row r="290">
      <c r="A290" s="3"/>
      <c r="I290" s="11"/>
    </row>
    <row r="291">
      <c r="A291" s="3"/>
      <c r="I291" s="11"/>
    </row>
    <row r="292">
      <c r="A292" s="3"/>
      <c r="I292" s="11"/>
    </row>
    <row r="293">
      <c r="A293" s="3"/>
      <c r="I293" s="11"/>
    </row>
    <row r="294">
      <c r="A294" s="3"/>
      <c r="I294" s="11"/>
    </row>
    <row r="295">
      <c r="A295" s="3"/>
      <c r="I295" s="11"/>
    </row>
    <row r="296">
      <c r="A296" s="3"/>
      <c r="I296" s="11"/>
    </row>
    <row r="297">
      <c r="A297" s="3"/>
      <c r="I297" s="11"/>
    </row>
    <row r="298">
      <c r="A298" s="3"/>
      <c r="I298" s="11"/>
    </row>
    <row r="299">
      <c r="A299" s="3"/>
      <c r="I299" s="11"/>
    </row>
    <row r="300">
      <c r="A300" s="3"/>
      <c r="I300" s="11"/>
    </row>
    <row r="301">
      <c r="A301" s="3"/>
      <c r="I301" s="11"/>
    </row>
    <row r="302">
      <c r="A302" s="3"/>
      <c r="I302" s="11"/>
    </row>
    <row r="303">
      <c r="A303" s="3"/>
      <c r="I303" s="11"/>
    </row>
    <row r="304">
      <c r="A304" s="3"/>
      <c r="I304" s="11"/>
    </row>
    <row r="305">
      <c r="A305" s="3"/>
      <c r="I305" s="11"/>
    </row>
    <row r="306">
      <c r="A306" s="3"/>
      <c r="I306" s="11"/>
    </row>
    <row r="307">
      <c r="A307" s="3"/>
      <c r="I307" s="11"/>
    </row>
    <row r="308">
      <c r="A308" s="3"/>
      <c r="I308" s="11"/>
    </row>
    <row r="309">
      <c r="A309" s="3"/>
      <c r="I309" s="11"/>
    </row>
    <row r="310">
      <c r="A310" s="3"/>
      <c r="I310" s="11"/>
    </row>
    <row r="311">
      <c r="A311" s="3"/>
      <c r="I311" s="11"/>
    </row>
    <row r="312">
      <c r="A312" s="3"/>
      <c r="I312" s="11"/>
    </row>
    <row r="313">
      <c r="A313" s="3"/>
      <c r="I313" s="11"/>
    </row>
    <row r="314">
      <c r="A314" s="3"/>
      <c r="I314" s="11"/>
    </row>
    <row r="315">
      <c r="A315" s="3"/>
      <c r="I315" s="11"/>
    </row>
    <row r="316">
      <c r="A316" s="3"/>
      <c r="I316" s="11"/>
    </row>
    <row r="317">
      <c r="A317" s="3"/>
      <c r="I317" s="11"/>
    </row>
    <row r="318">
      <c r="A318" s="3"/>
      <c r="I318" s="11"/>
    </row>
    <row r="319">
      <c r="A319" s="3"/>
      <c r="I319" s="11"/>
    </row>
    <row r="320">
      <c r="A320" s="3"/>
      <c r="I320" s="11"/>
    </row>
    <row r="321">
      <c r="A321" s="3"/>
      <c r="I321" s="11"/>
    </row>
    <row r="322">
      <c r="A322" s="3"/>
      <c r="I322" s="11"/>
    </row>
    <row r="323">
      <c r="A323" s="3"/>
      <c r="I323" s="11"/>
    </row>
    <row r="324">
      <c r="A324" s="3"/>
      <c r="I324" s="11"/>
    </row>
    <row r="325">
      <c r="A325" s="3"/>
      <c r="I325" s="11"/>
    </row>
    <row r="326">
      <c r="A326" s="3"/>
      <c r="I326" s="11"/>
    </row>
    <row r="327">
      <c r="A327" s="3"/>
      <c r="I327" s="11"/>
    </row>
    <row r="328">
      <c r="A328" s="3"/>
      <c r="I328" s="11"/>
    </row>
    <row r="329">
      <c r="A329" s="3"/>
      <c r="I329" s="11"/>
    </row>
    <row r="330">
      <c r="A330" s="3"/>
      <c r="I330" s="11"/>
    </row>
    <row r="331">
      <c r="A331" s="3"/>
      <c r="I331" s="11"/>
    </row>
    <row r="332">
      <c r="A332" s="3"/>
      <c r="I332" s="11"/>
    </row>
    <row r="333">
      <c r="A333" s="3"/>
      <c r="I333" s="11"/>
    </row>
    <row r="334">
      <c r="A334" s="3"/>
      <c r="I334" s="11"/>
    </row>
    <row r="335">
      <c r="A335" s="3"/>
      <c r="I335" s="11"/>
    </row>
    <row r="336">
      <c r="A336" s="3"/>
      <c r="I336" s="11"/>
    </row>
    <row r="337">
      <c r="A337" s="3"/>
      <c r="I337" s="11"/>
    </row>
    <row r="338">
      <c r="A338" s="3"/>
      <c r="I338" s="11"/>
    </row>
    <row r="339">
      <c r="A339" s="3"/>
      <c r="I339" s="11"/>
    </row>
    <row r="340">
      <c r="A340" s="3"/>
      <c r="I340" s="11"/>
    </row>
    <row r="341">
      <c r="A341" s="3"/>
      <c r="I341" s="11"/>
    </row>
    <row r="342">
      <c r="A342" s="3"/>
      <c r="I342" s="11"/>
    </row>
    <row r="343">
      <c r="A343" s="3"/>
      <c r="I343" s="11"/>
    </row>
    <row r="344">
      <c r="A344" s="3"/>
      <c r="I344" s="11"/>
    </row>
    <row r="345">
      <c r="A345" s="3"/>
      <c r="I345" s="11"/>
    </row>
    <row r="346">
      <c r="A346" s="3"/>
      <c r="I346" s="11"/>
    </row>
    <row r="347">
      <c r="A347" s="3"/>
      <c r="I347" s="11"/>
    </row>
    <row r="348">
      <c r="A348" s="3"/>
      <c r="I348" s="11"/>
    </row>
    <row r="349">
      <c r="A349" s="3"/>
      <c r="I349" s="11"/>
    </row>
    <row r="350">
      <c r="A350" s="3"/>
      <c r="I350" s="11"/>
    </row>
    <row r="351">
      <c r="A351" s="3"/>
      <c r="I351" s="11"/>
    </row>
    <row r="352">
      <c r="A352" s="3"/>
      <c r="I352" s="11"/>
    </row>
    <row r="353">
      <c r="A353" s="3"/>
      <c r="I353" s="11"/>
    </row>
    <row r="354">
      <c r="A354" s="3"/>
      <c r="I354" s="11"/>
    </row>
    <row r="355">
      <c r="A355" s="3"/>
      <c r="I355" s="11"/>
    </row>
    <row r="356">
      <c r="A356" s="3"/>
      <c r="I356" s="11"/>
    </row>
    <row r="357">
      <c r="A357" s="3"/>
      <c r="I357" s="11"/>
    </row>
    <row r="358">
      <c r="A358" s="3"/>
      <c r="I358" s="11"/>
    </row>
    <row r="359">
      <c r="A359" s="3"/>
      <c r="I359" s="11"/>
    </row>
    <row r="360">
      <c r="A360" s="3"/>
      <c r="I360" s="11"/>
    </row>
    <row r="361">
      <c r="A361" s="3"/>
      <c r="I361" s="11"/>
    </row>
    <row r="362">
      <c r="A362" s="3"/>
      <c r="I362" s="11"/>
    </row>
    <row r="363">
      <c r="A363" s="3"/>
      <c r="I363" s="11"/>
    </row>
    <row r="364">
      <c r="A364" s="3"/>
      <c r="I364" s="11"/>
    </row>
    <row r="365">
      <c r="A365" s="3"/>
      <c r="I365" s="11"/>
    </row>
    <row r="366">
      <c r="A366" s="3"/>
      <c r="I366" s="11"/>
    </row>
    <row r="367">
      <c r="A367" s="3"/>
      <c r="I367" s="11"/>
    </row>
    <row r="368">
      <c r="A368" s="3"/>
      <c r="I368" s="11"/>
    </row>
    <row r="369">
      <c r="A369" s="3"/>
      <c r="I369" s="11"/>
    </row>
    <row r="370">
      <c r="A370" s="3"/>
      <c r="I370" s="11"/>
    </row>
    <row r="371">
      <c r="A371" s="3"/>
      <c r="I371" s="11"/>
    </row>
    <row r="372">
      <c r="A372" s="3"/>
      <c r="I372" s="11"/>
    </row>
    <row r="373">
      <c r="A373" s="3"/>
      <c r="I373" s="11"/>
    </row>
    <row r="374">
      <c r="A374" s="3"/>
      <c r="I374" s="11"/>
    </row>
    <row r="375">
      <c r="A375" s="3"/>
      <c r="I375" s="11"/>
    </row>
    <row r="376">
      <c r="A376" s="3"/>
      <c r="I376" s="11"/>
    </row>
    <row r="377">
      <c r="A377" s="3"/>
      <c r="I377" s="11"/>
    </row>
    <row r="378">
      <c r="A378" s="3"/>
      <c r="I378" s="11"/>
    </row>
    <row r="379">
      <c r="A379" s="3"/>
      <c r="I379" s="11"/>
    </row>
    <row r="380">
      <c r="A380" s="3"/>
      <c r="I380" s="11"/>
    </row>
    <row r="381">
      <c r="A381" s="3"/>
      <c r="I381" s="11"/>
    </row>
    <row r="382">
      <c r="A382" s="3"/>
      <c r="I382" s="11"/>
    </row>
    <row r="383">
      <c r="A383" s="3"/>
      <c r="I383" s="11"/>
    </row>
    <row r="384">
      <c r="A384" s="3"/>
      <c r="I384" s="11"/>
    </row>
    <row r="385">
      <c r="A385" s="3"/>
      <c r="I385" s="11"/>
    </row>
    <row r="386">
      <c r="A386" s="3"/>
      <c r="I386" s="11"/>
    </row>
    <row r="387">
      <c r="A387" s="3"/>
      <c r="I387" s="11"/>
    </row>
    <row r="388">
      <c r="A388" s="3"/>
      <c r="I388" s="11"/>
    </row>
    <row r="389">
      <c r="A389" s="3"/>
      <c r="I389" s="11"/>
    </row>
    <row r="390">
      <c r="A390" s="3"/>
      <c r="I390" s="11"/>
    </row>
    <row r="391">
      <c r="A391" s="3"/>
      <c r="I391" s="11"/>
    </row>
    <row r="392">
      <c r="A392" s="3"/>
      <c r="I392" s="11"/>
    </row>
    <row r="393">
      <c r="A393" s="3"/>
      <c r="I393" s="11"/>
    </row>
    <row r="394">
      <c r="A394" s="3"/>
      <c r="I394" s="11"/>
    </row>
    <row r="395">
      <c r="A395" s="3"/>
      <c r="I395" s="11"/>
    </row>
    <row r="396">
      <c r="A396" s="3"/>
      <c r="I396" s="11"/>
    </row>
    <row r="397">
      <c r="A397" s="3"/>
      <c r="I397" s="11"/>
    </row>
    <row r="398">
      <c r="A398" s="3"/>
      <c r="I398" s="11"/>
    </row>
    <row r="399">
      <c r="A399" s="3"/>
      <c r="I399" s="11"/>
    </row>
    <row r="400">
      <c r="A400" s="3"/>
      <c r="I400" s="11"/>
    </row>
    <row r="401">
      <c r="A401" s="3"/>
      <c r="I401" s="11"/>
    </row>
    <row r="402">
      <c r="A402" s="3"/>
      <c r="I402" s="11"/>
    </row>
    <row r="403">
      <c r="A403" s="3"/>
      <c r="I403" s="11"/>
    </row>
    <row r="404">
      <c r="A404" s="3"/>
      <c r="I404" s="11"/>
    </row>
    <row r="405">
      <c r="A405" s="3"/>
      <c r="I405" s="11"/>
    </row>
    <row r="406">
      <c r="A406" s="3"/>
      <c r="I406" s="11"/>
    </row>
    <row r="407">
      <c r="A407" s="3"/>
      <c r="I407" s="11"/>
    </row>
    <row r="408">
      <c r="A408" s="3"/>
      <c r="I408" s="11"/>
    </row>
    <row r="409">
      <c r="A409" s="3"/>
      <c r="I409" s="11"/>
    </row>
    <row r="410">
      <c r="A410" s="3"/>
      <c r="I410" s="11"/>
    </row>
    <row r="411">
      <c r="A411" s="3"/>
      <c r="I411" s="11"/>
    </row>
    <row r="412">
      <c r="A412" s="3"/>
      <c r="I412" s="11"/>
    </row>
    <row r="413">
      <c r="A413" s="3"/>
      <c r="I413" s="11"/>
    </row>
    <row r="414">
      <c r="A414" s="3"/>
      <c r="I414" s="11"/>
    </row>
    <row r="415">
      <c r="A415" s="3"/>
      <c r="I415" s="11"/>
    </row>
    <row r="416">
      <c r="A416" s="3"/>
      <c r="I416" s="11"/>
    </row>
    <row r="417">
      <c r="A417" s="3"/>
      <c r="I417" s="11"/>
    </row>
    <row r="418">
      <c r="A418" s="3"/>
      <c r="I418" s="11"/>
    </row>
    <row r="419">
      <c r="A419" s="3"/>
      <c r="I419" s="11"/>
    </row>
    <row r="420">
      <c r="A420" s="3"/>
      <c r="I420" s="11"/>
    </row>
    <row r="421">
      <c r="A421" s="3"/>
      <c r="I421" s="11"/>
    </row>
    <row r="422">
      <c r="A422" s="3"/>
      <c r="I422" s="11"/>
    </row>
    <row r="423">
      <c r="A423" s="3"/>
      <c r="I423" s="11"/>
    </row>
    <row r="424">
      <c r="A424" s="3"/>
      <c r="I424" s="11"/>
    </row>
    <row r="425">
      <c r="A425" s="3"/>
      <c r="I425" s="11"/>
    </row>
    <row r="426">
      <c r="A426" s="3"/>
      <c r="I426" s="11"/>
    </row>
    <row r="427">
      <c r="A427" s="3"/>
      <c r="I427" s="11"/>
    </row>
    <row r="428">
      <c r="A428" s="3"/>
      <c r="I428" s="11"/>
    </row>
    <row r="429">
      <c r="A429" s="3"/>
      <c r="I429" s="11"/>
    </row>
    <row r="430">
      <c r="A430" s="3"/>
      <c r="I430" s="11"/>
    </row>
    <row r="431">
      <c r="A431" s="3"/>
      <c r="I431" s="11"/>
    </row>
    <row r="432">
      <c r="A432" s="3"/>
      <c r="I432" s="11"/>
    </row>
    <row r="433">
      <c r="A433" s="3"/>
      <c r="I433" s="11"/>
    </row>
    <row r="434">
      <c r="A434" s="3"/>
      <c r="I434" s="11"/>
    </row>
    <row r="435">
      <c r="A435" s="3"/>
      <c r="I435" s="11"/>
    </row>
    <row r="436">
      <c r="A436" s="3"/>
      <c r="I436" s="11"/>
    </row>
    <row r="437">
      <c r="A437" s="3"/>
      <c r="I437" s="11"/>
    </row>
    <row r="438">
      <c r="A438" s="3"/>
      <c r="I438" s="11"/>
    </row>
    <row r="439">
      <c r="A439" s="3"/>
      <c r="I439" s="11"/>
    </row>
    <row r="440">
      <c r="A440" s="3"/>
      <c r="I440" s="11"/>
    </row>
    <row r="441">
      <c r="A441" s="3"/>
      <c r="I441" s="11"/>
    </row>
    <row r="442">
      <c r="A442" s="3"/>
      <c r="I442" s="11"/>
    </row>
    <row r="443">
      <c r="A443" s="3"/>
      <c r="I443" s="11"/>
    </row>
    <row r="444">
      <c r="A444" s="3"/>
      <c r="I444" s="11"/>
    </row>
    <row r="445">
      <c r="A445" s="3"/>
      <c r="I445" s="11"/>
    </row>
    <row r="446">
      <c r="A446" s="3"/>
      <c r="I446" s="11"/>
    </row>
    <row r="447">
      <c r="A447" s="3"/>
      <c r="I447" s="11"/>
    </row>
    <row r="448">
      <c r="A448" s="3"/>
      <c r="I448" s="11"/>
    </row>
    <row r="449">
      <c r="A449" s="3"/>
      <c r="I449" s="11"/>
    </row>
    <row r="450">
      <c r="A450" s="3"/>
      <c r="I450" s="11"/>
    </row>
    <row r="451">
      <c r="A451" s="3"/>
      <c r="I451" s="11"/>
    </row>
    <row r="452">
      <c r="A452" s="3"/>
      <c r="I452" s="11"/>
    </row>
    <row r="453">
      <c r="A453" s="3"/>
      <c r="I453" s="11"/>
    </row>
    <row r="454">
      <c r="A454" s="3"/>
      <c r="I454" s="11"/>
    </row>
    <row r="455">
      <c r="A455" s="3"/>
      <c r="I455" s="11"/>
    </row>
    <row r="456">
      <c r="A456" s="3"/>
      <c r="I456" s="11"/>
    </row>
    <row r="457">
      <c r="A457" s="3"/>
      <c r="I457" s="11"/>
    </row>
    <row r="458">
      <c r="A458" s="3"/>
      <c r="I458" s="11"/>
    </row>
    <row r="459">
      <c r="A459" s="3"/>
      <c r="I459" s="11"/>
    </row>
    <row r="460">
      <c r="A460" s="3"/>
      <c r="I460" s="11"/>
    </row>
    <row r="461">
      <c r="A461" s="3"/>
      <c r="I461" s="11"/>
    </row>
    <row r="462">
      <c r="A462" s="3"/>
      <c r="I462" s="11"/>
    </row>
    <row r="463">
      <c r="A463" s="3"/>
      <c r="I463" s="11"/>
    </row>
    <row r="464">
      <c r="A464" s="3"/>
      <c r="I464" s="11"/>
    </row>
    <row r="465">
      <c r="A465" s="3"/>
      <c r="I465" s="11"/>
    </row>
    <row r="466">
      <c r="A466" s="3"/>
      <c r="I466" s="11"/>
    </row>
    <row r="467">
      <c r="A467" s="3"/>
      <c r="I467" s="11"/>
    </row>
    <row r="468">
      <c r="A468" s="3"/>
      <c r="I468" s="11"/>
    </row>
    <row r="469">
      <c r="A469" s="3"/>
      <c r="I469" s="11"/>
    </row>
    <row r="470">
      <c r="A470" s="3"/>
      <c r="I470" s="11"/>
    </row>
    <row r="471">
      <c r="A471" s="3"/>
      <c r="I471" s="11"/>
    </row>
    <row r="472">
      <c r="A472" s="3"/>
      <c r="I472" s="11"/>
    </row>
    <row r="473">
      <c r="A473" s="3"/>
      <c r="I473" s="11"/>
    </row>
    <row r="474">
      <c r="A474" s="3"/>
      <c r="I474" s="11"/>
    </row>
    <row r="475">
      <c r="A475" s="3"/>
      <c r="I475" s="11"/>
    </row>
    <row r="476">
      <c r="A476" s="3"/>
      <c r="I476" s="11"/>
    </row>
    <row r="477">
      <c r="A477" s="3"/>
      <c r="I477" s="11"/>
    </row>
    <row r="478">
      <c r="A478" s="3"/>
      <c r="I478" s="11"/>
    </row>
    <row r="479">
      <c r="A479" s="3"/>
      <c r="I479" s="11"/>
    </row>
    <row r="480">
      <c r="A480" s="3"/>
      <c r="I480" s="11"/>
    </row>
    <row r="481">
      <c r="A481" s="3"/>
      <c r="I481" s="11"/>
    </row>
    <row r="482">
      <c r="A482" s="3"/>
      <c r="I482" s="11"/>
    </row>
    <row r="483">
      <c r="A483" s="3"/>
      <c r="I483" s="11"/>
    </row>
    <row r="484">
      <c r="A484" s="3"/>
      <c r="I484" s="11"/>
    </row>
    <row r="485">
      <c r="A485" s="3"/>
      <c r="I485" s="11"/>
    </row>
    <row r="486">
      <c r="A486" s="3"/>
      <c r="I486" s="11"/>
    </row>
    <row r="487">
      <c r="A487" s="3"/>
      <c r="I487" s="11"/>
    </row>
    <row r="488">
      <c r="A488" s="3"/>
      <c r="I488" s="11"/>
    </row>
    <row r="489">
      <c r="A489" s="3"/>
      <c r="I489" s="11"/>
    </row>
    <row r="490">
      <c r="A490" s="3"/>
      <c r="I490" s="11"/>
    </row>
    <row r="491">
      <c r="A491" s="3"/>
      <c r="I491" s="11"/>
    </row>
    <row r="492">
      <c r="A492" s="3"/>
      <c r="I492" s="11"/>
    </row>
    <row r="493">
      <c r="A493" s="3"/>
      <c r="I493" s="11"/>
    </row>
    <row r="494">
      <c r="A494" s="3"/>
      <c r="I494" s="11"/>
    </row>
    <row r="495">
      <c r="A495" s="3"/>
      <c r="I495" s="11"/>
    </row>
    <row r="496">
      <c r="A496" s="3"/>
      <c r="I496" s="11"/>
    </row>
    <row r="497">
      <c r="A497" s="3"/>
      <c r="I497" s="11"/>
    </row>
    <row r="498">
      <c r="A498" s="3"/>
      <c r="I498" s="11"/>
    </row>
    <row r="499">
      <c r="A499" s="3"/>
      <c r="I499" s="11"/>
    </row>
    <row r="500">
      <c r="A500" s="3"/>
      <c r="I500" s="11"/>
    </row>
    <row r="501">
      <c r="A501" s="3"/>
      <c r="I501" s="11"/>
    </row>
    <row r="502">
      <c r="A502" s="3"/>
      <c r="I502" s="11"/>
    </row>
    <row r="503">
      <c r="A503" s="3"/>
      <c r="I503" s="11"/>
    </row>
    <row r="504">
      <c r="A504" s="3"/>
      <c r="I504" s="11"/>
    </row>
    <row r="505">
      <c r="A505" s="3"/>
      <c r="I505" s="11"/>
    </row>
    <row r="506">
      <c r="A506" s="3"/>
      <c r="I506" s="11"/>
    </row>
    <row r="507">
      <c r="A507" s="3"/>
      <c r="I507" s="11"/>
    </row>
    <row r="508">
      <c r="A508" s="3"/>
      <c r="I508" s="11"/>
    </row>
    <row r="509">
      <c r="A509" s="3"/>
      <c r="I509" s="11"/>
    </row>
    <row r="510">
      <c r="A510" s="3"/>
      <c r="I510" s="11"/>
    </row>
    <row r="511">
      <c r="A511" s="3"/>
      <c r="I511" s="11"/>
    </row>
    <row r="512">
      <c r="A512" s="3"/>
      <c r="I512" s="11"/>
    </row>
    <row r="513">
      <c r="A513" s="3"/>
      <c r="I513" s="11"/>
    </row>
    <row r="514">
      <c r="A514" s="3"/>
      <c r="I514" s="11"/>
    </row>
    <row r="515">
      <c r="A515" s="3"/>
      <c r="I515" s="11"/>
    </row>
    <row r="516">
      <c r="A516" s="3"/>
      <c r="I516" s="11"/>
    </row>
    <row r="517">
      <c r="A517" s="3"/>
      <c r="I517" s="11"/>
    </row>
    <row r="518">
      <c r="A518" s="3"/>
      <c r="I518" s="11"/>
    </row>
    <row r="519">
      <c r="A519" s="3"/>
      <c r="I519" s="11"/>
    </row>
    <row r="520">
      <c r="A520" s="3"/>
      <c r="I520" s="11"/>
    </row>
    <row r="521">
      <c r="A521" s="3"/>
      <c r="I521" s="11"/>
    </row>
    <row r="522">
      <c r="A522" s="3"/>
      <c r="I522" s="11"/>
    </row>
    <row r="523">
      <c r="A523" s="3"/>
      <c r="I523" s="11"/>
    </row>
    <row r="524">
      <c r="A524" s="3"/>
      <c r="I524" s="11"/>
    </row>
    <row r="525">
      <c r="A525" s="3"/>
      <c r="I525" s="11"/>
    </row>
    <row r="526">
      <c r="A526" s="3"/>
      <c r="I526" s="11"/>
    </row>
    <row r="527">
      <c r="A527" s="3"/>
      <c r="I527" s="11"/>
    </row>
    <row r="528">
      <c r="A528" s="3"/>
      <c r="I528" s="11"/>
    </row>
    <row r="529">
      <c r="A529" s="3"/>
      <c r="I529" s="11"/>
    </row>
    <row r="530">
      <c r="A530" s="3"/>
      <c r="I530" s="11"/>
    </row>
    <row r="531">
      <c r="A531" s="3"/>
      <c r="I531" s="11"/>
    </row>
    <row r="532">
      <c r="A532" s="3"/>
      <c r="I532" s="11"/>
    </row>
    <row r="533">
      <c r="A533" s="3"/>
      <c r="I533" s="11"/>
    </row>
    <row r="534">
      <c r="A534" s="3"/>
      <c r="I534" s="11"/>
    </row>
    <row r="535">
      <c r="A535" s="3"/>
      <c r="I535" s="11"/>
    </row>
    <row r="536">
      <c r="A536" s="3"/>
      <c r="I536" s="11"/>
    </row>
    <row r="537">
      <c r="A537" s="3"/>
      <c r="I537" s="11"/>
    </row>
    <row r="538">
      <c r="A538" s="3"/>
      <c r="I538" s="11"/>
    </row>
    <row r="539">
      <c r="A539" s="3"/>
      <c r="I539" s="11"/>
    </row>
    <row r="540">
      <c r="A540" s="3"/>
      <c r="I540" s="11"/>
    </row>
    <row r="541">
      <c r="A541" s="3"/>
      <c r="I541" s="11"/>
    </row>
    <row r="542">
      <c r="A542" s="3"/>
      <c r="I542" s="11"/>
    </row>
    <row r="543">
      <c r="A543" s="3"/>
      <c r="I543" s="11"/>
    </row>
    <row r="544">
      <c r="A544" s="3"/>
      <c r="I544" s="11"/>
    </row>
    <row r="545">
      <c r="A545" s="3"/>
      <c r="I545" s="11"/>
    </row>
    <row r="546">
      <c r="A546" s="3"/>
      <c r="I546" s="11"/>
    </row>
    <row r="547">
      <c r="A547" s="3"/>
      <c r="I547" s="11"/>
    </row>
    <row r="548">
      <c r="A548" s="3"/>
      <c r="I548" s="11"/>
    </row>
    <row r="549">
      <c r="A549" s="3"/>
      <c r="I549" s="11"/>
    </row>
    <row r="550">
      <c r="A550" s="3"/>
      <c r="I550" s="11"/>
    </row>
    <row r="551">
      <c r="A551" s="3"/>
      <c r="I551" s="11"/>
    </row>
    <row r="552">
      <c r="A552" s="3"/>
      <c r="I552" s="11"/>
    </row>
    <row r="553">
      <c r="A553" s="3"/>
      <c r="I553" s="11"/>
    </row>
    <row r="554">
      <c r="A554" s="3"/>
      <c r="I554" s="11"/>
    </row>
    <row r="555">
      <c r="A555" s="3"/>
      <c r="I555" s="11"/>
    </row>
    <row r="556">
      <c r="A556" s="3"/>
      <c r="I556" s="11"/>
    </row>
    <row r="557">
      <c r="A557" s="3"/>
      <c r="I557" s="11"/>
    </row>
    <row r="558">
      <c r="A558" s="3"/>
      <c r="I558" s="11"/>
    </row>
    <row r="559">
      <c r="A559" s="3"/>
      <c r="I559" s="11"/>
    </row>
    <row r="560">
      <c r="A560" s="3"/>
      <c r="I560" s="11"/>
    </row>
    <row r="561">
      <c r="A561" s="3"/>
      <c r="I561" s="11"/>
    </row>
    <row r="562">
      <c r="A562" s="3"/>
      <c r="I562" s="11"/>
    </row>
    <row r="563">
      <c r="A563" s="3"/>
      <c r="I563" s="11"/>
    </row>
    <row r="564">
      <c r="A564" s="3"/>
      <c r="I564" s="11"/>
    </row>
    <row r="565">
      <c r="A565" s="3"/>
      <c r="I565" s="11"/>
    </row>
    <row r="566">
      <c r="A566" s="3"/>
      <c r="I566" s="11"/>
    </row>
    <row r="567">
      <c r="A567" s="3"/>
      <c r="I567" s="11"/>
    </row>
    <row r="568">
      <c r="A568" s="3"/>
      <c r="I568" s="11"/>
    </row>
    <row r="569">
      <c r="A569" s="3"/>
      <c r="I569" s="11"/>
    </row>
    <row r="570">
      <c r="A570" s="3"/>
      <c r="I570" s="11"/>
    </row>
    <row r="571">
      <c r="A571" s="3"/>
      <c r="I571" s="11"/>
    </row>
    <row r="572">
      <c r="A572" s="3"/>
      <c r="I572" s="11"/>
    </row>
    <row r="573">
      <c r="A573" s="3"/>
      <c r="I573" s="11"/>
    </row>
    <row r="574">
      <c r="A574" s="3"/>
      <c r="I574" s="11"/>
    </row>
    <row r="575">
      <c r="A575" s="3"/>
      <c r="I575" s="11"/>
    </row>
    <row r="576">
      <c r="A576" s="3"/>
      <c r="I576" s="11"/>
    </row>
    <row r="577">
      <c r="A577" s="3"/>
      <c r="I577" s="11"/>
    </row>
    <row r="578">
      <c r="A578" s="3"/>
      <c r="I578" s="11"/>
    </row>
    <row r="579">
      <c r="A579" s="3"/>
      <c r="I579" s="11"/>
    </row>
    <row r="580">
      <c r="A580" s="3"/>
      <c r="I580" s="11"/>
    </row>
    <row r="581">
      <c r="A581" s="3"/>
      <c r="I581" s="11"/>
    </row>
    <row r="582">
      <c r="A582" s="3"/>
      <c r="I582" s="11"/>
    </row>
    <row r="583">
      <c r="A583" s="3"/>
      <c r="I583" s="11"/>
    </row>
    <row r="584">
      <c r="A584" s="3"/>
      <c r="I584" s="11"/>
    </row>
    <row r="585">
      <c r="A585" s="3"/>
      <c r="I585" s="11"/>
    </row>
    <row r="586">
      <c r="A586" s="3"/>
      <c r="I586" s="11"/>
    </row>
    <row r="587">
      <c r="A587" s="3"/>
      <c r="I587" s="11"/>
    </row>
    <row r="588">
      <c r="A588" s="3"/>
      <c r="I588" s="11"/>
    </row>
    <row r="589">
      <c r="A589" s="3"/>
      <c r="I589" s="11"/>
    </row>
    <row r="590">
      <c r="A590" s="3"/>
      <c r="I590" s="11"/>
    </row>
    <row r="591">
      <c r="A591" s="3"/>
      <c r="I591" s="11"/>
    </row>
    <row r="592">
      <c r="A592" s="3"/>
      <c r="I592" s="11"/>
    </row>
    <row r="593">
      <c r="A593" s="3"/>
      <c r="I593" s="11"/>
    </row>
    <row r="594">
      <c r="A594" s="3"/>
      <c r="I594" s="11"/>
    </row>
    <row r="595">
      <c r="A595" s="3"/>
      <c r="I595" s="11"/>
    </row>
    <row r="596">
      <c r="A596" s="3"/>
      <c r="I596" s="11"/>
    </row>
    <row r="597">
      <c r="A597" s="3"/>
      <c r="I597" s="11"/>
    </row>
    <row r="598">
      <c r="A598" s="3"/>
      <c r="I598" s="11"/>
    </row>
    <row r="599">
      <c r="A599" s="3"/>
      <c r="I599" s="11"/>
    </row>
    <row r="600">
      <c r="A600" s="3"/>
      <c r="I600" s="11"/>
    </row>
    <row r="601">
      <c r="A601" s="3"/>
      <c r="I601" s="11"/>
    </row>
    <row r="602">
      <c r="A602" s="3"/>
      <c r="I602" s="11"/>
    </row>
    <row r="603">
      <c r="A603" s="3"/>
      <c r="I603" s="11"/>
    </row>
    <row r="604">
      <c r="A604" s="3"/>
      <c r="I604" s="11"/>
    </row>
    <row r="605">
      <c r="A605" s="3"/>
      <c r="I605" s="11"/>
    </row>
    <row r="606">
      <c r="A606" s="3"/>
      <c r="I606" s="11"/>
    </row>
    <row r="607">
      <c r="A607" s="3"/>
      <c r="I607" s="11"/>
    </row>
    <row r="608">
      <c r="A608" s="3"/>
      <c r="I608" s="11"/>
    </row>
    <row r="609">
      <c r="A609" s="3"/>
      <c r="I609" s="11"/>
    </row>
    <row r="610">
      <c r="A610" s="3"/>
      <c r="I610" s="11"/>
    </row>
    <row r="611">
      <c r="A611" s="3"/>
      <c r="I611" s="11"/>
    </row>
    <row r="612">
      <c r="A612" s="3"/>
      <c r="I612" s="11"/>
    </row>
    <row r="613">
      <c r="A613" s="3"/>
      <c r="I613" s="11"/>
    </row>
    <row r="614">
      <c r="A614" s="3"/>
      <c r="I614" s="11"/>
    </row>
    <row r="615">
      <c r="A615" s="3"/>
      <c r="I615" s="11"/>
    </row>
    <row r="616">
      <c r="A616" s="3"/>
      <c r="I616" s="11"/>
    </row>
    <row r="617">
      <c r="A617" s="3"/>
      <c r="I617" s="11"/>
    </row>
    <row r="618">
      <c r="A618" s="3"/>
      <c r="I618" s="11"/>
    </row>
    <row r="619">
      <c r="A619" s="3"/>
      <c r="I619" s="11"/>
    </row>
    <row r="620">
      <c r="A620" s="3"/>
      <c r="I620" s="11"/>
    </row>
    <row r="621">
      <c r="A621" s="3"/>
      <c r="I621" s="11"/>
    </row>
    <row r="622">
      <c r="A622" s="3"/>
      <c r="I622" s="11"/>
    </row>
    <row r="623">
      <c r="A623" s="3"/>
      <c r="I623" s="11"/>
    </row>
    <row r="624">
      <c r="A624" s="3"/>
      <c r="I624" s="11"/>
    </row>
    <row r="625">
      <c r="A625" s="3"/>
      <c r="I625" s="11"/>
    </row>
    <row r="626">
      <c r="A626" s="3"/>
      <c r="I626" s="11"/>
    </row>
    <row r="627">
      <c r="A627" s="3"/>
      <c r="I627" s="11"/>
    </row>
    <row r="628">
      <c r="A628" s="3"/>
      <c r="I628" s="11"/>
    </row>
    <row r="629">
      <c r="A629" s="3"/>
      <c r="I629" s="11"/>
    </row>
    <row r="630">
      <c r="A630" s="3"/>
      <c r="I630" s="11"/>
    </row>
    <row r="631">
      <c r="A631" s="3"/>
      <c r="I631" s="11"/>
    </row>
    <row r="632">
      <c r="A632" s="3"/>
      <c r="I632" s="11"/>
    </row>
    <row r="633">
      <c r="A633" s="3"/>
      <c r="I633" s="11"/>
    </row>
    <row r="634">
      <c r="A634" s="3"/>
      <c r="I634" s="11"/>
    </row>
    <row r="635">
      <c r="A635" s="3"/>
      <c r="I635" s="11"/>
    </row>
    <row r="636">
      <c r="A636" s="3"/>
      <c r="I636" s="11"/>
    </row>
    <row r="637">
      <c r="A637" s="3"/>
      <c r="I637" s="11"/>
    </row>
    <row r="638">
      <c r="A638" s="3"/>
      <c r="I638" s="11"/>
    </row>
    <row r="639">
      <c r="A639" s="3"/>
      <c r="I639" s="11"/>
    </row>
    <row r="640">
      <c r="A640" s="3"/>
      <c r="I640" s="11"/>
    </row>
    <row r="641">
      <c r="A641" s="3"/>
      <c r="I641" s="11"/>
    </row>
    <row r="642">
      <c r="A642" s="3"/>
      <c r="I642" s="11"/>
    </row>
    <row r="643">
      <c r="A643" s="3"/>
      <c r="I643" s="11"/>
    </row>
    <row r="644">
      <c r="A644" s="3"/>
      <c r="I644" s="11"/>
    </row>
    <row r="645">
      <c r="A645" s="3"/>
      <c r="I645" s="11"/>
    </row>
    <row r="646">
      <c r="A646" s="3"/>
      <c r="I646" s="11"/>
    </row>
    <row r="647">
      <c r="A647" s="3"/>
      <c r="I647" s="11"/>
    </row>
    <row r="648">
      <c r="A648" s="3"/>
      <c r="I648" s="11"/>
    </row>
    <row r="649">
      <c r="A649" s="3"/>
      <c r="I649" s="11"/>
    </row>
    <row r="650">
      <c r="A650" s="3"/>
      <c r="I650" s="11"/>
    </row>
    <row r="651">
      <c r="A651" s="3"/>
      <c r="I651" s="11"/>
    </row>
    <row r="652">
      <c r="A652" s="3"/>
      <c r="I652" s="11"/>
    </row>
    <row r="653">
      <c r="A653" s="3"/>
      <c r="I653" s="11"/>
    </row>
    <row r="654">
      <c r="A654" s="3"/>
      <c r="I654" s="11"/>
    </row>
    <row r="655">
      <c r="A655" s="3"/>
      <c r="I655" s="11"/>
    </row>
    <row r="656">
      <c r="A656" s="3"/>
      <c r="I656" s="11"/>
    </row>
    <row r="657">
      <c r="A657" s="3"/>
      <c r="I657" s="11"/>
    </row>
    <row r="658">
      <c r="A658" s="3"/>
      <c r="I658" s="11"/>
    </row>
    <row r="659">
      <c r="A659" s="3"/>
      <c r="I659" s="11"/>
    </row>
    <row r="660">
      <c r="A660" s="3"/>
      <c r="I660" s="11"/>
    </row>
    <row r="661">
      <c r="A661" s="3"/>
      <c r="I661" s="11"/>
    </row>
    <row r="662">
      <c r="A662" s="3"/>
      <c r="I662" s="11"/>
    </row>
    <row r="663">
      <c r="A663" s="3"/>
      <c r="I663" s="11"/>
    </row>
    <row r="664">
      <c r="A664" s="3"/>
      <c r="I664" s="11"/>
    </row>
    <row r="665">
      <c r="A665" s="3"/>
      <c r="I665" s="11"/>
    </row>
    <row r="666">
      <c r="A666" s="3"/>
      <c r="I666" s="11"/>
    </row>
    <row r="667">
      <c r="A667" s="3"/>
      <c r="I667" s="11"/>
    </row>
    <row r="668">
      <c r="A668" s="3"/>
      <c r="I668" s="11"/>
    </row>
    <row r="669">
      <c r="A669" s="3"/>
      <c r="I669" s="11"/>
    </row>
    <row r="670">
      <c r="A670" s="3"/>
      <c r="I670" s="11"/>
    </row>
    <row r="671">
      <c r="A671" s="3"/>
      <c r="I671" s="11"/>
    </row>
    <row r="672">
      <c r="A672" s="3"/>
      <c r="I672" s="11"/>
    </row>
    <row r="673">
      <c r="A673" s="3"/>
      <c r="I673" s="11"/>
    </row>
    <row r="674">
      <c r="A674" s="3"/>
      <c r="I674" s="11"/>
    </row>
    <row r="675">
      <c r="A675" s="3"/>
      <c r="I675" s="11"/>
    </row>
    <row r="676">
      <c r="A676" s="3"/>
      <c r="I676" s="11"/>
    </row>
    <row r="677">
      <c r="A677" s="3"/>
      <c r="I677" s="11"/>
    </row>
    <row r="678">
      <c r="A678" s="3"/>
      <c r="I678" s="11"/>
    </row>
    <row r="679">
      <c r="A679" s="3"/>
      <c r="I679" s="11"/>
    </row>
    <row r="680">
      <c r="A680" s="3"/>
      <c r="I680" s="11"/>
    </row>
    <row r="681">
      <c r="A681" s="3"/>
      <c r="I681" s="11"/>
    </row>
    <row r="682">
      <c r="A682" s="3"/>
      <c r="I682" s="11"/>
    </row>
    <row r="683">
      <c r="A683" s="3"/>
      <c r="I683" s="11"/>
    </row>
    <row r="684">
      <c r="A684" s="3"/>
      <c r="I684" s="11"/>
    </row>
    <row r="685">
      <c r="A685" s="3"/>
      <c r="I685" s="11"/>
    </row>
    <row r="686">
      <c r="A686" s="3"/>
      <c r="I686" s="11"/>
    </row>
    <row r="687">
      <c r="A687" s="3"/>
      <c r="I687" s="11"/>
    </row>
    <row r="688">
      <c r="A688" s="3"/>
      <c r="I688" s="11"/>
    </row>
    <row r="689">
      <c r="A689" s="3"/>
      <c r="I689" s="11"/>
    </row>
    <row r="690">
      <c r="A690" s="3"/>
      <c r="I690" s="11"/>
    </row>
    <row r="691">
      <c r="A691" s="3"/>
      <c r="I691" s="11"/>
    </row>
    <row r="692">
      <c r="A692" s="3"/>
      <c r="I692" s="11"/>
    </row>
    <row r="693">
      <c r="A693" s="3"/>
      <c r="I693" s="11"/>
    </row>
    <row r="694">
      <c r="A694" s="3"/>
      <c r="I694" s="11"/>
    </row>
    <row r="695">
      <c r="A695" s="3"/>
      <c r="I695" s="11"/>
    </row>
    <row r="696">
      <c r="A696" s="3"/>
      <c r="I696" s="11"/>
    </row>
    <row r="697">
      <c r="A697" s="3"/>
      <c r="I697" s="11"/>
    </row>
    <row r="698">
      <c r="A698" s="3"/>
      <c r="I698" s="11"/>
    </row>
    <row r="699">
      <c r="A699" s="3"/>
      <c r="I699" s="11"/>
    </row>
    <row r="700">
      <c r="A700" s="3"/>
      <c r="I700" s="11"/>
    </row>
    <row r="701">
      <c r="A701" s="3"/>
      <c r="I701" s="11"/>
    </row>
    <row r="702">
      <c r="A702" s="3"/>
      <c r="I702" s="11"/>
    </row>
    <row r="703">
      <c r="A703" s="3"/>
      <c r="I703" s="11"/>
    </row>
    <row r="704">
      <c r="A704" s="3"/>
      <c r="I704" s="11"/>
    </row>
    <row r="705">
      <c r="A705" s="3"/>
      <c r="I705" s="11"/>
    </row>
    <row r="706">
      <c r="A706" s="3"/>
      <c r="I706" s="11"/>
    </row>
    <row r="707">
      <c r="A707" s="3"/>
      <c r="I707" s="11"/>
    </row>
    <row r="708">
      <c r="A708" s="3"/>
      <c r="I708" s="11"/>
    </row>
    <row r="709">
      <c r="A709" s="3"/>
      <c r="I709" s="11"/>
    </row>
    <row r="710">
      <c r="A710" s="3"/>
      <c r="I710" s="11"/>
    </row>
    <row r="711">
      <c r="A711" s="3"/>
      <c r="I711" s="11"/>
    </row>
    <row r="712">
      <c r="A712" s="3"/>
      <c r="I712" s="11"/>
    </row>
    <row r="713">
      <c r="A713" s="3"/>
      <c r="I713" s="11"/>
    </row>
    <row r="714">
      <c r="A714" s="3"/>
      <c r="I714" s="11"/>
    </row>
    <row r="715">
      <c r="A715" s="3"/>
      <c r="I715" s="11"/>
    </row>
    <row r="716">
      <c r="A716" s="3"/>
      <c r="I716" s="11"/>
    </row>
    <row r="717">
      <c r="A717" s="3"/>
      <c r="I717" s="11"/>
    </row>
    <row r="718">
      <c r="A718" s="3"/>
      <c r="I718" s="11"/>
    </row>
    <row r="719">
      <c r="A719" s="3"/>
      <c r="I719" s="11"/>
    </row>
    <row r="720">
      <c r="A720" s="3"/>
      <c r="I720" s="11"/>
    </row>
    <row r="721">
      <c r="A721" s="3"/>
      <c r="I721" s="11"/>
    </row>
    <row r="722">
      <c r="A722" s="3"/>
      <c r="I722" s="11"/>
    </row>
    <row r="723">
      <c r="A723" s="3"/>
      <c r="I723" s="11"/>
    </row>
    <row r="724">
      <c r="A724" s="3"/>
      <c r="I724" s="11"/>
    </row>
    <row r="725">
      <c r="A725" s="3"/>
      <c r="I725" s="11"/>
    </row>
    <row r="726">
      <c r="A726" s="3"/>
      <c r="I726" s="11"/>
    </row>
    <row r="727">
      <c r="A727" s="3"/>
      <c r="I727" s="11"/>
    </row>
    <row r="728">
      <c r="A728" s="3"/>
      <c r="I728" s="11"/>
    </row>
    <row r="729">
      <c r="A729" s="3"/>
      <c r="I729" s="11"/>
    </row>
    <row r="730">
      <c r="A730" s="3"/>
      <c r="I730" s="11"/>
    </row>
    <row r="731">
      <c r="A731" s="3"/>
      <c r="I731" s="11"/>
    </row>
    <row r="732">
      <c r="A732" s="3"/>
      <c r="I732" s="11"/>
    </row>
    <row r="733">
      <c r="A733" s="3"/>
      <c r="I733" s="11"/>
    </row>
    <row r="734">
      <c r="A734" s="3"/>
      <c r="I734" s="11"/>
    </row>
    <row r="735">
      <c r="A735" s="3"/>
      <c r="I735" s="11"/>
    </row>
    <row r="736">
      <c r="A736" s="3"/>
      <c r="I736" s="11"/>
    </row>
    <row r="737">
      <c r="A737" s="3"/>
      <c r="I737" s="11"/>
    </row>
    <row r="738">
      <c r="A738" s="3"/>
      <c r="I738" s="11"/>
    </row>
    <row r="739">
      <c r="A739" s="3"/>
      <c r="I739" s="11"/>
    </row>
    <row r="740">
      <c r="A740" s="3"/>
      <c r="I740" s="11"/>
    </row>
    <row r="741">
      <c r="A741" s="3"/>
      <c r="I741" s="11"/>
    </row>
    <row r="742">
      <c r="A742" s="3"/>
      <c r="I742" s="11"/>
    </row>
    <row r="743">
      <c r="A743" s="3"/>
      <c r="I743" s="11"/>
    </row>
    <row r="744">
      <c r="A744" s="3"/>
      <c r="I744" s="11"/>
    </row>
    <row r="745">
      <c r="A745" s="3"/>
      <c r="I745" s="11"/>
    </row>
    <row r="746">
      <c r="A746" s="3"/>
      <c r="I746" s="11"/>
    </row>
    <row r="747">
      <c r="A747" s="3"/>
      <c r="I747" s="11"/>
    </row>
    <row r="748">
      <c r="A748" s="3"/>
      <c r="I748" s="11"/>
    </row>
    <row r="749">
      <c r="A749" s="3"/>
      <c r="I749" s="11"/>
    </row>
    <row r="750">
      <c r="A750" s="3"/>
      <c r="I750" s="11"/>
    </row>
    <row r="751">
      <c r="A751" s="3"/>
      <c r="I751" s="11"/>
    </row>
    <row r="752">
      <c r="A752" s="3"/>
      <c r="I752" s="11"/>
    </row>
    <row r="753">
      <c r="A753" s="3"/>
      <c r="I753" s="11"/>
    </row>
    <row r="754">
      <c r="A754" s="3"/>
      <c r="I754" s="11"/>
    </row>
    <row r="755">
      <c r="A755" s="3"/>
      <c r="I755" s="11"/>
    </row>
    <row r="756">
      <c r="A756" s="3"/>
      <c r="I756" s="11"/>
    </row>
    <row r="757">
      <c r="A757" s="3"/>
      <c r="I757" s="11"/>
    </row>
    <row r="758">
      <c r="A758" s="3"/>
      <c r="I758" s="11"/>
    </row>
    <row r="759">
      <c r="A759" s="3"/>
      <c r="I759" s="11"/>
    </row>
    <row r="760">
      <c r="A760" s="3"/>
      <c r="I760" s="11"/>
    </row>
    <row r="761">
      <c r="A761" s="3"/>
      <c r="I761" s="11"/>
    </row>
    <row r="762">
      <c r="A762" s="3"/>
      <c r="I762" s="11"/>
    </row>
    <row r="763">
      <c r="A763" s="3"/>
      <c r="I763" s="11"/>
    </row>
    <row r="764">
      <c r="A764" s="3"/>
      <c r="I764" s="11"/>
    </row>
    <row r="765">
      <c r="A765" s="3"/>
      <c r="I765" s="11"/>
    </row>
    <row r="766">
      <c r="A766" s="3"/>
      <c r="I766" s="11"/>
    </row>
    <row r="767">
      <c r="A767" s="3"/>
      <c r="I767" s="11"/>
    </row>
    <row r="768">
      <c r="A768" s="3"/>
      <c r="I768" s="11"/>
    </row>
    <row r="769">
      <c r="A769" s="3"/>
      <c r="I769" s="11"/>
    </row>
    <row r="770">
      <c r="A770" s="3"/>
      <c r="I770" s="11"/>
    </row>
    <row r="771">
      <c r="A771" s="3"/>
      <c r="I771" s="11"/>
    </row>
    <row r="772">
      <c r="A772" s="3"/>
      <c r="I772" s="11"/>
    </row>
    <row r="773">
      <c r="A773" s="3"/>
      <c r="I773" s="11"/>
    </row>
    <row r="774">
      <c r="A774" s="3"/>
      <c r="I774" s="11"/>
    </row>
    <row r="775">
      <c r="A775" s="3"/>
      <c r="I775" s="11"/>
    </row>
    <row r="776">
      <c r="A776" s="3"/>
      <c r="I776" s="11"/>
    </row>
    <row r="777">
      <c r="A777" s="3"/>
      <c r="I777" s="11"/>
    </row>
    <row r="778">
      <c r="A778" s="3"/>
      <c r="I778" s="11"/>
    </row>
    <row r="779">
      <c r="A779" s="3"/>
      <c r="I779" s="11"/>
    </row>
    <row r="780">
      <c r="A780" s="3"/>
      <c r="I780" s="11"/>
    </row>
    <row r="781">
      <c r="A781" s="3"/>
      <c r="I781" s="11"/>
    </row>
    <row r="782">
      <c r="A782" s="3"/>
      <c r="I782" s="11"/>
    </row>
    <row r="783">
      <c r="A783" s="3"/>
      <c r="I783" s="11"/>
    </row>
    <row r="784">
      <c r="A784" s="3"/>
      <c r="I784" s="11"/>
    </row>
    <row r="785">
      <c r="A785" s="3"/>
      <c r="I785" s="11"/>
    </row>
    <row r="786">
      <c r="A786" s="3"/>
      <c r="I786" s="11"/>
    </row>
    <row r="787">
      <c r="A787" s="3"/>
      <c r="I787" s="11"/>
    </row>
    <row r="788">
      <c r="A788" s="3"/>
      <c r="I788" s="11"/>
    </row>
    <row r="789">
      <c r="A789" s="3"/>
      <c r="I789" s="11"/>
    </row>
    <row r="790">
      <c r="A790" s="3"/>
      <c r="I790" s="11"/>
    </row>
    <row r="791">
      <c r="A791" s="3"/>
      <c r="I791" s="11"/>
    </row>
    <row r="792">
      <c r="A792" s="3"/>
      <c r="I792" s="11"/>
    </row>
    <row r="793">
      <c r="A793" s="3"/>
      <c r="I793" s="11"/>
    </row>
    <row r="794">
      <c r="A794" s="3"/>
      <c r="I794" s="11"/>
    </row>
    <row r="795">
      <c r="A795" s="3"/>
      <c r="I795" s="11"/>
    </row>
    <row r="796">
      <c r="A796" s="3"/>
      <c r="I796" s="11"/>
    </row>
    <row r="797">
      <c r="A797" s="3"/>
      <c r="I797" s="11"/>
    </row>
    <row r="798">
      <c r="A798" s="3"/>
      <c r="I798" s="11"/>
    </row>
    <row r="799">
      <c r="A799" s="3"/>
      <c r="I799" s="11"/>
    </row>
    <row r="800">
      <c r="A800" s="3"/>
      <c r="I800" s="11"/>
    </row>
    <row r="801">
      <c r="A801" s="3"/>
      <c r="I801" s="11"/>
    </row>
    <row r="802">
      <c r="A802" s="3"/>
      <c r="I802" s="11"/>
    </row>
    <row r="803">
      <c r="A803" s="3"/>
      <c r="I803" s="11"/>
    </row>
    <row r="804">
      <c r="A804" s="3"/>
      <c r="I804" s="11"/>
    </row>
    <row r="805">
      <c r="A805" s="3"/>
      <c r="I805" s="11"/>
    </row>
    <row r="806">
      <c r="A806" s="3"/>
      <c r="I806" s="11"/>
    </row>
    <row r="807">
      <c r="A807" s="3"/>
      <c r="I807" s="11"/>
    </row>
    <row r="808">
      <c r="A808" s="3"/>
      <c r="I808" s="11"/>
    </row>
    <row r="809">
      <c r="A809" s="3"/>
      <c r="I809" s="11"/>
    </row>
    <row r="810">
      <c r="A810" s="3"/>
      <c r="I810" s="11"/>
    </row>
    <row r="811">
      <c r="A811" s="3"/>
      <c r="I811" s="11"/>
    </row>
    <row r="812">
      <c r="A812" s="3"/>
      <c r="I812" s="11"/>
    </row>
    <row r="813">
      <c r="A813" s="3"/>
      <c r="I813" s="11"/>
    </row>
    <row r="814">
      <c r="A814" s="3"/>
      <c r="I814" s="11"/>
    </row>
    <row r="815">
      <c r="A815" s="3"/>
      <c r="I815" s="11"/>
    </row>
    <row r="816">
      <c r="A816" s="3"/>
      <c r="I816" s="11"/>
    </row>
    <row r="817">
      <c r="A817" s="3"/>
      <c r="I817" s="11"/>
    </row>
    <row r="818">
      <c r="A818" s="3"/>
      <c r="I818" s="11"/>
    </row>
    <row r="819">
      <c r="A819" s="3"/>
      <c r="I819" s="11"/>
    </row>
    <row r="820">
      <c r="A820" s="3"/>
      <c r="I820" s="11"/>
    </row>
    <row r="821">
      <c r="A821" s="3"/>
      <c r="I821" s="11"/>
    </row>
    <row r="822">
      <c r="A822" s="3"/>
      <c r="I822" s="11"/>
    </row>
    <row r="823">
      <c r="A823" s="3"/>
      <c r="I823" s="11"/>
    </row>
    <row r="824">
      <c r="A824" s="3"/>
      <c r="I824" s="11"/>
    </row>
    <row r="825">
      <c r="A825" s="3"/>
      <c r="I825" s="11"/>
    </row>
    <row r="826">
      <c r="A826" s="3"/>
      <c r="I826" s="11"/>
    </row>
    <row r="827">
      <c r="A827" s="3"/>
      <c r="I827" s="11"/>
    </row>
    <row r="828">
      <c r="A828" s="3"/>
      <c r="I828" s="11"/>
    </row>
    <row r="829">
      <c r="A829" s="3"/>
      <c r="I829" s="11"/>
    </row>
    <row r="830">
      <c r="A830" s="3"/>
      <c r="I830" s="11"/>
    </row>
    <row r="831">
      <c r="A831" s="3"/>
      <c r="I831" s="11"/>
    </row>
    <row r="832">
      <c r="A832" s="3"/>
      <c r="I832" s="11"/>
    </row>
    <row r="833">
      <c r="A833" s="3"/>
      <c r="I833" s="11"/>
    </row>
    <row r="834">
      <c r="A834" s="3"/>
      <c r="I834" s="11"/>
    </row>
    <row r="835">
      <c r="A835" s="3"/>
      <c r="I835" s="11"/>
    </row>
    <row r="836">
      <c r="A836" s="3"/>
      <c r="I836" s="11"/>
    </row>
    <row r="837">
      <c r="A837" s="3"/>
      <c r="I837" s="11"/>
    </row>
    <row r="838">
      <c r="A838" s="3"/>
      <c r="I838" s="11"/>
    </row>
    <row r="839">
      <c r="A839" s="3"/>
      <c r="I839" s="11"/>
    </row>
    <row r="840">
      <c r="A840" s="3"/>
      <c r="I840" s="11"/>
    </row>
    <row r="841">
      <c r="A841" s="3"/>
      <c r="I841" s="11"/>
    </row>
    <row r="842">
      <c r="A842" s="3"/>
      <c r="I842" s="11"/>
    </row>
    <row r="843">
      <c r="A843" s="3"/>
      <c r="I843" s="11"/>
    </row>
    <row r="844">
      <c r="A844" s="3"/>
      <c r="I844" s="11"/>
    </row>
    <row r="845">
      <c r="A845" s="3"/>
      <c r="I845" s="11"/>
    </row>
    <row r="846">
      <c r="A846" s="3"/>
      <c r="I846" s="11"/>
    </row>
    <row r="847">
      <c r="A847" s="3"/>
      <c r="I847" s="11"/>
    </row>
    <row r="848">
      <c r="A848" s="3"/>
      <c r="I848" s="11"/>
    </row>
    <row r="849">
      <c r="A849" s="3"/>
      <c r="I849" s="11"/>
    </row>
    <row r="850">
      <c r="A850" s="3"/>
      <c r="I850" s="11"/>
    </row>
    <row r="851">
      <c r="A851" s="3"/>
      <c r="I851" s="11"/>
    </row>
    <row r="852">
      <c r="A852" s="3"/>
      <c r="I852" s="11"/>
    </row>
    <row r="853">
      <c r="A853" s="3"/>
      <c r="I853" s="11"/>
    </row>
    <row r="854">
      <c r="A854" s="3"/>
      <c r="I854" s="11"/>
    </row>
    <row r="855">
      <c r="A855" s="3"/>
      <c r="I855" s="11"/>
    </row>
    <row r="856">
      <c r="A856" s="3"/>
      <c r="I856" s="11"/>
    </row>
    <row r="857">
      <c r="A857" s="3"/>
      <c r="I857" s="11"/>
    </row>
    <row r="858">
      <c r="A858" s="3"/>
      <c r="I858" s="11"/>
    </row>
    <row r="859">
      <c r="A859" s="3"/>
      <c r="I859" s="11"/>
    </row>
    <row r="860">
      <c r="A860" s="3"/>
      <c r="I860" s="11"/>
    </row>
    <row r="861">
      <c r="A861" s="3"/>
      <c r="I861" s="11"/>
    </row>
    <row r="862">
      <c r="A862" s="3"/>
      <c r="I862" s="11"/>
    </row>
    <row r="863">
      <c r="A863" s="3"/>
      <c r="I863" s="11"/>
    </row>
    <row r="864">
      <c r="A864" s="3"/>
      <c r="I864" s="11"/>
    </row>
    <row r="865">
      <c r="A865" s="3"/>
      <c r="I865" s="11"/>
    </row>
    <row r="866">
      <c r="A866" s="3"/>
      <c r="I866" s="11"/>
    </row>
    <row r="867">
      <c r="A867" s="3"/>
      <c r="I867" s="11"/>
    </row>
    <row r="868">
      <c r="A868" s="3"/>
      <c r="I868" s="11"/>
    </row>
    <row r="869">
      <c r="A869" s="3"/>
      <c r="I869" s="11"/>
    </row>
    <row r="870">
      <c r="A870" s="3"/>
      <c r="I870" s="11"/>
    </row>
    <row r="871">
      <c r="A871" s="3"/>
      <c r="I871" s="11"/>
    </row>
    <row r="872">
      <c r="A872" s="3"/>
      <c r="I872" s="11"/>
    </row>
    <row r="873">
      <c r="A873" s="3"/>
      <c r="I873" s="11"/>
    </row>
    <row r="874">
      <c r="A874" s="3"/>
      <c r="I874" s="11"/>
    </row>
    <row r="875">
      <c r="A875" s="3"/>
      <c r="I875" s="11"/>
    </row>
    <row r="876">
      <c r="A876" s="3"/>
      <c r="I876" s="11"/>
    </row>
    <row r="877">
      <c r="A877" s="3"/>
      <c r="I877" s="11"/>
    </row>
    <row r="878">
      <c r="A878" s="3"/>
      <c r="I878" s="11"/>
    </row>
    <row r="879">
      <c r="A879" s="3"/>
      <c r="I879" s="11"/>
    </row>
    <row r="880">
      <c r="A880" s="3"/>
      <c r="I880" s="11"/>
    </row>
    <row r="881">
      <c r="A881" s="3"/>
      <c r="I881" s="11"/>
    </row>
    <row r="882">
      <c r="A882" s="3"/>
      <c r="I882" s="11"/>
    </row>
    <row r="883">
      <c r="A883" s="3"/>
      <c r="I883" s="11"/>
    </row>
    <row r="884">
      <c r="A884" s="3"/>
      <c r="I884" s="11"/>
    </row>
    <row r="885">
      <c r="A885" s="3"/>
      <c r="I885" s="11"/>
    </row>
    <row r="886">
      <c r="A886" s="3"/>
      <c r="I886" s="11"/>
    </row>
    <row r="887">
      <c r="A887" s="3"/>
      <c r="I887" s="11"/>
    </row>
    <row r="888">
      <c r="A888" s="3"/>
      <c r="I888" s="11"/>
    </row>
    <row r="889">
      <c r="A889" s="3"/>
      <c r="I889" s="11"/>
    </row>
    <row r="890">
      <c r="A890" s="3"/>
      <c r="I890" s="11"/>
    </row>
    <row r="891">
      <c r="A891" s="3"/>
      <c r="I891" s="11"/>
    </row>
    <row r="892">
      <c r="A892" s="3"/>
      <c r="I892" s="11"/>
    </row>
    <row r="893">
      <c r="A893" s="3"/>
      <c r="I893" s="11"/>
    </row>
    <row r="894">
      <c r="A894" s="3"/>
      <c r="I894" s="11"/>
    </row>
    <row r="895">
      <c r="A895" s="3"/>
      <c r="I895" s="11"/>
    </row>
    <row r="896">
      <c r="A896" s="3"/>
      <c r="I896" s="11"/>
    </row>
    <row r="897">
      <c r="A897" s="3"/>
      <c r="I897" s="11"/>
    </row>
    <row r="898">
      <c r="A898" s="3"/>
      <c r="I898" s="11"/>
    </row>
    <row r="899">
      <c r="A899" s="3"/>
      <c r="I899" s="11"/>
    </row>
    <row r="900">
      <c r="A900" s="3"/>
      <c r="I900" s="11"/>
    </row>
    <row r="901">
      <c r="A901" s="3"/>
      <c r="I901" s="11"/>
    </row>
    <row r="902">
      <c r="A902" s="3"/>
      <c r="I902" s="11"/>
    </row>
    <row r="903">
      <c r="A903" s="3"/>
      <c r="I903" s="11"/>
    </row>
    <row r="904">
      <c r="A904" s="3"/>
      <c r="I904" s="11"/>
    </row>
    <row r="905">
      <c r="A905" s="3"/>
      <c r="I905" s="11"/>
    </row>
    <row r="906">
      <c r="A906" s="3"/>
      <c r="I906" s="11"/>
    </row>
    <row r="907">
      <c r="A907" s="3"/>
      <c r="I907" s="11"/>
    </row>
    <row r="908">
      <c r="A908" s="3"/>
      <c r="I908" s="11"/>
    </row>
    <row r="909">
      <c r="A909" s="3"/>
      <c r="I909" s="11"/>
    </row>
    <row r="910">
      <c r="A910" s="3"/>
      <c r="I910" s="11"/>
    </row>
    <row r="911">
      <c r="A911" s="3"/>
      <c r="I911" s="11"/>
    </row>
    <row r="912">
      <c r="A912" s="3"/>
      <c r="I912" s="11"/>
    </row>
    <row r="913">
      <c r="A913" s="3"/>
      <c r="I913" s="11"/>
    </row>
    <row r="914">
      <c r="A914" s="3"/>
      <c r="I914" s="11"/>
    </row>
    <row r="915">
      <c r="A915" s="3"/>
      <c r="I915" s="11"/>
    </row>
    <row r="916">
      <c r="A916" s="3"/>
      <c r="I916" s="11"/>
    </row>
    <row r="917">
      <c r="A917" s="3"/>
      <c r="I917" s="11"/>
    </row>
    <row r="918">
      <c r="A918" s="3"/>
      <c r="I918" s="11"/>
    </row>
    <row r="919">
      <c r="A919" s="3"/>
      <c r="I919" s="11"/>
    </row>
    <row r="920">
      <c r="A920" s="3"/>
      <c r="I920" s="11"/>
    </row>
    <row r="921">
      <c r="A921" s="3"/>
      <c r="I921" s="11"/>
    </row>
    <row r="922">
      <c r="A922" s="3"/>
      <c r="I922" s="11"/>
    </row>
    <row r="923">
      <c r="A923" s="3"/>
      <c r="I923" s="11"/>
    </row>
    <row r="924">
      <c r="A924" s="3"/>
      <c r="I924" s="11"/>
    </row>
    <row r="925">
      <c r="A925" s="3"/>
      <c r="I925" s="11"/>
    </row>
    <row r="926">
      <c r="A926" s="3"/>
      <c r="I926" s="11"/>
    </row>
    <row r="927">
      <c r="A927" s="3"/>
      <c r="I927" s="11"/>
    </row>
    <row r="928">
      <c r="A928" s="3"/>
      <c r="I928" s="11"/>
    </row>
    <row r="929">
      <c r="A929" s="3"/>
      <c r="I929" s="11"/>
    </row>
    <row r="930">
      <c r="A930" s="3"/>
      <c r="I930" s="11"/>
    </row>
    <row r="931">
      <c r="A931" s="3"/>
      <c r="I931" s="11"/>
    </row>
    <row r="932">
      <c r="A932" s="3"/>
      <c r="I932" s="11"/>
    </row>
    <row r="933">
      <c r="A933" s="3"/>
      <c r="I933" s="11"/>
    </row>
    <row r="934">
      <c r="A934" s="3"/>
      <c r="I934" s="11"/>
    </row>
    <row r="935">
      <c r="A935" s="3"/>
      <c r="I935" s="11"/>
    </row>
    <row r="936">
      <c r="A936" s="3"/>
      <c r="I936" s="11"/>
    </row>
    <row r="937">
      <c r="A937" s="3"/>
      <c r="I937" s="11"/>
    </row>
    <row r="938">
      <c r="A938" s="3"/>
      <c r="I938" s="11"/>
    </row>
    <row r="939">
      <c r="A939" s="3"/>
      <c r="I939" s="11"/>
    </row>
    <row r="940">
      <c r="A940" s="3"/>
      <c r="I940" s="11"/>
    </row>
    <row r="941">
      <c r="A941" s="3"/>
      <c r="I941" s="11"/>
    </row>
    <row r="942">
      <c r="A942" s="3"/>
      <c r="I942" s="11"/>
    </row>
    <row r="943">
      <c r="A943" s="3"/>
      <c r="I943" s="11"/>
    </row>
    <row r="944">
      <c r="A944" s="3"/>
      <c r="I944" s="11"/>
    </row>
    <row r="945">
      <c r="A945" s="3"/>
      <c r="I945" s="11"/>
    </row>
    <row r="946">
      <c r="A946" s="3"/>
      <c r="I946" s="11"/>
    </row>
    <row r="947">
      <c r="A947" s="3"/>
      <c r="I947" s="11"/>
    </row>
    <row r="948">
      <c r="A948" s="3"/>
      <c r="I948" s="11"/>
    </row>
    <row r="949">
      <c r="A949" s="3"/>
      <c r="I949" s="11"/>
    </row>
    <row r="950">
      <c r="A950" s="3"/>
      <c r="I950" s="11"/>
    </row>
    <row r="951">
      <c r="A951" s="3"/>
      <c r="I951" s="11"/>
    </row>
    <row r="952">
      <c r="A952" s="3"/>
      <c r="I952" s="11"/>
    </row>
    <row r="953">
      <c r="A953" s="3"/>
      <c r="I953" s="11"/>
    </row>
    <row r="954">
      <c r="A954" s="3"/>
      <c r="I954" s="11"/>
    </row>
    <row r="955">
      <c r="A955" s="3"/>
      <c r="I955" s="11"/>
    </row>
    <row r="956">
      <c r="A956" s="3"/>
      <c r="I956" s="11"/>
    </row>
    <row r="957">
      <c r="A957" s="3"/>
      <c r="I957" s="11"/>
    </row>
    <row r="958">
      <c r="A958" s="3"/>
      <c r="I958" s="11"/>
    </row>
    <row r="959">
      <c r="A959" s="3"/>
      <c r="I959" s="11"/>
    </row>
    <row r="960">
      <c r="A960" s="3"/>
      <c r="I960" s="11"/>
    </row>
    <row r="961">
      <c r="A961" s="3"/>
      <c r="I961" s="11"/>
    </row>
    <row r="962">
      <c r="A962" s="3"/>
      <c r="I962" s="11"/>
    </row>
    <row r="963">
      <c r="A963" s="3"/>
      <c r="I963" s="11"/>
    </row>
    <row r="964">
      <c r="A964" s="3"/>
      <c r="I964" s="11"/>
    </row>
    <row r="965">
      <c r="A965" s="3"/>
      <c r="I965" s="11"/>
    </row>
    <row r="966">
      <c r="A966" s="3"/>
      <c r="I966" s="11"/>
    </row>
    <row r="967">
      <c r="A967" s="3"/>
      <c r="I967" s="11"/>
    </row>
    <row r="968">
      <c r="A968" s="3"/>
      <c r="I968" s="11"/>
    </row>
    <row r="969">
      <c r="A969" s="3"/>
      <c r="I969" s="11"/>
    </row>
    <row r="970">
      <c r="A970" s="3"/>
      <c r="I970" s="11"/>
    </row>
    <row r="971">
      <c r="A971" s="3"/>
      <c r="I971" s="11"/>
    </row>
    <row r="972">
      <c r="A972" s="3"/>
      <c r="I972" s="11"/>
    </row>
    <row r="973">
      <c r="A973" s="3"/>
      <c r="I973" s="11"/>
    </row>
    <row r="974">
      <c r="A974" s="3"/>
      <c r="I974" s="11"/>
    </row>
    <row r="975">
      <c r="A975" s="3"/>
      <c r="I975" s="11"/>
    </row>
    <row r="976">
      <c r="A976" s="3"/>
      <c r="I976" s="11"/>
    </row>
    <row r="977">
      <c r="A977" s="3"/>
      <c r="I977" s="11"/>
    </row>
    <row r="978">
      <c r="A978" s="3"/>
      <c r="I978" s="11"/>
    </row>
    <row r="979">
      <c r="A979" s="3"/>
      <c r="I979" s="11"/>
    </row>
    <row r="980">
      <c r="A980" s="3"/>
      <c r="I980" s="11"/>
    </row>
    <row r="981">
      <c r="A981" s="3"/>
      <c r="I981" s="11"/>
    </row>
    <row r="982">
      <c r="A982" s="3"/>
      <c r="I982" s="11"/>
    </row>
    <row r="983">
      <c r="A983" s="3"/>
      <c r="I983" s="11"/>
    </row>
    <row r="984">
      <c r="A984" s="3"/>
      <c r="I984" s="11"/>
    </row>
    <row r="985">
      <c r="A985" s="3"/>
      <c r="I985" s="11"/>
    </row>
    <row r="986">
      <c r="A986" s="3"/>
      <c r="I986" s="11"/>
    </row>
    <row r="987">
      <c r="A987" s="3"/>
      <c r="I987" s="11"/>
    </row>
    <row r="988">
      <c r="A988" s="3"/>
      <c r="I988" s="11"/>
    </row>
    <row r="989">
      <c r="A989" s="3"/>
      <c r="I989" s="11"/>
    </row>
    <row r="990">
      <c r="A990" s="3"/>
      <c r="I990" s="11"/>
    </row>
    <row r="991">
      <c r="A991" s="3"/>
      <c r="I991" s="11"/>
    </row>
    <row r="992">
      <c r="A992" s="3"/>
      <c r="I992" s="11"/>
    </row>
    <row r="993">
      <c r="A993" s="3"/>
      <c r="I993" s="11"/>
    </row>
    <row r="994">
      <c r="A994" s="3"/>
      <c r="I994" s="11"/>
    </row>
    <row r="995">
      <c r="A995" s="3"/>
      <c r="I995" s="11"/>
    </row>
    <row r="996">
      <c r="A996" s="3"/>
      <c r="I996" s="11"/>
    </row>
    <row r="997">
      <c r="A997" s="3"/>
      <c r="I997" s="11"/>
    </row>
    <row r="998">
      <c r="A998" s="3"/>
      <c r="I998" s="11"/>
    </row>
    <row r="999">
      <c r="A999" s="3"/>
      <c r="I999" s="11"/>
    </row>
    <row r="1000">
      <c r="A1000" s="3"/>
      <c r="I1000" s="11"/>
    </row>
  </sheetData>
  <dataValidations>
    <dataValidation type="custom" allowBlank="1" showDropDown="1" sqref="A2:A262">
      <formula1>OR(NOT(ISERROR(DATEVALUE(A2))), AND(ISNUMBER(A2), LEFT(CELL("format", A2))="D"))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33.75"/>
  </cols>
  <sheetData>
    <row r="1">
      <c r="A1" s="12" t="s">
        <v>49</v>
      </c>
      <c r="B1" s="12" t="s">
        <v>50</v>
      </c>
      <c r="C1" s="12" t="s">
        <v>51</v>
      </c>
      <c r="D1" s="12" t="s">
        <v>52</v>
      </c>
      <c r="E1" s="12" t="s">
        <v>53</v>
      </c>
      <c r="F1" s="13">
        <v>46073.0</v>
      </c>
      <c r="G1" s="13">
        <v>46074.0</v>
      </c>
      <c r="H1" s="13">
        <v>46075.0</v>
      </c>
      <c r="I1" s="13">
        <v>46076.0</v>
      </c>
      <c r="J1" s="13">
        <v>46077.0</v>
      </c>
      <c r="K1" s="13">
        <v>46078.0</v>
      </c>
      <c r="L1" s="13">
        <v>46079.0</v>
      </c>
      <c r="M1" s="13" t="s">
        <v>54</v>
      </c>
      <c r="N1" s="14"/>
      <c r="O1" s="14"/>
      <c r="P1" s="14"/>
      <c r="Q1" s="14"/>
      <c r="R1" s="14"/>
      <c r="S1" s="14"/>
      <c r="T1" s="14"/>
      <c r="U1" s="14"/>
      <c r="V1" s="14"/>
      <c r="W1" s="14"/>
      <c r="X1" s="15" t="s">
        <v>55</v>
      </c>
    </row>
    <row r="2">
      <c r="A2" s="16">
        <v>1.0</v>
      </c>
      <c r="B2" s="17" t="s">
        <v>56</v>
      </c>
      <c r="C2" s="18">
        <v>46073.0</v>
      </c>
      <c r="D2" s="19">
        <v>1.0</v>
      </c>
      <c r="E2" s="18">
        <v>46073.0</v>
      </c>
      <c r="F2" s="20"/>
    </row>
    <row r="3">
      <c r="A3" s="16">
        <v>2.0</v>
      </c>
      <c r="B3" s="17" t="s">
        <v>57</v>
      </c>
      <c r="C3" s="18">
        <v>46073.0</v>
      </c>
      <c r="D3" s="19">
        <v>4.0</v>
      </c>
      <c r="E3" s="18">
        <v>46077.0</v>
      </c>
      <c r="F3" s="21"/>
      <c r="G3" s="20"/>
      <c r="H3" s="20"/>
      <c r="I3" s="20"/>
      <c r="J3" s="20"/>
    </row>
    <row r="4">
      <c r="A4" s="16">
        <v>3.0</v>
      </c>
      <c r="B4" s="19" t="s">
        <v>58</v>
      </c>
      <c r="C4" s="18">
        <v>46076.0</v>
      </c>
      <c r="D4" s="19">
        <v>2.0</v>
      </c>
      <c r="E4" s="18">
        <v>46077.0</v>
      </c>
      <c r="I4" s="20"/>
      <c r="J4" s="20"/>
    </row>
    <row r="5">
      <c r="A5" s="16">
        <v>4.0</v>
      </c>
      <c r="B5" s="19" t="s">
        <v>59</v>
      </c>
      <c r="C5" s="18">
        <v>46077.0</v>
      </c>
      <c r="D5" s="19">
        <v>2.0</v>
      </c>
      <c r="E5" s="18">
        <v>46079.0</v>
      </c>
      <c r="J5" s="20"/>
      <c r="K5" s="20"/>
      <c r="L5" s="20"/>
    </row>
    <row r="6">
      <c r="A6" s="16">
        <v>5.0</v>
      </c>
      <c r="B6" s="19" t="s">
        <v>60</v>
      </c>
      <c r="C6" s="18">
        <v>46077.0</v>
      </c>
      <c r="D6" s="19">
        <v>1.0</v>
      </c>
      <c r="E6" s="18">
        <v>46077.0</v>
      </c>
      <c r="J6" s="20"/>
    </row>
    <row r="7">
      <c r="A7" s="16">
        <v>6.0</v>
      </c>
      <c r="B7" s="19" t="s">
        <v>61</v>
      </c>
      <c r="C7" s="18">
        <v>46077.0</v>
      </c>
      <c r="D7" s="19">
        <v>1.0</v>
      </c>
      <c r="E7" s="18">
        <v>46078.0</v>
      </c>
      <c r="J7" s="20"/>
      <c r="K7" s="20"/>
    </row>
    <row r="8">
      <c r="A8" s="16">
        <v>7.0</v>
      </c>
      <c r="B8" s="19" t="s">
        <v>62</v>
      </c>
      <c r="C8" s="18">
        <v>46079.0</v>
      </c>
      <c r="D8" s="19">
        <v>1.0</v>
      </c>
      <c r="E8" s="18">
        <v>46080.0</v>
      </c>
      <c r="L8" s="20"/>
      <c r="M8" s="22"/>
    </row>
    <row r="9">
      <c r="A9" s="14"/>
    </row>
    <row r="10">
      <c r="A10" s="14"/>
    </row>
    <row r="11">
      <c r="A11" s="14"/>
    </row>
    <row r="12">
      <c r="A12" s="14"/>
    </row>
    <row r="13">
      <c r="A13" s="14"/>
    </row>
    <row r="14">
      <c r="A14" s="14"/>
    </row>
    <row r="15">
      <c r="A15" s="14"/>
    </row>
    <row r="16">
      <c r="A16" s="14"/>
    </row>
    <row r="17">
      <c r="A17" s="14"/>
    </row>
    <row r="18">
      <c r="A18" s="14"/>
    </row>
    <row r="19">
      <c r="A19" s="14"/>
    </row>
    <row r="20">
      <c r="A20" s="14"/>
    </row>
    <row r="21">
      <c r="A21" s="14"/>
    </row>
    <row r="22">
      <c r="A22" s="14"/>
    </row>
    <row r="23">
      <c r="A23" s="14"/>
    </row>
    <row r="24">
      <c r="A24" s="14"/>
    </row>
    <row r="25">
      <c r="A25" s="14"/>
    </row>
    <row r="26">
      <c r="A26" s="14"/>
    </row>
    <row r="27">
      <c r="A27" s="14"/>
    </row>
    <row r="28">
      <c r="A28" s="14"/>
    </row>
    <row r="29">
      <c r="A29" s="14"/>
    </row>
    <row r="30">
      <c r="A30" s="14"/>
    </row>
    <row r="31">
      <c r="A31" s="14"/>
    </row>
    <row r="32">
      <c r="A32" s="14"/>
    </row>
    <row r="33">
      <c r="A33" s="14"/>
    </row>
    <row r="34">
      <c r="A34" s="14"/>
    </row>
    <row r="35">
      <c r="A35" s="14"/>
    </row>
    <row r="36">
      <c r="A36" s="14"/>
    </row>
    <row r="37">
      <c r="A37" s="14"/>
    </row>
    <row r="38">
      <c r="A38" s="14"/>
    </row>
    <row r="39">
      <c r="A39" s="14"/>
    </row>
    <row r="40">
      <c r="A40" s="14"/>
    </row>
    <row r="41">
      <c r="A41" s="14"/>
    </row>
    <row r="42">
      <c r="A42" s="14"/>
    </row>
    <row r="43">
      <c r="A43" s="14"/>
    </row>
    <row r="44">
      <c r="A44" s="14"/>
    </row>
    <row r="45">
      <c r="A45" s="14"/>
    </row>
    <row r="46">
      <c r="A46" s="14"/>
    </row>
    <row r="47">
      <c r="A47" s="14"/>
    </row>
    <row r="48">
      <c r="A48" s="14"/>
    </row>
    <row r="49">
      <c r="A49" s="14"/>
    </row>
    <row r="50">
      <c r="A50" s="14"/>
    </row>
    <row r="51">
      <c r="A51" s="14"/>
    </row>
    <row r="52">
      <c r="A52" s="14"/>
    </row>
    <row r="53">
      <c r="A53" s="14"/>
    </row>
    <row r="54">
      <c r="A54" s="14"/>
    </row>
    <row r="55">
      <c r="A55" s="14"/>
    </row>
    <row r="56">
      <c r="A56" s="14"/>
    </row>
    <row r="57">
      <c r="A57" s="14"/>
    </row>
    <row r="58">
      <c r="A58" s="14"/>
    </row>
    <row r="59">
      <c r="A59" s="14"/>
    </row>
    <row r="60">
      <c r="A60" s="14"/>
    </row>
    <row r="61">
      <c r="A61" s="14"/>
    </row>
    <row r="62">
      <c r="A62" s="14"/>
    </row>
    <row r="63">
      <c r="A63" s="14"/>
    </row>
    <row r="64">
      <c r="A64" s="14"/>
    </row>
    <row r="65">
      <c r="A65" s="14"/>
    </row>
    <row r="66">
      <c r="A66" s="14"/>
    </row>
    <row r="67">
      <c r="A67" s="14"/>
    </row>
    <row r="68">
      <c r="A68" s="14"/>
    </row>
    <row r="69">
      <c r="A69" s="14"/>
    </row>
    <row r="70">
      <c r="A70" s="14"/>
    </row>
    <row r="71">
      <c r="A71" s="14"/>
    </row>
    <row r="72">
      <c r="A72" s="14"/>
    </row>
    <row r="73">
      <c r="A73" s="14"/>
    </row>
    <row r="74">
      <c r="A74" s="14"/>
    </row>
    <row r="75">
      <c r="A75" s="14"/>
    </row>
    <row r="76">
      <c r="A76" s="14"/>
    </row>
    <row r="77">
      <c r="A77" s="14"/>
    </row>
    <row r="78">
      <c r="A78" s="14"/>
    </row>
    <row r="79">
      <c r="A79" s="14"/>
    </row>
    <row r="80">
      <c r="A80" s="14"/>
    </row>
    <row r="81">
      <c r="A81" s="14"/>
    </row>
    <row r="82">
      <c r="A82" s="14"/>
    </row>
    <row r="83">
      <c r="A83" s="14"/>
    </row>
    <row r="84">
      <c r="A84" s="14"/>
    </row>
    <row r="85">
      <c r="A85" s="14"/>
    </row>
    <row r="86">
      <c r="A86" s="14"/>
    </row>
    <row r="87">
      <c r="A87" s="14"/>
    </row>
    <row r="88">
      <c r="A88" s="14"/>
    </row>
    <row r="89">
      <c r="A89" s="14"/>
    </row>
    <row r="90">
      <c r="A90" s="14"/>
    </row>
    <row r="91">
      <c r="A91" s="14"/>
    </row>
    <row r="92">
      <c r="A92" s="14"/>
    </row>
    <row r="93">
      <c r="A93" s="14"/>
    </row>
    <row r="94">
      <c r="A94" s="14"/>
    </row>
    <row r="95">
      <c r="A95" s="14"/>
    </row>
    <row r="96">
      <c r="A96" s="14"/>
    </row>
    <row r="97">
      <c r="A97" s="14"/>
    </row>
    <row r="98">
      <c r="A98" s="14"/>
    </row>
    <row r="99">
      <c r="A99" s="14"/>
    </row>
    <row r="100">
      <c r="A100" s="14"/>
    </row>
    <row r="101">
      <c r="A101" s="14"/>
    </row>
    <row r="102">
      <c r="A102" s="14"/>
    </row>
    <row r="103">
      <c r="A103" s="14"/>
    </row>
    <row r="104">
      <c r="A104" s="14"/>
    </row>
    <row r="105">
      <c r="A105" s="14"/>
    </row>
    <row r="106">
      <c r="A106" s="14"/>
    </row>
    <row r="107">
      <c r="A107" s="14"/>
    </row>
    <row r="108">
      <c r="A108" s="14"/>
    </row>
    <row r="109">
      <c r="A109" s="14"/>
    </row>
    <row r="110">
      <c r="A110" s="14"/>
    </row>
    <row r="111">
      <c r="A111" s="14"/>
    </row>
    <row r="112">
      <c r="A112" s="14"/>
    </row>
    <row r="113">
      <c r="A113" s="14"/>
    </row>
    <row r="114">
      <c r="A114" s="14"/>
    </row>
    <row r="115">
      <c r="A115" s="14"/>
    </row>
    <row r="116">
      <c r="A116" s="14"/>
    </row>
    <row r="117">
      <c r="A117" s="14"/>
    </row>
    <row r="118">
      <c r="A118" s="14"/>
    </row>
    <row r="119">
      <c r="A119" s="14"/>
    </row>
    <row r="120">
      <c r="A120" s="14"/>
    </row>
    <row r="121">
      <c r="A121" s="14"/>
    </row>
    <row r="122">
      <c r="A122" s="14"/>
    </row>
    <row r="123">
      <c r="A123" s="14"/>
    </row>
    <row r="124">
      <c r="A124" s="14"/>
    </row>
    <row r="125">
      <c r="A125" s="14"/>
    </row>
    <row r="126">
      <c r="A126" s="14"/>
    </row>
    <row r="127">
      <c r="A127" s="14"/>
    </row>
    <row r="128">
      <c r="A128" s="14"/>
    </row>
    <row r="129">
      <c r="A129" s="14"/>
    </row>
    <row r="130">
      <c r="A130" s="14"/>
    </row>
    <row r="131">
      <c r="A131" s="14"/>
    </row>
    <row r="132">
      <c r="A132" s="14"/>
    </row>
    <row r="133">
      <c r="A133" s="14"/>
    </row>
    <row r="134">
      <c r="A134" s="14"/>
    </row>
    <row r="135">
      <c r="A135" s="14"/>
    </row>
    <row r="136">
      <c r="A136" s="14"/>
    </row>
    <row r="137">
      <c r="A137" s="14"/>
    </row>
    <row r="138">
      <c r="A138" s="14"/>
    </row>
    <row r="139">
      <c r="A139" s="14"/>
    </row>
    <row r="140">
      <c r="A140" s="14"/>
    </row>
    <row r="141">
      <c r="A141" s="14"/>
    </row>
    <row r="142">
      <c r="A142" s="14"/>
    </row>
    <row r="143">
      <c r="A143" s="14"/>
    </row>
    <row r="144">
      <c r="A144" s="14"/>
    </row>
    <row r="145">
      <c r="A145" s="14"/>
    </row>
    <row r="146">
      <c r="A146" s="14"/>
    </row>
    <row r="147">
      <c r="A147" s="14"/>
    </row>
    <row r="148">
      <c r="A148" s="14"/>
    </row>
    <row r="149">
      <c r="A149" s="14"/>
    </row>
    <row r="150">
      <c r="A150" s="14"/>
    </row>
    <row r="151">
      <c r="A151" s="14"/>
    </row>
    <row r="152">
      <c r="A152" s="14"/>
    </row>
    <row r="153">
      <c r="A153" s="14"/>
    </row>
    <row r="154">
      <c r="A154" s="14"/>
    </row>
    <row r="155">
      <c r="A155" s="14"/>
    </row>
    <row r="156">
      <c r="A156" s="14"/>
    </row>
    <row r="157">
      <c r="A157" s="14"/>
    </row>
    <row r="158">
      <c r="A158" s="14"/>
    </row>
    <row r="159">
      <c r="A159" s="14"/>
    </row>
    <row r="160">
      <c r="A160" s="14"/>
    </row>
    <row r="161">
      <c r="A161" s="14"/>
    </row>
    <row r="162">
      <c r="A162" s="14"/>
    </row>
    <row r="163">
      <c r="A163" s="14"/>
    </row>
    <row r="164">
      <c r="A164" s="14"/>
    </row>
    <row r="165">
      <c r="A165" s="14"/>
    </row>
    <row r="166">
      <c r="A166" s="14"/>
    </row>
    <row r="167">
      <c r="A167" s="14"/>
    </row>
    <row r="168">
      <c r="A168" s="14"/>
    </row>
    <row r="169">
      <c r="A169" s="14"/>
    </row>
    <row r="170">
      <c r="A170" s="14"/>
    </row>
    <row r="171">
      <c r="A171" s="14"/>
    </row>
    <row r="172">
      <c r="A172" s="14"/>
    </row>
    <row r="173">
      <c r="A173" s="14"/>
    </row>
    <row r="174">
      <c r="A174" s="14"/>
    </row>
    <row r="175">
      <c r="A175" s="14"/>
    </row>
    <row r="176">
      <c r="A176" s="14"/>
    </row>
    <row r="177">
      <c r="A177" s="14"/>
    </row>
    <row r="178">
      <c r="A178" s="14"/>
    </row>
    <row r="179">
      <c r="A179" s="14"/>
    </row>
    <row r="180">
      <c r="A180" s="14"/>
    </row>
    <row r="181">
      <c r="A181" s="14"/>
    </row>
    <row r="182">
      <c r="A182" s="14"/>
    </row>
    <row r="183">
      <c r="A183" s="14"/>
    </row>
    <row r="184">
      <c r="A184" s="14"/>
    </row>
    <row r="185">
      <c r="A185" s="14"/>
    </row>
    <row r="186">
      <c r="A186" s="14"/>
    </row>
    <row r="187">
      <c r="A187" s="14"/>
    </row>
    <row r="188">
      <c r="A188" s="14"/>
    </row>
    <row r="189">
      <c r="A189" s="14"/>
    </row>
    <row r="190">
      <c r="A190" s="14"/>
    </row>
    <row r="191">
      <c r="A191" s="14"/>
    </row>
    <row r="192">
      <c r="A192" s="14"/>
    </row>
    <row r="193">
      <c r="A193" s="14"/>
    </row>
    <row r="194">
      <c r="A194" s="14"/>
    </row>
    <row r="195">
      <c r="A195" s="14"/>
    </row>
    <row r="196">
      <c r="A196" s="14"/>
    </row>
    <row r="197">
      <c r="A197" s="14"/>
    </row>
    <row r="198">
      <c r="A198" s="14"/>
    </row>
    <row r="199">
      <c r="A199" s="14"/>
    </row>
    <row r="200">
      <c r="A200" s="14"/>
    </row>
    <row r="201">
      <c r="A201" s="14"/>
    </row>
    <row r="202">
      <c r="A202" s="14"/>
    </row>
    <row r="203">
      <c r="A203" s="14"/>
    </row>
    <row r="204">
      <c r="A204" s="14"/>
    </row>
    <row r="205">
      <c r="A205" s="14"/>
    </row>
    <row r="206">
      <c r="A206" s="14"/>
    </row>
    <row r="207">
      <c r="A207" s="14"/>
    </row>
    <row r="208">
      <c r="A208" s="14"/>
    </row>
    <row r="209">
      <c r="A209" s="14"/>
    </row>
    <row r="210">
      <c r="A210" s="14"/>
    </row>
    <row r="211">
      <c r="A211" s="14"/>
    </row>
    <row r="212">
      <c r="A212" s="14"/>
    </row>
    <row r="213">
      <c r="A213" s="14"/>
    </row>
    <row r="214">
      <c r="A214" s="14"/>
    </row>
    <row r="215">
      <c r="A215" s="14"/>
    </row>
    <row r="216">
      <c r="A216" s="14"/>
    </row>
    <row r="217">
      <c r="A217" s="14"/>
    </row>
    <row r="218">
      <c r="A218" s="14"/>
    </row>
    <row r="219">
      <c r="A219" s="14"/>
    </row>
    <row r="220">
      <c r="A220" s="14"/>
    </row>
    <row r="221">
      <c r="A221" s="14"/>
    </row>
    <row r="222">
      <c r="A222" s="14"/>
    </row>
    <row r="223">
      <c r="A223" s="14"/>
    </row>
    <row r="224">
      <c r="A224" s="14"/>
    </row>
    <row r="225">
      <c r="A225" s="14"/>
    </row>
    <row r="226">
      <c r="A226" s="14"/>
    </row>
    <row r="227">
      <c r="A227" s="14"/>
    </row>
    <row r="228">
      <c r="A228" s="14"/>
    </row>
    <row r="229">
      <c r="A229" s="14"/>
    </row>
    <row r="230">
      <c r="A230" s="14"/>
    </row>
    <row r="231">
      <c r="A231" s="14"/>
    </row>
    <row r="232">
      <c r="A232" s="14"/>
    </row>
    <row r="233">
      <c r="A233" s="14"/>
    </row>
    <row r="234">
      <c r="A234" s="14"/>
    </row>
    <row r="235">
      <c r="A235" s="14"/>
    </row>
    <row r="236">
      <c r="A236" s="14"/>
    </row>
    <row r="237">
      <c r="A237" s="14"/>
    </row>
    <row r="238">
      <c r="A238" s="14"/>
    </row>
    <row r="239">
      <c r="A239" s="14"/>
    </row>
    <row r="240">
      <c r="A240" s="14"/>
    </row>
    <row r="241">
      <c r="A241" s="14"/>
    </row>
    <row r="242">
      <c r="A242" s="14"/>
    </row>
    <row r="243">
      <c r="A243" s="14"/>
    </row>
    <row r="244">
      <c r="A244" s="14"/>
    </row>
    <row r="245">
      <c r="A245" s="14"/>
    </row>
    <row r="246">
      <c r="A246" s="14"/>
    </row>
    <row r="247">
      <c r="A247" s="14"/>
    </row>
    <row r="248">
      <c r="A248" s="14"/>
    </row>
    <row r="249">
      <c r="A249" s="14"/>
    </row>
    <row r="250">
      <c r="A250" s="14"/>
    </row>
    <row r="251">
      <c r="A251" s="14"/>
    </row>
    <row r="252">
      <c r="A252" s="14"/>
    </row>
    <row r="253">
      <c r="A253" s="14"/>
    </row>
    <row r="254">
      <c r="A254" s="14"/>
    </row>
    <row r="255">
      <c r="A255" s="14"/>
    </row>
    <row r="256">
      <c r="A256" s="14"/>
    </row>
    <row r="257">
      <c r="A257" s="14"/>
    </row>
    <row r="258">
      <c r="A258" s="14"/>
    </row>
    <row r="259">
      <c r="A259" s="14"/>
    </row>
    <row r="260">
      <c r="A260" s="14"/>
    </row>
    <row r="261">
      <c r="A261" s="14"/>
    </row>
    <row r="262">
      <c r="A262" s="14"/>
    </row>
    <row r="263">
      <c r="A263" s="14"/>
    </row>
    <row r="264">
      <c r="A264" s="14"/>
    </row>
    <row r="265">
      <c r="A265" s="14"/>
    </row>
    <row r="266">
      <c r="A266" s="14"/>
    </row>
    <row r="267">
      <c r="A267" s="14"/>
    </row>
    <row r="268">
      <c r="A268" s="14"/>
    </row>
    <row r="269">
      <c r="A269" s="14"/>
    </row>
    <row r="270">
      <c r="A270" s="14"/>
    </row>
    <row r="271">
      <c r="A271" s="14"/>
    </row>
    <row r="272">
      <c r="A272" s="14"/>
    </row>
    <row r="273">
      <c r="A273" s="14"/>
    </row>
    <row r="274">
      <c r="A274" s="14"/>
    </row>
    <row r="275">
      <c r="A275" s="14"/>
    </row>
    <row r="276">
      <c r="A276" s="14"/>
    </row>
    <row r="277">
      <c r="A277" s="14"/>
    </row>
    <row r="278">
      <c r="A278" s="14"/>
    </row>
    <row r="279">
      <c r="A279" s="14"/>
    </row>
    <row r="280">
      <c r="A280" s="14"/>
    </row>
    <row r="281">
      <c r="A281" s="14"/>
    </row>
    <row r="282">
      <c r="A282" s="14"/>
    </row>
    <row r="283">
      <c r="A283" s="14"/>
    </row>
    <row r="284">
      <c r="A284" s="14"/>
    </row>
    <row r="285">
      <c r="A285" s="14"/>
    </row>
    <row r="286">
      <c r="A286" s="14"/>
    </row>
    <row r="287">
      <c r="A287" s="14"/>
    </row>
    <row r="288">
      <c r="A288" s="14"/>
    </row>
    <row r="289">
      <c r="A289" s="14"/>
    </row>
    <row r="290">
      <c r="A290" s="14"/>
    </row>
    <row r="291">
      <c r="A291" s="14"/>
    </row>
    <row r="292">
      <c r="A292" s="14"/>
    </row>
    <row r="293">
      <c r="A293" s="14"/>
    </row>
    <row r="294">
      <c r="A294" s="14"/>
    </row>
    <row r="295">
      <c r="A295" s="14"/>
    </row>
    <row r="296">
      <c r="A296" s="14"/>
    </row>
    <row r="297">
      <c r="A297" s="14"/>
    </row>
    <row r="298">
      <c r="A298" s="14"/>
    </row>
    <row r="299">
      <c r="A299" s="14"/>
    </row>
    <row r="300">
      <c r="A300" s="14"/>
    </row>
    <row r="301">
      <c r="A301" s="14"/>
    </row>
    <row r="302">
      <c r="A302" s="14"/>
    </row>
    <row r="303">
      <c r="A303" s="14"/>
    </row>
    <row r="304">
      <c r="A304" s="14"/>
    </row>
    <row r="305">
      <c r="A305" s="14"/>
    </row>
    <row r="306">
      <c r="A306" s="14"/>
    </row>
    <row r="307">
      <c r="A307" s="14"/>
    </row>
    <row r="308">
      <c r="A308" s="14"/>
    </row>
    <row r="309">
      <c r="A309" s="14"/>
    </row>
    <row r="310">
      <c r="A310" s="14"/>
    </row>
    <row r="311">
      <c r="A311" s="14"/>
    </row>
    <row r="312">
      <c r="A312" s="14"/>
    </row>
    <row r="313">
      <c r="A313" s="14"/>
    </row>
    <row r="314">
      <c r="A314" s="14"/>
    </row>
    <row r="315">
      <c r="A315" s="14"/>
    </row>
    <row r="316">
      <c r="A316" s="14"/>
    </row>
    <row r="317">
      <c r="A317" s="14"/>
    </row>
    <row r="318">
      <c r="A318" s="14"/>
    </row>
    <row r="319">
      <c r="A319" s="14"/>
    </row>
    <row r="320">
      <c r="A320" s="14"/>
    </row>
    <row r="321">
      <c r="A321" s="14"/>
    </row>
    <row r="322">
      <c r="A322" s="14"/>
    </row>
    <row r="323">
      <c r="A323" s="14"/>
    </row>
    <row r="324">
      <c r="A324" s="14"/>
    </row>
    <row r="325">
      <c r="A325" s="14"/>
    </row>
    <row r="326">
      <c r="A326" s="14"/>
    </row>
    <row r="327">
      <c r="A327" s="14"/>
    </row>
    <row r="328">
      <c r="A328" s="14"/>
    </row>
    <row r="329">
      <c r="A329" s="14"/>
    </row>
    <row r="330">
      <c r="A330" s="14"/>
    </row>
    <row r="331">
      <c r="A331" s="14"/>
    </row>
    <row r="332">
      <c r="A332" s="14"/>
    </row>
    <row r="333">
      <c r="A333" s="14"/>
    </row>
    <row r="334">
      <c r="A334" s="14"/>
    </row>
    <row r="335">
      <c r="A335" s="14"/>
    </row>
    <row r="336">
      <c r="A336" s="14"/>
    </row>
    <row r="337">
      <c r="A337" s="14"/>
    </row>
    <row r="338">
      <c r="A338" s="14"/>
    </row>
    <row r="339">
      <c r="A339" s="14"/>
    </row>
    <row r="340">
      <c r="A340" s="14"/>
    </row>
    <row r="341">
      <c r="A341" s="14"/>
    </row>
    <row r="342">
      <c r="A342" s="14"/>
    </row>
    <row r="343">
      <c r="A343" s="14"/>
    </row>
    <row r="344">
      <c r="A344" s="14"/>
    </row>
    <row r="345">
      <c r="A345" s="14"/>
    </row>
    <row r="346">
      <c r="A346" s="14"/>
    </row>
    <row r="347">
      <c r="A347" s="14"/>
    </row>
    <row r="348">
      <c r="A348" s="14"/>
    </row>
    <row r="349">
      <c r="A349" s="14"/>
    </row>
    <row r="350">
      <c r="A350" s="14"/>
    </row>
    <row r="351">
      <c r="A351" s="14"/>
    </row>
    <row r="352">
      <c r="A352" s="14"/>
    </row>
    <row r="353">
      <c r="A353" s="14"/>
    </row>
    <row r="354">
      <c r="A354" s="14"/>
    </row>
    <row r="355">
      <c r="A355" s="14"/>
    </row>
    <row r="356">
      <c r="A356" s="14"/>
    </row>
    <row r="357">
      <c r="A357" s="14"/>
    </row>
    <row r="358">
      <c r="A358" s="14"/>
    </row>
    <row r="359">
      <c r="A359" s="14"/>
    </row>
    <row r="360">
      <c r="A360" s="14"/>
    </row>
    <row r="361">
      <c r="A361" s="14"/>
    </row>
    <row r="362">
      <c r="A362" s="14"/>
    </row>
    <row r="363">
      <c r="A363" s="14"/>
    </row>
    <row r="364">
      <c r="A364" s="14"/>
    </row>
    <row r="365">
      <c r="A365" s="14"/>
    </row>
    <row r="366">
      <c r="A366" s="14"/>
    </row>
    <row r="367">
      <c r="A367" s="14"/>
    </row>
    <row r="368">
      <c r="A368" s="14"/>
    </row>
    <row r="369">
      <c r="A369" s="14"/>
    </row>
    <row r="370">
      <c r="A370" s="14"/>
    </row>
    <row r="371">
      <c r="A371" s="14"/>
    </row>
    <row r="372">
      <c r="A372" s="14"/>
    </row>
    <row r="373">
      <c r="A373" s="14"/>
    </row>
    <row r="374">
      <c r="A374" s="14"/>
    </row>
    <row r="375">
      <c r="A375" s="14"/>
    </row>
    <row r="376">
      <c r="A376" s="14"/>
    </row>
    <row r="377">
      <c r="A377" s="14"/>
    </row>
    <row r="378">
      <c r="A378" s="14"/>
    </row>
    <row r="379">
      <c r="A379" s="14"/>
    </row>
    <row r="380">
      <c r="A380" s="14"/>
    </row>
    <row r="381">
      <c r="A381" s="14"/>
    </row>
    <row r="382">
      <c r="A382" s="14"/>
    </row>
    <row r="383">
      <c r="A383" s="14"/>
    </row>
    <row r="384">
      <c r="A384" s="14"/>
    </row>
    <row r="385">
      <c r="A385" s="14"/>
    </row>
    <row r="386">
      <c r="A386" s="14"/>
    </row>
    <row r="387">
      <c r="A387" s="14"/>
    </row>
    <row r="388">
      <c r="A388" s="14"/>
    </row>
    <row r="389">
      <c r="A389" s="14"/>
    </row>
    <row r="390">
      <c r="A390" s="14"/>
    </row>
    <row r="391">
      <c r="A391" s="14"/>
    </row>
    <row r="392">
      <c r="A392" s="14"/>
    </row>
    <row r="393">
      <c r="A393" s="14"/>
    </row>
    <row r="394">
      <c r="A394" s="14"/>
    </row>
    <row r="395">
      <c r="A395" s="14"/>
    </row>
    <row r="396">
      <c r="A396" s="14"/>
    </row>
    <row r="397">
      <c r="A397" s="14"/>
    </row>
    <row r="398">
      <c r="A398" s="14"/>
    </row>
    <row r="399">
      <c r="A399" s="14"/>
    </row>
    <row r="400">
      <c r="A400" s="14"/>
    </row>
    <row r="401">
      <c r="A401" s="14"/>
    </row>
    <row r="402">
      <c r="A402" s="14"/>
    </row>
    <row r="403">
      <c r="A403" s="14"/>
    </row>
    <row r="404">
      <c r="A404" s="14"/>
    </row>
    <row r="405">
      <c r="A405" s="14"/>
    </row>
    <row r="406">
      <c r="A406" s="14"/>
    </row>
    <row r="407">
      <c r="A407" s="14"/>
    </row>
    <row r="408">
      <c r="A408" s="14"/>
    </row>
    <row r="409">
      <c r="A409" s="14"/>
    </row>
    <row r="410">
      <c r="A410" s="14"/>
    </row>
    <row r="411">
      <c r="A411" s="14"/>
    </row>
    <row r="412">
      <c r="A412" s="14"/>
    </row>
    <row r="413">
      <c r="A413" s="14"/>
    </row>
    <row r="414">
      <c r="A414" s="14"/>
    </row>
    <row r="415">
      <c r="A415" s="14"/>
    </row>
    <row r="416">
      <c r="A416" s="14"/>
    </row>
    <row r="417">
      <c r="A417" s="14"/>
    </row>
    <row r="418">
      <c r="A418" s="14"/>
    </row>
    <row r="419">
      <c r="A419" s="14"/>
    </row>
    <row r="420">
      <c r="A420" s="14"/>
    </row>
    <row r="421">
      <c r="A421" s="14"/>
    </row>
    <row r="422">
      <c r="A422" s="14"/>
    </row>
    <row r="423">
      <c r="A423" s="14"/>
    </row>
    <row r="424">
      <c r="A424" s="14"/>
    </row>
    <row r="425">
      <c r="A425" s="14"/>
    </row>
    <row r="426">
      <c r="A426" s="14"/>
    </row>
    <row r="427">
      <c r="A427" s="14"/>
    </row>
    <row r="428">
      <c r="A428" s="14"/>
    </row>
    <row r="429">
      <c r="A429" s="14"/>
    </row>
    <row r="430">
      <c r="A430" s="14"/>
    </row>
    <row r="431">
      <c r="A431" s="14"/>
    </row>
    <row r="432">
      <c r="A432" s="14"/>
    </row>
    <row r="433">
      <c r="A433" s="14"/>
    </row>
    <row r="434">
      <c r="A434" s="14"/>
    </row>
    <row r="435">
      <c r="A435" s="14"/>
    </row>
    <row r="436">
      <c r="A436" s="14"/>
    </row>
    <row r="437">
      <c r="A437" s="14"/>
    </row>
    <row r="438">
      <c r="A438" s="14"/>
    </row>
    <row r="439">
      <c r="A439" s="14"/>
    </row>
    <row r="440">
      <c r="A440" s="14"/>
    </row>
    <row r="441">
      <c r="A441" s="14"/>
    </row>
    <row r="442">
      <c r="A442" s="14"/>
    </row>
    <row r="443">
      <c r="A443" s="14"/>
    </row>
    <row r="444">
      <c r="A444" s="14"/>
    </row>
    <row r="445">
      <c r="A445" s="14"/>
    </row>
    <row r="446">
      <c r="A446" s="14"/>
    </row>
    <row r="447">
      <c r="A447" s="14"/>
    </row>
    <row r="448">
      <c r="A448" s="14"/>
    </row>
    <row r="449">
      <c r="A449" s="14"/>
    </row>
    <row r="450">
      <c r="A450" s="14"/>
    </row>
    <row r="451">
      <c r="A451" s="14"/>
    </row>
    <row r="452">
      <c r="A452" s="14"/>
    </row>
    <row r="453">
      <c r="A453" s="14"/>
    </row>
    <row r="454">
      <c r="A454" s="14"/>
    </row>
    <row r="455">
      <c r="A455" s="14"/>
    </row>
    <row r="456">
      <c r="A456" s="14"/>
    </row>
    <row r="457">
      <c r="A457" s="14"/>
    </row>
    <row r="458">
      <c r="A458" s="14"/>
    </row>
    <row r="459">
      <c r="A459" s="14"/>
    </row>
    <row r="460">
      <c r="A460" s="14"/>
    </row>
    <row r="461">
      <c r="A461" s="14"/>
    </row>
    <row r="462">
      <c r="A462" s="14"/>
    </row>
    <row r="463">
      <c r="A463" s="14"/>
    </row>
    <row r="464">
      <c r="A464" s="14"/>
    </row>
    <row r="465">
      <c r="A465" s="14"/>
    </row>
    <row r="466">
      <c r="A466" s="14"/>
    </row>
    <row r="467">
      <c r="A467" s="14"/>
    </row>
    <row r="468">
      <c r="A468" s="14"/>
    </row>
    <row r="469">
      <c r="A469" s="14"/>
    </row>
    <row r="470">
      <c r="A470" s="14"/>
    </row>
    <row r="471">
      <c r="A471" s="14"/>
    </row>
    <row r="472">
      <c r="A472" s="14"/>
    </row>
    <row r="473">
      <c r="A473" s="14"/>
    </row>
    <row r="474">
      <c r="A474" s="14"/>
    </row>
    <row r="475">
      <c r="A475" s="14"/>
    </row>
    <row r="476">
      <c r="A476" s="14"/>
    </row>
    <row r="477">
      <c r="A477" s="14"/>
    </row>
    <row r="478">
      <c r="A478" s="14"/>
    </row>
    <row r="479">
      <c r="A479" s="14"/>
    </row>
    <row r="480">
      <c r="A480" s="14"/>
    </row>
    <row r="481">
      <c r="A481" s="14"/>
    </row>
    <row r="482">
      <c r="A482" s="14"/>
    </row>
    <row r="483">
      <c r="A483" s="14"/>
    </row>
    <row r="484">
      <c r="A484" s="14"/>
    </row>
    <row r="485">
      <c r="A485" s="14"/>
    </row>
    <row r="486">
      <c r="A486" s="14"/>
    </row>
    <row r="487">
      <c r="A487" s="14"/>
    </row>
    <row r="488">
      <c r="A488" s="14"/>
    </row>
    <row r="489">
      <c r="A489" s="14"/>
    </row>
    <row r="490">
      <c r="A490" s="14"/>
    </row>
    <row r="491">
      <c r="A491" s="14"/>
    </row>
    <row r="492">
      <c r="A492" s="14"/>
    </row>
    <row r="493">
      <c r="A493" s="14"/>
    </row>
    <row r="494">
      <c r="A494" s="14"/>
    </row>
    <row r="495">
      <c r="A495" s="14"/>
    </row>
    <row r="496">
      <c r="A496" s="14"/>
    </row>
    <row r="497">
      <c r="A497" s="14"/>
    </row>
    <row r="498">
      <c r="A498" s="14"/>
    </row>
    <row r="499">
      <c r="A499" s="14"/>
    </row>
    <row r="500">
      <c r="A500" s="14"/>
    </row>
    <row r="501">
      <c r="A501" s="14"/>
    </row>
    <row r="502">
      <c r="A502" s="14"/>
    </row>
    <row r="503">
      <c r="A503" s="14"/>
    </row>
    <row r="504">
      <c r="A504" s="14"/>
    </row>
    <row r="505">
      <c r="A505" s="14"/>
    </row>
    <row r="506">
      <c r="A506" s="14"/>
    </row>
    <row r="507">
      <c r="A507" s="14"/>
    </row>
    <row r="508">
      <c r="A508" s="14"/>
    </row>
    <row r="509">
      <c r="A509" s="14"/>
    </row>
    <row r="510">
      <c r="A510" s="14"/>
    </row>
    <row r="511">
      <c r="A511" s="14"/>
    </row>
    <row r="512">
      <c r="A512" s="14"/>
    </row>
    <row r="513">
      <c r="A513" s="14"/>
    </row>
    <row r="514">
      <c r="A514" s="14"/>
    </row>
    <row r="515">
      <c r="A515" s="14"/>
    </row>
    <row r="516">
      <c r="A516" s="14"/>
    </row>
    <row r="517">
      <c r="A517" s="14"/>
    </row>
    <row r="518">
      <c r="A518" s="14"/>
    </row>
    <row r="519">
      <c r="A519" s="14"/>
    </row>
    <row r="520">
      <c r="A520" s="14"/>
    </row>
    <row r="521">
      <c r="A521" s="14"/>
    </row>
    <row r="522">
      <c r="A522" s="14"/>
    </row>
    <row r="523">
      <c r="A523" s="14"/>
    </row>
    <row r="524">
      <c r="A524" s="14"/>
    </row>
    <row r="525">
      <c r="A525" s="14"/>
    </row>
    <row r="526">
      <c r="A526" s="14"/>
    </row>
    <row r="527">
      <c r="A527" s="14"/>
    </row>
    <row r="528">
      <c r="A528" s="14"/>
    </row>
    <row r="529">
      <c r="A529" s="14"/>
    </row>
    <row r="530">
      <c r="A530" s="14"/>
    </row>
    <row r="531">
      <c r="A531" s="14"/>
    </row>
    <row r="532">
      <c r="A532" s="14"/>
    </row>
    <row r="533">
      <c r="A533" s="14"/>
    </row>
    <row r="534">
      <c r="A534" s="14"/>
    </row>
    <row r="535">
      <c r="A535" s="14"/>
    </row>
    <row r="536">
      <c r="A536" s="14"/>
    </row>
    <row r="537">
      <c r="A537" s="14"/>
    </row>
    <row r="538">
      <c r="A538" s="14"/>
    </row>
    <row r="539">
      <c r="A539" s="14"/>
    </row>
    <row r="540">
      <c r="A540" s="14"/>
    </row>
    <row r="541">
      <c r="A541" s="14"/>
    </row>
    <row r="542">
      <c r="A542" s="14"/>
    </row>
    <row r="543">
      <c r="A543" s="14"/>
    </row>
    <row r="544">
      <c r="A544" s="14"/>
    </row>
    <row r="545">
      <c r="A545" s="14"/>
    </row>
    <row r="546">
      <c r="A546" s="14"/>
    </row>
    <row r="547">
      <c r="A547" s="14"/>
    </row>
    <row r="548">
      <c r="A548" s="14"/>
    </row>
    <row r="549">
      <c r="A549" s="14"/>
    </row>
    <row r="550">
      <c r="A550" s="14"/>
    </row>
    <row r="551">
      <c r="A551" s="14"/>
    </row>
    <row r="552">
      <c r="A552" s="14"/>
    </row>
    <row r="553">
      <c r="A553" s="14"/>
    </row>
    <row r="554">
      <c r="A554" s="14"/>
    </row>
    <row r="555">
      <c r="A555" s="14"/>
    </row>
    <row r="556">
      <c r="A556" s="14"/>
    </row>
    <row r="557">
      <c r="A557" s="14"/>
    </row>
    <row r="558">
      <c r="A558" s="14"/>
    </row>
    <row r="559">
      <c r="A559" s="14"/>
    </row>
    <row r="560">
      <c r="A560" s="14"/>
    </row>
    <row r="561">
      <c r="A561" s="14"/>
    </row>
    <row r="562">
      <c r="A562" s="14"/>
    </row>
    <row r="563">
      <c r="A563" s="14"/>
    </row>
    <row r="564">
      <c r="A564" s="14"/>
    </row>
    <row r="565">
      <c r="A565" s="14"/>
    </row>
    <row r="566">
      <c r="A566" s="14"/>
    </row>
    <row r="567">
      <c r="A567" s="14"/>
    </row>
    <row r="568">
      <c r="A568" s="14"/>
    </row>
    <row r="569">
      <c r="A569" s="14"/>
    </row>
    <row r="570">
      <c r="A570" s="14"/>
    </row>
    <row r="571">
      <c r="A571" s="14"/>
    </row>
    <row r="572">
      <c r="A572" s="14"/>
    </row>
    <row r="573">
      <c r="A573" s="14"/>
    </row>
    <row r="574">
      <c r="A574" s="14"/>
    </row>
    <row r="575">
      <c r="A575" s="14"/>
    </row>
    <row r="576">
      <c r="A576" s="14"/>
    </row>
    <row r="577">
      <c r="A577" s="14"/>
    </row>
    <row r="578">
      <c r="A578" s="14"/>
    </row>
    <row r="579">
      <c r="A579" s="14"/>
    </row>
    <row r="580">
      <c r="A580" s="14"/>
    </row>
    <row r="581">
      <c r="A581" s="14"/>
    </row>
    <row r="582">
      <c r="A582" s="14"/>
    </row>
    <row r="583">
      <c r="A583" s="14"/>
    </row>
    <row r="584">
      <c r="A584" s="14"/>
    </row>
    <row r="585">
      <c r="A585" s="14"/>
    </row>
    <row r="586">
      <c r="A586" s="14"/>
    </row>
    <row r="587">
      <c r="A587" s="14"/>
    </row>
    <row r="588">
      <c r="A588" s="14"/>
    </row>
    <row r="589">
      <c r="A589" s="14"/>
    </row>
    <row r="590">
      <c r="A590" s="14"/>
    </row>
    <row r="591">
      <c r="A591" s="14"/>
    </row>
    <row r="592">
      <c r="A592" s="14"/>
    </row>
    <row r="593">
      <c r="A593" s="14"/>
    </row>
    <row r="594">
      <c r="A594" s="14"/>
    </row>
    <row r="595">
      <c r="A595" s="14"/>
    </row>
    <row r="596">
      <c r="A596" s="14"/>
    </row>
    <row r="597">
      <c r="A597" s="14"/>
    </row>
    <row r="598">
      <c r="A598" s="14"/>
    </row>
    <row r="599">
      <c r="A599" s="14"/>
    </row>
    <row r="600">
      <c r="A600" s="14"/>
    </row>
    <row r="601">
      <c r="A601" s="14"/>
    </row>
    <row r="602">
      <c r="A602" s="14"/>
    </row>
    <row r="603">
      <c r="A603" s="14"/>
    </row>
    <row r="604">
      <c r="A604" s="14"/>
    </row>
    <row r="605">
      <c r="A605" s="14"/>
    </row>
    <row r="606">
      <c r="A606" s="14"/>
    </row>
    <row r="607">
      <c r="A607" s="14"/>
    </row>
    <row r="608">
      <c r="A608" s="14"/>
    </row>
    <row r="609">
      <c r="A609" s="14"/>
    </row>
    <row r="610">
      <c r="A610" s="14"/>
    </row>
    <row r="611">
      <c r="A611" s="14"/>
    </row>
    <row r="612">
      <c r="A612" s="14"/>
    </row>
    <row r="613">
      <c r="A613" s="14"/>
    </row>
    <row r="614">
      <c r="A614" s="14"/>
    </row>
    <row r="615">
      <c r="A615" s="14"/>
    </row>
    <row r="616">
      <c r="A616" s="14"/>
    </row>
    <row r="617">
      <c r="A617" s="14"/>
    </row>
    <row r="618">
      <c r="A618" s="14"/>
    </row>
    <row r="619">
      <c r="A619" s="14"/>
    </row>
    <row r="620">
      <c r="A620" s="14"/>
    </row>
    <row r="621">
      <c r="A621" s="14"/>
    </row>
    <row r="622">
      <c r="A622" s="14"/>
    </row>
    <row r="623">
      <c r="A623" s="14"/>
    </row>
    <row r="624">
      <c r="A624" s="14"/>
    </row>
    <row r="625">
      <c r="A625" s="14"/>
    </row>
    <row r="626">
      <c r="A626" s="14"/>
    </row>
    <row r="627">
      <c r="A627" s="14"/>
    </row>
    <row r="628">
      <c r="A628" s="14"/>
    </row>
    <row r="629">
      <c r="A629" s="14"/>
    </row>
    <row r="630">
      <c r="A630" s="14"/>
    </row>
    <row r="631">
      <c r="A631" s="14"/>
    </row>
    <row r="632">
      <c r="A632" s="14"/>
    </row>
    <row r="633">
      <c r="A633" s="14"/>
    </row>
    <row r="634">
      <c r="A634" s="14"/>
    </row>
    <row r="635">
      <c r="A635" s="14"/>
    </row>
    <row r="636">
      <c r="A636" s="14"/>
    </row>
    <row r="637">
      <c r="A637" s="14"/>
    </row>
    <row r="638">
      <c r="A638" s="14"/>
    </row>
    <row r="639">
      <c r="A639" s="14"/>
    </row>
    <row r="640">
      <c r="A640" s="14"/>
    </row>
    <row r="641">
      <c r="A641" s="14"/>
    </row>
    <row r="642">
      <c r="A642" s="14"/>
    </row>
    <row r="643">
      <c r="A643" s="14"/>
    </row>
    <row r="644">
      <c r="A644" s="14"/>
    </row>
    <row r="645">
      <c r="A645" s="14"/>
    </row>
    <row r="646">
      <c r="A646" s="14"/>
    </row>
    <row r="647">
      <c r="A647" s="14"/>
    </row>
    <row r="648">
      <c r="A648" s="14"/>
    </row>
    <row r="649">
      <c r="A649" s="14"/>
    </row>
    <row r="650">
      <c r="A650" s="14"/>
    </row>
    <row r="651">
      <c r="A651" s="14"/>
    </row>
    <row r="652">
      <c r="A652" s="14"/>
    </row>
    <row r="653">
      <c r="A653" s="14"/>
    </row>
    <row r="654">
      <c r="A654" s="14"/>
    </row>
    <row r="655">
      <c r="A655" s="14"/>
    </row>
    <row r="656">
      <c r="A656" s="14"/>
    </row>
    <row r="657">
      <c r="A657" s="14"/>
    </row>
    <row r="658">
      <c r="A658" s="14"/>
    </row>
    <row r="659">
      <c r="A659" s="14"/>
    </row>
    <row r="660">
      <c r="A660" s="14"/>
    </row>
    <row r="661">
      <c r="A661" s="14"/>
    </row>
    <row r="662">
      <c r="A662" s="14"/>
    </row>
    <row r="663">
      <c r="A663" s="14"/>
    </row>
    <row r="664">
      <c r="A664" s="14"/>
    </row>
    <row r="665">
      <c r="A665" s="14"/>
    </row>
    <row r="666">
      <c r="A666" s="14"/>
    </row>
    <row r="667">
      <c r="A667" s="14"/>
    </row>
    <row r="668">
      <c r="A668" s="14"/>
    </row>
    <row r="669">
      <c r="A669" s="14"/>
    </row>
    <row r="670">
      <c r="A670" s="14"/>
    </row>
    <row r="671">
      <c r="A671" s="14"/>
    </row>
    <row r="672">
      <c r="A672" s="14"/>
    </row>
    <row r="673">
      <c r="A673" s="14"/>
    </row>
    <row r="674">
      <c r="A674" s="14"/>
    </row>
    <row r="675">
      <c r="A675" s="14"/>
    </row>
    <row r="676">
      <c r="A676" s="14"/>
    </row>
    <row r="677">
      <c r="A677" s="14"/>
    </row>
    <row r="678">
      <c r="A678" s="14"/>
    </row>
    <row r="679">
      <c r="A679" s="14"/>
    </row>
    <row r="680">
      <c r="A680" s="14"/>
    </row>
    <row r="681">
      <c r="A681" s="14"/>
    </row>
    <row r="682">
      <c r="A682" s="14"/>
    </row>
    <row r="683">
      <c r="A683" s="14"/>
    </row>
    <row r="684">
      <c r="A684" s="14"/>
    </row>
    <row r="685">
      <c r="A685" s="14"/>
    </row>
    <row r="686">
      <c r="A686" s="14"/>
    </row>
    <row r="687">
      <c r="A687" s="14"/>
    </row>
    <row r="688">
      <c r="A688" s="14"/>
    </row>
    <row r="689">
      <c r="A689" s="14"/>
    </row>
    <row r="690">
      <c r="A690" s="14"/>
    </row>
    <row r="691">
      <c r="A691" s="14"/>
    </row>
    <row r="692">
      <c r="A692" s="14"/>
    </row>
    <row r="693">
      <c r="A693" s="14"/>
    </row>
    <row r="694">
      <c r="A694" s="14"/>
    </row>
    <row r="695">
      <c r="A695" s="14"/>
    </row>
    <row r="696">
      <c r="A696" s="14"/>
    </row>
    <row r="697">
      <c r="A697" s="14"/>
    </row>
    <row r="698">
      <c r="A698" s="14"/>
    </row>
    <row r="699">
      <c r="A699" s="14"/>
    </row>
    <row r="700">
      <c r="A700" s="14"/>
    </row>
    <row r="701">
      <c r="A701" s="14"/>
    </row>
    <row r="702">
      <c r="A702" s="14"/>
    </row>
    <row r="703">
      <c r="A703" s="14"/>
    </row>
    <row r="704">
      <c r="A704" s="14"/>
    </row>
    <row r="705">
      <c r="A705" s="14"/>
    </row>
    <row r="706">
      <c r="A706" s="14"/>
    </row>
    <row r="707">
      <c r="A707" s="14"/>
    </row>
    <row r="708">
      <c r="A708" s="14"/>
    </row>
    <row r="709">
      <c r="A709" s="14"/>
    </row>
    <row r="710">
      <c r="A710" s="14"/>
    </row>
    <row r="711">
      <c r="A711" s="14"/>
    </row>
    <row r="712">
      <c r="A712" s="14"/>
    </row>
    <row r="713">
      <c r="A713" s="14"/>
    </row>
    <row r="714">
      <c r="A714" s="14"/>
    </row>
    <row r="715">
      <c r="A715" s="14"/>
    </row>
    <row r="716">
      <c r="A716" s="14"/>
    </row>
    <row r="717">
      <c r="A717" s="14"/>
    </row>
    <row r="718">
      <c r="A718" s="14"/>
    </row>
    <row r="719">
      <c r="A719" s="14"/>
    </row>
    <row r="720">
      <c r="A720" s="14"/>
    </row>
    <row r="721">
      <c r="A721" s="14"/>
    </row>
    <row r="722">
      <c r="A722" s="14"/>
    </row>
    <row r="723">
      <c r="A723" s="14"/>
    </row>
    <row r="724">
      <c r="A724" s="14"/>
    </row>
    <row r="725">
      <c r="A725" s="14"/>
    </row>
    <row r="726">
      <c r="A726" s="14"/>
    </row>
    <row r="727">
      <c r="A727" s="14"/>
    </row>
    <row r="728">
      <c r="A728" s="14"/>
    </row>
    <row r="729">
      <c r="A729" s="14"/>
    </row>
    <row r="730">
      <c r="A730" s="14"/>
    </row>
    <row r="731">
      <c r="A731" s="14"/>
    </row>
    <row r="732">
      <c r="A732" s="14"/>
    </row>
    <row r="733">
      <c r="A733" s="14"/>
    </row>
    <row r="734">
      <c r="A734" s="14"/>
    </row>
    <row r="735">
      <c r="A735" s="14"/>
    </row>
    <row r="736">
      <c r="A736" s="14"/>
    </row>
    <row r="737">
      <c r="A737" s="14"/>
    </row>
    <row r="738">
      <c r="A738" s="14"/>
    </row>
    <row r="739">
      <c r="A739" s="14"/>
    </row>
    <row r="740">
      <c r="A740" s="14"/>
    </row>
    <row r="741">
      <c r="A741" s="14"/>
    </row>
    <row r="742">
      <c r="A742" s="14"/>
    </row>
    <row r="743">
      <c r="A743" s="14"/>
    </row>
    <row r="744">
      <c r="A744" s="14"/>
    </row>
    <row r="745">
      <c r="A745" s="14"/>
    </row>
    <row r="746">
      <c r="A746" s="14"/>
    </row>
    <row r="747">
      <c r="A747" s="14"/>
    </row>
    <row r="748">
      <c r="A748" s="14"/>
    </row>
    <row r="749">
      <c r="A749" s="14"/>
    </row>
    <row r="750">
      <c r="A750" s="14"/>
    </row>
    <row r="751">
      <c r="A751" s="14"/>
    </row>
    <row r="752">
      <c r="A752" s="14"/>
    </row>
    <row r="753">
      <c r="A753" s="14"/>
    </row>
    <row r="754">
      <c r="A754" s="14"/>
    </row>
    <row r="755">
      <c r="A755" s="14"/>
    </row>
    <row r="756">
      <c r="A756" s="14"/>
    </row>
    <row r="757">
      <c r="A757" s="14"/>
    </row>
    <row r="758">
      <c r="A758" s="14"/>
    </row>
    <row r="759">
      <c r="A759" s="14"/>
    </row>
    <row r="760">
      <c r="A760" s="14"/>
    </row>
    <row r="761">
      <c r="A761" s="14"/>
    </row>
    <row r="762">
      <c r="A762" s="14"/>
    </row>
    <row r="763">
      <c r="A763" s="14"/>
    </row>
    <row r="764">
      <c r="A764" s="14"/>
    </row>
    <row r="765">
      <c r="A765" s="14"/>
    </row>
    <row r="766">
      <c r="A766" s="14"/>
    </row>
    <row r="767">
      <c r="A767" s="14"/>
    </row>
    <row r="768">
      <c r="A768" s="14"/>
    </row>
    <row r="769">
      <c r="A769" s="14"/>
    </row>
    <row r="770">
      <c r="A770" s="14"/>
    </row>
    <row r="771">
      <c r="A771" s="14"/>
    </row>
    <row r="772">
      <c r="A772" s="14"/>
    </row>
    <row r="773">
      <c r="A773" s="14"/>
    </row>
    <row r="774">
      <c r="A774" s="14"/>
    </row>
    <row r="775">
      <c r="A775" s="14"/>
    </row>
    <row r="776">
      <c r="A776" s="14"/>
    </row>
    <row r="777">
      <c r="A777" s="14"/>
    </row>
    <row r="778">
      <c r="A778" s="14"/>
    </row>
    <row r="779">
      <c r="A779" s="14"/>
    </row>
    <row r="780">
      <c r="A780" s="14"/>
    </row>
    <row r="781">
      <c r="A781" s="14"/>
    </row>
    <row r="782">
      <c r="A782" s="14"/>
    </row>
    <row r="783">
      <c r="A783" s="14"/>
    </row>
    <row r="784">
      <c r="A784" s="14"/>
    </row>
    <row r="785">
      <c r="A785" s="14"/>
    </row>
    <row r="786">
      <c r="A786" s="14"/>
    </row>
    <row r="787">
      <c r="A787" s="14"/>
    </row>
    <row r="788">
      <c r="A788" s="14"/>
    </row>
    <row r="789">
      <c r="A789" s="14"/>
    </row>
    <row r="790">
      <c r="A790" s="14"/>
    </row>
    <row r="791">
      <c r="A791" s="14"/>
    </row>
    <row r="792">
      <c r="A792" s="14"/>
    </row>
    <row r="793">
      <c r="A793" s="14"/>
    </row>
    <row r="794">
      <c r="A794" s="14"/>
    </row>
    <row r="795">
      <c r="A795" s="14"/>
    </row>
    <row r="796">
      <c r="A796" s="14"/>
    </row>
    <row r="797">
      <c r="A797" s="14"/>
    </row>
    <row r="798">
      <c r="A798" s="14"/>
    </row>
    <row r="799">
      <c r="A799" s="14"/>
    </row>
    <row r="800">
      <c r="A800" s="14"/>
    </row>
    <row r="801">
      <c r="A801" s="14"/>
    </row>
    <row r="802">
      <c r="A802" s="14"/>
    </row>
    <row r="803">
      <c r="A803" s="14"/>
    </row>
    <row r="804">
      <c r="A804" s="14"/>
    </row>
    <row r="805">
      <c r="A805" s="14"/>
    </row>
    <row r="806">
      <c r="A806" s="14"/>
    </row>
    <row r="807">
      <c r="A807" s="14"/>
    </row>
    <row r="808">
      <c r="A808" s="14"/>
    </row>
    <row r="809">
      <c r="A809" s="14"/>
    </row>
    <row r="810">
      <c r="A810" s="14"/>
    </row>
    <row r="811">
      <c r="A811" s="14"/>
    </row>
    <row r="812">
      <c r="A812" s="14"/>
    </row>
    <row r="813">
      <c r="A813" s="14"/>
    </row>
    <row r="814">
      <c r="A814" s="14"/>
    </row>
    <row r="815">
      <c r="A815" s="14"/>
    </row>
    <row r="816">
      <c r="A816" s="14"/>
    </row>
    <row r="817">
      <c r="A817" s="14"/>
    </row>
    <row r="818">
      <c r="A818" s="14"/>
    </row>
    <row r="819">
      <c r="A819" s="14"/>
    </row>
    <row r="820">
      <c r="A820" s="14"/>
    </row>
    <row r="821">
      <c r="A821" s="14"/>
    </row>
    <row r="822">
      <c r="A822" s="14"/>
    </row>
    <row r="823">
      <c r="A823" s="14"/>
    </row>
    <row r="824">
      <c r="A824" s="14"/>
    </row>
    <row r="825">
      <c r="A825" s="14"/>
    </row>
    <row r="826">
      <c r="A826" s="14"/>
    </row>
    <row r="827">
      <c r="A827" s="14"/>
    </row>
    <row r="828">
      <c r="A828" s="14"/>
    </row>
    <row r="829">
      <c r="A829" s="14"/>
    </row>
    <row r="830">
      <c r="A830" s="14"/>
    </row>
    <row r="831">
      <c r="A831" s="14"/>
    </row>
    <row r="832">
      <c r="A832" s="14"/>
    </row>
    <row r="833">
      <c r="A833" s="14"/>
    </row>
    <row r="834">
      <c r="A834" s="14"/>
    </row>
    <row r="835">
      <c r="A835" s="14"/>
    </row>
    <row r="836">
      <c r="A836" s="14"/>
    </row>
    <row r="837">
      <c r="A837" s="14"/>
    </row>
    <row r="838">
      <c r="A838" s="14"/>
    </row>
    <row r="839">
      <c r="A839" s="14"/>
    </row>
    <row r="840">
      <c r="A840" s="14"/>
    </row>
    <row r="841">
      <c r="A841" s="14"/>
    </row>
    <row r="842">
      <c r="A842" s="14"/>
    </row>
    <row r="843">
      <c r="A843" s="14"/>
    </row>
    <row r="844">
      <c r="A844" s="14"/>
    </row>
    <row r="845">
      <c r="A845" s="14"/>
    </row>
    <row r="846">
      <c r="A846" s="14"/>
    </row>
    <row r="847">
      <c r="A847" s="14"/>
    </row>
    <row r="848">
      <c r="A848" s="14"/>
    </row>
    <row r="849">
      <c r="A849" s="14"/>
    </row>
    <row r="850">
      <c r="A850" s="14"/>
    </row>
    <row r="851">
      <c r="A851" s="14"/>
    </row>
    <row r="852">
      <c r="A852" s="14"/>
    </row>
    <row r="853">
      <c r="A853" s="14"/>
    </row>
    <row r="854">
      <c r="A854" s="14"/>
    </row>
    <row r="855">
      <c r="A855" s="14"/>
    </row>
    <row r="856">
      <c r="A856" s="14"/>
    </row>
    <row r="857">
      <c r="A857" s="14"/>
    </row>
    <row r="858">
      <c r="A858" s="14"/>
    </row>
    <row r="859">
      <c r="A859" s="14"/>
    </row>
    <row r="860">
      <c r="A860" s="14"/>
    </row>
    <row r="861">
      <c r="A861" s="14"/>
    </row>
    <row r="862">
      <c r="A862" s="14"/>
    </row>
    <row r="863">
      <c r="A863" s="14"/>
    </row>
    <row r="864">
      <c r="A864" s="14"/>
    </row>
    <row r="865">
      <c r="A865" s="14"/>
    </row>
    <row r="866">
      <c r="A866" s="14"/>
    </row>
    <row r="867">
      <c r="A867" s="14"/>
    </row>
    <row r="868">
      <c r="A868" s="14"/>
    </row>
    <row r="869">
      <c r="A869" s="14"/>
    </row>
    <row r="870">
      <c r="A870" s="14"/>
    </row>
    <row r="871">
      <c r="A871" s="14"/>
    </row>
    <row r="872">
      <c r="A872" s="14"/>
    </row>
    <row r="873">
      <c r="A873" s="14"/>
    </row>
    <row r="874">
      <c r="A874" s="14"/>
    </row>
    <row r="875">
      <c r="A875" s="14"/>
    </row>
    <row r="876">
      <c r="A876" s="14"/>
    </row>
    <row r="877">
      <c r="A877" s="14"/>
    </row>
    <row r="878">
      <c r="A878" s="14"/>
    </row>
    <row r="879">
      <c r="A879" s="14"/>
    </row>
    <row r="880">
      <c r="A880" s="14"/>
    </row>
    <row r="881">
      <c r="A881" s="14"/>
    </row>
    <row r="882">
      <c r="A882" s="14"/>
    </row>
    <row r="883">
      <c r="A883" s="14"/>
    </row>
    <row r="884">
      <c r="A884" s="14"/>
    </row>
    <row r="885">
      <c r="A885" s="14"/>
    </row>
    <row r="886">
      <c r="A886" s="14"/>
    </row>
    <row r="887">
      <c r="A887" s="14"/>
    </row>
    <row r="888">
      <c r="A888" s="14"/>
    </row>
    <row r="889">
      <c r="A889" s="14"/>
    </row>
    <row r="890">
      <c r="A890" s="14"/>
    </row>
    <row r="891">
      <c r="A891" s="14"/>
    </row>
    <row r="892">
      <c r="A892" s="14"/>
    </row>
    <row r="893">
      <c r="A893" s="14"/>
    </row>
    <row r="894">
      <c r="A894" s="14"/>
    </row>
    <row r="895">
      <c r="A895" s="14"/>
    </row>
    <row r="896">
      <c r="A896" s="14"/>
    </row>
    <row r="897">
      <c r="A897" s="14"/>
    </row>
    <row r="898">
      <c r="A898" s="14"/>
    </row>
    <row r="899">
      <c r="A899" s="14"/>
    </row>
    <row r="900">
      <c r="A900" s="14"/>
    </row>
    <row r="901">
      <c r="A901" s="14"/>
    </row>
    <row r="902">
      <c r="A902" s="14"/>
    </row>
    <row r="903">
      <c r="A903" s="14"/>
    </row>
    <row r="904">
      <c r="A904" s="14"/>
    </row>
    <row r="905">
      <c r="A905" s="14"/>
    </row>
    <row r="906">
      <c r="A906" s="14"/>
    </row>
    <row r="907">
      <c r="A907" s="14"/>
    </row>
    <row r="908">
      <c r="A908" s="14"/>
    </row>
    <row r="909">
      <c r="A909" s="14"/>
    </row>
    <row r="910">
      <c r="A910" s="14"/>
    </row>
    <row r="911">
      <c r="A911" s="14"/>
    </row>
    <row r="912">
      <c r="A912" s="14"/>
    </row>
    <row r="913">
      <c r="A913" s="14"/>
    </row>
    <row r="914">
      <c r="A914" s="14"/>
    </row>
    <row r="915">
      <c r="A915" s="14"/>
    </row>
    <row r="916">
      <c r="A916" s="14"/>
    </row>
    <row r="917">
      <c r="A917" s="14"/>
    </row>
    <row r="918">
      <c r="A918" s="14"/>
    </row>
    <row r="919">
      <c r="A919" s="14"/>
    </row>
    <row r="920">
      <c r="A920" s="14"/>
    </row>
    <row r="921">
      <c r="A921" s="14"/>
    </row>
    <row r="922">
      <c r="A922" s="14"/>
    </row>
    <row r="923">
      <c r="A923" s="14"/>
    </row>
    <row r="924">
      <c r="A924" s="14"/>
    </row>
    <row r="925">
      <c r="A925" s="14"/>
    </row>
    <row r="926">
      <c r="A926" s="14"/>
    </row>
    <row r="927">
      <c r="A927" s="14"/>
    </row>
    <row r="928">
      <c r="A928" s="14"/>
    </row>
    <row r="929">
      <c r="A929" s="14"/>
    </row>
    <row r="930">
      <c r="A930" s="14"/>
    </row>
    <row r="931">
      <c r="A931" s="14"/>
    </row>
    <row r="932">
      <c r="A932" s="14"/>
    </row>
    <row r="933">
      <c r="A933" s="14"/>
    </row>
    <row r="934">
      <c r="A934" s="14"/>
    </row>
    <row r="935">
      <c r="A935" s="14"/>
    </row>
    <row r="936">
      <c r="A936" s="14"/>
    </row>
    <row r="937">
      <c r="A937" s="14"/>
    </row>
    <row r="938">
      <c r="A938" s="14"/>
    </row>
    <row r="939">
      <c r="A939" s="14"/>
    </row>
    <row r="940">
      <c r="A940" s="14"/>
    </row>
    <row r="941">
      <c r="A941" s="14"/>
    </row>
    <row r="942">
      <c r="A942" s="14"/>
    </row>
    <row r="943">
      <c r="A943" s="14"/>
    </row>
    <row r="944">
      <c r="A944" s="14"/>
    </row>
    <row r="945">
      <c r="A945" s="14"/>
    </row>
    <row r="946">
      <c r="A946" s="14"/>
    </row>
    <row r="947">
      <c r="A947" s="14"/>
    </row>
    <row r="948">
      <c r="A948" s="14"/>
    </row>
    <row r="949">
      <c r="A949" s="14"/>
    </row>
    <row r="950">
      <c r="A950" s="14"/>
    </row>
    <row r="951">
      <c r="A951" s="14"/>
    </row>
    <row r="952">
      <c r="A952" s="14"/>
    </row>
    <row r="953">
      <c r="A953" s="14"/>
    </row>
    <row r="954">
      <c r="A954" s="14"/>
    </row>
    <row r="955">
      <c r="A955" s="14"/>
    </row>
    <row r="956">
      <c r="A956" s="14"/>
    </row>
    <row r="957">
      <c r="A957" s="14"/>
    </row>
    <row r="958">
      <c r="A958" s="14"/>
    </row>
    <row r="959">
      <c r="A959" s="14"/>
    </row>
    <row r="960">
      <c r="A960" s="14"/>
    </row>
    <row r="961">
      <c r="A961" s="14"/>
    </row>
    <row r="962">
      <c r="A962" s="14"/>
    </row>
    <row r="963">
      <c r="A963" s="14"/>
    </row>
    <row r="964">
      <c r="A964" s="14"/>
    </row>
    <row r="965">
      <c r="A965" s="14"/>
    </row>
    <row r="966">
      <c r="A966" s="14"/>
    </row>
    <row r="967">
      <c r="A967" s="14"/>
    </row>
    <row r="968">
      <c r="A968" s="14"/>
    </row>
    <row r="969">
      <c r="A969" s="14"/>
    </row>
    <row r="970">
      <c r="A970" s="14"/>
    </row>
    <row r="971">
      <c r="A971" s="14"/>
    </row>
    <row r="972">
      <c r="A972" s="14"/>
    </row>
    <row r="973">
      <c r="A973" s="14"/>
    </row>
    <row r="974">
      <c r="A974" s="14"/>
    </row>
    <row r="975">
      <c r="A975" s="14"/>
    </row>
    <row r="976">
      <c r="A976" s="14"/>
    </row>
    <row r="977">
      <c r="A977" s="14"/>
    </row>
    <row r="978">
      <c r="A978" s="14"/>
    </row>
    <row r="979">
      <c r="A979" s="14"/>
    </row>
    <row r="980">
      <c r="A980" s="14"/>
    </row>
    <row r="981">
      <c r="A981" s="14"/>
    </row>
    <row r="982">
      <c r="A982" s="14"/>
    </row>
    <row r="983">
      <c r="A983" s="14"/>
    </row>
    <row r="984">
      <c r="A984" s="14"/>
    </row>
    <row r="985">
      <c r="A985" s="14"/>
    </row>
    <row r="986">
      <c r="A986" s="14"/>
    </row>
    <row r="987">
      <c r="A987" s="14"/>
    </row>
    <row r="988">
      <c r="A988" s="14"/>
    </row>
    <row r="989">
      <c r="A989" s="14"/>
    </row>
    <row r="990">
      <c r="A990" s="14"/>
    </row>
    <row r="991">
      <c r="A991" s="14"/>
    </row>
    <row r="992">
      <c r="A992" s="14"/>
    </row>
    <row r="993">
      <c r="A993" s="14"/>
    </row>
    <row r="994">
      <c r="A994" s="14"/>
    </row>
    <row r="995">
      <c r="A995" s="14"/>
    </row>
    <row r="996">
      <c r="A996" s="14"/>
    </row>
    <row r="997">
      <c r="A997" s="14"/>
    </row>
    <row r="998">
      <c r="A998" s="14"/>
    </row>
    <row r="999">
      <c r="A999" s="14"/>
    </row>
    <row r="1000">
      <c r="A1000" s="14"/>
    </row>
  </sheetData>
  <mergeCells count="1">
    <mergeCell ref="X1:AE15"/>
  </mergeCells>
  <conditionalFormatting sqref="F2:M8">
    <cfRule type="expression" dxfId="5" priority="1">
      <formula>AND(F$1&gt;=$C2, F$1&lt;=$E2)</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0</v>
      </c>
      <c r="B1" s="24" t="s">
        <v>63</v>
      </c>
      <c r="C1" s="25" t="s">
        <v>2</v>
      </c>
      <c r="D1" s="26" t="s">
        <v>3</v>
      </c>
      <c r="E1" s="27" t="s">
        <v>4</v>
      </c>
      <c r="F1" s="26" t="s">
        <v>5</v>
      </c>
      <c r="G1" s="26" t="s">
        <v>6</v>
      </c>
      <c r="H1" s="28" t="s">
        <v>64</v>
      </c>
      <c r="I1" s="29" t="s">
        <v>7</v>
      </c>
    </row>
    <row r="2">
      <c r="A2" s="30">
        <v>45660.0</v>
      </c>
      <c r="B2" s="31" t="s">
        <v>14</v>
      </c>
      <c r="C2" s="32" t="s">
        <v>9</v>
      </c>
      <c r="D2" s="33">
        <v>22.0</v>
      </c>
      <c r="E2" s="34" t="s">
        <v>10</v>
      </c>
      <c r="F2" s="35" t="s">
        <v>11</v>
      </c>
      <c r="G2" s="36" t="s">
        <v>12</v>
      </c>
      <c r="H2" s="37">
        <v>1.0</v>
      </c>
      <c r="I2" s="38" t="s">
        <v>20</v>
      </c>
    </row>
    <row r="3">
      <c r="A3" s="39">
        <v>45662.0</v>
      </c>
      <c r="B3" s="40" t="s">
        <v>8</v>
      </c>
      <c r="C3" s="41" t="s">
        <v>9</v>
      </c>
      <c r="D3" s="42">
        <v>14.0</v>
      </c>
      <c r="E3" s="43" t="s">
        <v>10</v>
      </c>
      <c r="F3" s="35" t="s">
        <v>11</v>
      </c>
      <c r="G3" s="44" t="s">
        <v>12</v>
      </c>
      <c r="H3" s="45">
        <f t="shared" ref="H3:H262" si="1">MATCH(G3, {"enero","febrero","marzo","abril","mayo","junio","julio","agosto","septiembre","octubre","noviembre","diciembre"}, 0)</f>
        <v>1</v>
      </c>
      <c r="I3" s="46" t="s">
        <v>13</v>
      </c>
    </row>
    <row r="4">
      <c r="A4" s="30">
        <v>45663.0</v>
      </c>
      <c r="B4" s="48" t="s">
        <v>8</v>
      </c>
      <c r="C4" s="32" t="s">
        <v>9</v>
      </c>
      <c r="D4" s="33">
        <v>14.0</v>
      </c>
      <c r="E4" s="34" t="s">
        <v>10</v>
      </c>
      <c r="F4" s="35" t="s">
        <v>11</v>
      </c>
      <c r="G4" s="36" t="s">
        <v>12</v>
      </c>
      <c r="H4" s="45">
        <f t="shared" si="1"/>
        <v>1</v>
      </c>
      <c r="I4" s="49" t="s">
        <v>39</v>
      </c>
    </row>
    <row r="5">
      <c r="A5" s="39">
        <v>45664.0</v>
      </c>
      <c r="B5" s="50" t="s">
        <v>14</v>
      </c>
      <c r="C5" s="41" t="s">
        <v>9</v>
      </c>
      <c r="D5" s="42">
        <v>21.0</v>
      </c>
      <c r="E5" s="43" t="s">
        <v>10</v>
      </c>
      <c r="F5" s="51" t="s">
        <v>15</v>
      </c>
      <c r="G5" s="44" t="s">
        <v>12</v>
      </c>
      <c r="H5" s="45">
        <f t="shared" si="1"/>
        <v>1</v>
      </c>
      <c r="I5" s="52" t="s">
        <v>16</v>
      </c>
    </row>
    <row r="6">
      <c r="A6" s="30">
        <v>45665.0</v>
      </c>
      <c r="B6" s="53" t="s">
        <v>17</v>
      </c>
      <c r="C6" s="32" t="s">
        <v>9</v>
      </c>
      <c r="D6" s="33">
        <v>10.0</v>
      </c>
      <c r="E6" s="34" t="s">
        <v>10</v>
      </c>
      <c r="F6" s="35" t="s">
        <v>11</v>
      </c>
      <c r="G6" s="36" t="s">
        <v>12</v>
      </c>
      <c r="H6" s="45">
        <f t="shared" si="1"/>
        <v>1</v>
      </c>
      <c r="I6" s="54" t="s">
        <v>18</v>
      </c>
    </row>
    <row r="7">
      <c r="A7" s="39">
        <v>45666.0</v>
      </c>
      <c r="B7" s="55" t="s">
        <v>19</v>
      </c>
      <c r="C7" s="41" t="s">
        <v>9</v>
      </c>
      <c r="D7" s="42">
        <v>7.0</v>
      </c>
      <c r="E7" s="43" t="s">
        <v>10</v>
      </c>
      <c r="F7" s="51" t="s">
        <v>15</v>
      </c>
      <c r="G7" s="44" t="s">
        <v>12</v>
      </c>
      <c r="H7" s="45">
        <f t="shared" si="1"/>
        <v>1</v>
      </c>
      <c r="I7" s="46" t="s">
        <v>33</v>
      </c>
    </row>
    <row r="8">
      <c r="A8" s="30">
        <v>45667.0</v>
      </c>
      <c r="B8" s="56" t="s">
        <v>19</v>
      </c>
      <c r="C8" s="32" t="s">
        <v>9</v>
      </c>
      <c r="D8" s="33">
        <v>7.0</v>
      </c>
      <c r="E8" s="34" t="s">
        <v>10</v>
      </c>
      <c r="F8" s="35" t="s">
        <v>11</v>
      </c>
      <c r="G8" s="36" t="s">
        <v>12</v>
      </c>
      <c r="H8" s="45">
        <f t="shared" si="1"/>
        <v>1</v>
      </c>
      <c r="I8" s="38" t="s">
        <v>20</v>
      </c>
    </row>
    <row r="9">
      <c r="A9" s="39">
        <v>45668.0</v>
      </c>
      <c r="B9" s="57" t="s">
        <v>17</v>
      </c>
      <c r="C9" s="41" t="s">
        <v>9</v>
      </c>
      <c r="D9" s="42">
        <v>9.0</v>
      </c>
      <c r="E9" s="43" t="s">
        <v>10</v>
      </c>
      <c r="F9" s="35" t="s">
        <v>11</v>
      </c>
      <c r="G9" s="44" t="s">
        <v>12</v>
      </c>
      <c r="H9" s="45">
        <f t="shared" si="1"/>
        <v>1</v>
      </c>
      <c r="I9" s="58" t="s">
        <v>40</v>
      </c>
    </row>
    <row r="10">
      <c r="A10" s="30">
        <v>45669.0</v>
      </c>
      <c r="B10" s="48" t="s">
        <v>8</v>
      </c>
      <c r="C10" s="59" t="s">
        <v>21</v>
      </c>
      <c r="D10" s="33">
        <v>15.0</v>
      </c>
      <c r="E10" s="60" t="s">
        <v>22</v>
      </c>
      <c r="F10" s="51" t="s">
        <v>15</v>
      </c>
      <c r="G10" s="36" t="s">
        <v>12</v>
      </c>
      <c r="H10" s="45">
        <f t="shared" si="1"/>
        <v>1</v>
      </c>
      <c r="I10" s="61" t="s">
        <v>13</v>
      </c>
    </row>
    <row r="11">
      <c r="A11" s="39">
        <v>45670.0</v>
      </c>
      <c r="B11" s="40" t="s">
        <v>8</v>
      </c>
      <c r="C11" s="62" t="s">
        <v>21</v>
      </c>
      <c r="D11" s="42">
        <v>14.0</v>
      </c>
      <c r="E11" s="43" t="s">
        <v>10</v>
      </c>
      <c r="F11" s="35" t="s">
        <v>11</v>
      </c>
      <c r="G11" s="44" t="s">
        <v>12</v>
      </c>
      <c r="H11" s="45">
        <f t="shared" si="1"/>
        <v>1</v>
      </c>
      <c r="I11" s="63" t="s">
        <v>39</v>
      </c>
    </row>
    <row r="12">
      <c r="A12" s="30">
        <v>45671.0</v>
      </c>
      <c r="B12" s="48" t="s">
        <v>8</v>
      </c>
      <c r="C12" s="32" t="s">
        <v>9</v>
      </c>
      <c r="D12" s="33">
        <v>14.0</v>
      </c>
      <c r="E12" s="34" t="s">
        <v>10</v>
      </c>
      <c r="F12" s="35" t="s">
        <v>11</v>
      </c>
      <c r="G12" s="36" t="s">
        <v>12</v>
      </c>
      <c r="H12" s="45">
        <f t="shared" si="1"/>
        <v>1</v>
      </c>
      <c r="I12" s="64" t="s">
        <v>16</v>
      </c>
    </row>
    <row r="13">
      <c r="A13" s="39">
        <v>45672.0</v>
      </c>
      <c r="B13" s="65" t="s">
        <v>23</v>
      </c>
      <c r="C13" s="41" t="s">
        <v>9</v>
      </c>
      <c r="D13" s="42">
        <v>18.0</v>
      </c>
      <c r="E13" s="43" t="s">
        <v>10</v>
      </c>
      <c r="F13" s="51" t="s">
        <v>15</v>
      </c>
      <c r="G13" s="44" t="s">
        <v>12</v>
      </c>
      <c r="H13" s="45">
        <f t="shared" si="1"/>
        <v>1</v>
      </c>
      <c r="I13" s="66" t="s">
        <v>18</v>
      </c>
    </row>
    <row r="14">
      <c r="A14" s="30">
        <v>45673.0</v>
      </c>
      <c r="B14" s="67" t="s">
        <v>23</v>
      </c>
      <c r="C14" s="32" t="s">
        <v>9</v>
      </c>
      <c r="D14" s="33">
        <v>20.0</v>
      </c>
      <c r="E14" s="34" t="s">
        <v>10</v>
      </c>
      <c r="F14" s="51" t="s">
        <v>15</v>
      </c>
      <c r="G14" s="36" t="s">
        <v>12</v>
      </c>
      <c r="H14" s="45">
        <f t="shared" si="1"/>
        <v>1</v>
      </c>
      <c r="I14" s="61" t="s">
        <v>33</v>
      </c>
    </row>
    <row r="15">
      <c r="A15" s="39">
        <v>45674.0</v>
      </c>
      <c r="B15" s="50" t="s">
        <v>14</v>
      </c>
      <c r="C15" s="68" t="s">
        <v>24</v>
      </c>
      <c r="D15" s="42">
        <v>25.0</v>
      </c>
      <c r="E15" s="43" t="s">
        <v>10</v>
      </c>
      <c r="F15" s="35" t="s">
        <v>11</v>
      </c>
      <c r="G15" s="44" t="s">
        <v>12</v>
      </c>
      <c r="H15" s="45">
        <f t="shared" si="1"/>
        <v>1</v>
      </c>
      <c r="I15" s="69" t="s">
        <v>20</v>
      </c>
    </row>
    <row r="16">
      <c r="A16" s="30">
        <v>45675.0</v>
      </c>
      <c r="B16" s="53" t="s">
        <v>17</v>
      </c>
      <c r="C16" s="70" t="s">
        <v>24</v>
      </c>
      <c r="D16" s="33">
        <v>11.0</v>
      </c>
      <c r="E16" s="34" t="s">
        <v>10</v>
      </c>
      <c r="F16" s="35" t="s">
        <v>11</v>
      </c>
      <c r="G16" s="36" t="s">
        <v>12</v>
      </c>
      <c r="H16" s="45">
        <f t="shared" si="1"/>
        <v>1</v>
      </c>
      <c r="I16" s="71" t="s">
        <v>40</v>
      </c>
    </row>
    <row r="17">
      <c r="A17" s="39">
        <v>45676.0</v>
      </c>
      <c r="B17" s="57" t="s">
        <v>17</v>
      </c>
      <c r="C17" s="41" t="s">
        <v>9</v>
      </c>
      <c r="D17" s="42">
        <v>8.0</v>
      </c>
      <c r="E17" s="43" t="s">
        <v>10</v>
      </c>
      <c r="F17" s="35" t="s">
        <v>11</v>
      </c>
      <c r="G17" s="44" t="s">
        <v>12</v>
      </c>
      <c r="H17" s="45">
        <f t="shared" si="1"/>
        <v>1</v>
      </c>
      <c r="I17" s="46" t="s">
        <v>13</v>
      </c>
    </row>
    <row r="18">
      <c r="A18" s="30">
        <v>45677.0</v>
      </c>
      <c r="B18" s="48" t="s">
        <v>8</v>
      </c>
      <c r="C18" s="32" t="s">
        <v>9</v>
      </c>
      <c r="D18" s="33">
        <v>14.0</v>
      </c>
      <c r="E18" s="34" t="s">
        <v>10</v>
      </c>
      <c r="F18" s="35" t="s">
        <v>11</v>
      </c>
      <c r="G18" s="36" t="s">
        <v>12</v>
      </c>
      <c r="H18" s="45">
        <f t="shared" si="1"/>
        <v>1</v>
      </c>
      <c r="I18" s="49" t="s">
        <v>39</v>
      </c>
    </row>
    <row r="19">
      <c r="A19" s="39">
        <v>45678.0</v>
      </c>
      <c r="B19" s="40" t="s">
        <v>8</v>
      </c>
      <c r="C19" s="41" t="s">
        <v>9</v>
      </c>
      <c r="D19" s="42">
        <v>14.0</v>
      </c>
      <c r="E19" s="43" t="s">
        <v>10</v>
      </c>
      <c r="F19" s="51" t="s">
        <v>15</v>
      </c>
      <c r="G19" s="44" t="s">
        <v>12</v>
      </c>
      <c r="H19" s="45">
        <f t="shared" si="1"/>
        <v>1</v>
      </c>
      <c r="I19" s="52" t="s">
        <v>16</v>
      </c>
    </row>
    <row r="20">
      <c r="A20" s="30">
        <v>45679.0</v>
      </c>
      <c r="B20" s="72" t="s">
        <v>25</v>
      </c>
      <c r="C20" s="32" t="s">
        <v>9</v>
      </c>
      <c r="D20" s="33">
        <v>30.0</v>
      </c>
      <c r="E20" s="60" t="s">
        <v>22</v>
      </c>
      <c r="F20" s="35" t="s">
        <v>11</v>
      </c>
      <c r="G20" s="36" t="s">
        <v>12</v>
      </c>
      <c r="H20" s="45">
        <f t="shared" si="1"/>
        <v>1</v>
      </c>
      <c r="I20" s="54" t="s">
        <v>18</v>
      </c>
    </row>
    <row r="21">
      <c r="A21" s="39">
        <v>45680.0</v>
      </c>
      <c r="B21" s="50" t="s">
        <v>14</v>
      </c>
      <c r="C21" s="41" t="s">
        <v>9</v>
      </c>
      <c r="D21" s="42">
        <v>24.0</v>
      </c>
      <c r="E21" s="43" t="s">
        <v>10</v>
      </c>
      <c r="F21" s="51" t="s">
        <v>15</v>
      </c>
      <c r="G21" s="44" t="s">
        <v>12</v>
      </c>
      <c r="H21" s="45">
        <f t="shared" si="1"/>
        <v>1</v>
      </c>
      <c r="I21" s="46" t="s">
        <v>33</v>
      </c>
    </row>
    <row r="22">
      <c r="A22" s="30">
        <v>45681.0</v>
      </c>
      <c r="B22" s="48" t="s">
        <v>8</v>
      </c>
      <c r="C22" s="59" t="s">
        <v>21</v>
      </c>
      <c r="D22" s="33">
        <v>14.0</v>
      </c>
      <c r="E22" s="34" t="s">
        <v>10</v>
      </c>
      <c r="F22" s="35" t="s">
        <v>11</v>
      </c>
      <c r="G22" s="36" t="s">
        <v>12</v>
      </c>
      <c r="H22" s="45">
        <f t="shared" si="1"/>
        <v>1</v>
      </c>
      <c r="I22" s="38" t="s">
        <v>20</v>
      </c>
    </row>
    <row r="23">
      <c r="A23" s="39">
        <v>45682.0</v>
      </c>
      <c r="B23" s="55" t="s">
        <v>19</v>
      </c>
      <c r="C23" s="41" t="s">
        <v>9</v>
      </c>
      <c r="D23" s="42">
        <v>7.0</v>
      </c>
      <c r="E23" s="43" t="s">
        <v>10</v>
      </c>
      <c r="F23" s="35" t="s">
        <v>11</v>
      </c>
      <c r="G23" s="44" t="s">
        <v>12</v>
      </c>
      <c r="H23" s="45">
        <f t="shared" si="1"/>
        <v>1</v>
      </c>
      <c r="I23" s="58" t="s">
        <v>40</v>
      </c>
    </row>
    <row r="24">
      <c r="A24" s="30">
        <v>45683.0</v>
      </c>
      <c r="B24" s="56" t="s">
        <v>19</v>
      </c>
      <c r="C24" s="32" t="s">
        <v>9</v>
      </c>
      <c r="D24" s="33">
        <v>7.0</v>
      </c>
      <c r="E24" s="34" t="s">
        <v>10</v>
      </c>
      <c r="F24" s="51" t="s">
        <v>15</v>
      </c>
      <c r="G24" s="36" t="s">
        <v>12</v>
      </c>
      <c r="H24" s="45">
        <f t="shared" si="1"/>
        <v>1</v>
      </c>
      <c r="I24" s="61" t="s">
        <v>13</v>
      </c>
    </row>
    <row r="25">
      <c r="A25" s="39">
        <v>45684.0</v>
      </c>
      <c r="B25" s="40" t="s">
        <v>8</v>
      </c>
      <c r="C25" s="41" t="s">
        <v>9</v>
      </c>
      <c r="D25" s="42">
        <v>14.0</v>
      </c>
      <c r="E25" s="43" t="s">
        <v>10</v>
      </c>
      <c r="F25" s="35" t="s">
        <v>11</v>
      </c>
      <c r="G25" s="44" t="s">
        <v>12</v>
      </c>
      <c r="H25" s="45">
        <f t="shared" si="1"/>
        <v>1</v>
      </c>
      <c r="I25" s="63" t="s">
        <v>39</v>
      </c>
    </row>
    <row r="26">
      <c r="A26" s="30">
        <v>45685.0</v>
      </c>
      <c r="B26" s="48" t="s">
        <v>8</v>
      </c>
      <c r="C26" s="32" t="s">
        <v>9</v>
      </c>
      <c r="D26" s="33">
        <v>16.0</v>
      </c>
      <c r="E26" s="34" t="s">
        <v>10</v>
      </c>
      <c r="F26" s="35" t="s">
        <v>11</v>
      </c>
      <c r="G26" s="36" t="s">
        <v>12</v>
      </c>
      <c r="H26" s="45">
        <f t="shared" si="1"/>
        <v>1</v>
      </c>
      <c r="I26" s="64" t="s">
        <v>16</v>
      </c>
    </row>
    <row r="27">
      <c r="A27" s="39">
        <v>45686.0</v>
      </c>
      <c r="B27" s="57" t="s">
        <v>17</v>
      </c>
      <c r="C27" s="41" t="s">
        <v>9</v>
      </c>
      <c r="D27" s="42">
        <v>9.0</v>
      </c>
      <c r="E27" s="43" t="s">
        <v>10</v>
      </c>
      <c r="F27" s="35" t="s">
        <v>11</v>
      </c>
      <c r="G27" s="44" t="s">
        <v>12</v>
      </c>
      <c r="H27" s="45">
        <f t="shared" si="1"/>
        <v>1</v>
      </c>
      <c r="I27" s="66" t="s">
        <v>18</v>
      </c>
    </row>
    <row r="28">
      <c r="A28" s="30">
        <v>45687.0</v>
      </c>
      <c r="B28" s="73" t="s">
        <v>26</v>
      </c>
      <c r="C28" s="59" t="s">
        <v>21</v>
      </c>
      <c r="D28" s="33">
        <v>27.0</v>
      </c>
      <c r="E28" s="60" t="s">
        <v>22</v>
      </c>
      <c r="F28" s="51" t="s">
        <v>15</v>
      </c>
      <c r="G28" s="36" t="s">
        <v>12</v>
      </c>
      <c r="H28" s="45">
        <f t="shared" si="1"/>
        <v>1</v>
      </c>
      <c r="I28" s="61" t="s">
        <v>33</v>
      </c>
    </row>
    <row r="29">
      <c r="A29" s="39">
        <v>45688.0</v>
      </c>
      <c r="B29" s="74" t="s">
        <v>26</v>
      </c>
      <c r="C29" s="41" t="s">
        <v>9</v>
      </c>
      <c r="D29" s="42">
        <v>21.0</v>
      </c>
      <c r="E29" s="43" t="s">
        <v>10</v>
      </c>
      <c r="F29" s="51" t="s">
        <v>15</v>
      </c>
      <c r="G29" s="44" t="s">
        <v>12</v>
      </c>
      <c r="H29" s="45">
        <f t="shared" si="1"/>
        <v>1</v>
      </c>
      <c r="I29" s="69" t="s">
        <v>20</v>
      </c>
    </row>
    <row r="30">
      <c r="A30" s="30">
        <v>45689.0</v>
      </c>
      <c r="B30" s="53" t="s">
        <v>17</v>
      </c>
      <c r="C30" s="32" t="s">
        <v>9</v>
      </c>
      <c r="D30" s="33">
        <v>10.0</v>
      </c>
      <c r="E30" s="34" t="s">
        <v>10</v>
      </c>
      <c r="F30" s="35" t="s">
        <v>11</v>
      </c>
      <c r="G30" s="36" t="s">
        <v>27</v>
      </c>
      <c r="H30" s="45">
        <f t="shared" si="1"/>
        <v>2</v>
      </c>
      <c r="I30" s="71" t="s">
        <v>40</v>
      </c>
    </row>
    <row r="31">
      <c r="A31" s="39">
        <v>45690.0</v>
      </c>
      <c r="B31" s="40" t="s">
        <v>8</v>
      </c>
      <c r="C31" s="41" t="s">
        <v>9</v>
      </c>
      <c r="D31" s="42">
        <v>14.0</v>
      </c>
      <c r="E31" s="43" t="s">
        <v>10</v>
      </c>
      <c r="F31" s="35" t="s">
        <v>11</v>
      </c>
      <c r="G31" s="44" t="s">
        <v>27</v>
      </c>
      <c r="H31" s="45">
        <f t="shared" si="1"/>
        <v>2</v>
      </c>
      <c r="I31" s="46" t="s">
        <v>13</v>
      </c>
    </row>
    <row r="32">
      <c r="A32" s="30">
        <v>45691.0</v>
      </c>
      <c r="B32" s="48" t="s">
        <v>8</v>
      </c>
      <c r="C32" s="32" t="s">
        <v>9</v>
      </c>
      <c r="D32" s="33">
        <v>14.0</v>
      </c>
      <c r="E32" s="34" t="s">
        <v>10</v>
      </c>
      <c r="F32" s="35" t="s">
        <v>11</v>
      </c>
      <c r="G32" s="36" t="s">
        <v>27</v>
      </c>
      <c r="H32" s="45">
        <f t="shared" si="1"/>
        <v>2</v>
      </c>
      <c r="I32" s="49" t="s">
        <v>39</v>
      </c>
    </row>
    <row r="33">
      <c r="A33" s="39">
        <v>45692.0</v>
      </c>
      <c r="B33" s="57" t="s">
        <v>17</v>
      </c>
      <c r="C33" s="68" t="s">
        <v>24</v>
      </c>
      <c r="D33" s="42">
        <v>12.0</v>
      </c>
      <c r="E33" s="43" t="s">
        <v>10</v>
      </c>
      <c r="F33" s="35" t="s">
        <v>11</v>
      </c>
      <c r="G33" s="44" t="s">
        <v>27</v>
      </c>
      <c r="H33" s="45">
        <f t="shared" si="1"/>
        <v>2</v>
      </c>
      <c r="I33" s="52" t="s">
        <v>16</v>
      </c>
    </row>
    <row r="34">
      <c r="A34" s="30">
        <v>45693.0</v>
      </c>
      <c r="B34" s="48" t="s">
        <v>8</v>
      </c>
      <c r="C34" s="32" t="s">
        <v>9</v>
      </c>
      <c r="D34" s="33">
        <v>14.0</v>
      </c>
      <c r="E34" s="34" t="s">
        <v>10</v>
      </c>
      <c r="F34" s="51" t="s">
        <v>15</v>
      </c>
      <c r="G34" s="36" t="s">
        <v>27</v>
      </c>
      <c r="H34" s="45">
        <f t="shared" si="1"/>
        <v>2</v>
      </c>
      <c r="I34" s="54" t="s">
        <v>18</v>
      </c>
    </row>
    <row r="35">
      <c r="A35" s="39">
        <v>45694.0</v>
      </c>
      <c r="B35" s="50" t="s">
        <v>14</v>
      </c>
      <c r="C35" s="68" t="s">
        <v>24</v>
      </c>
      <c r="D35" s="42">
        <v>21.0</v>
      </c>
      <c r="E35" s="43" t="s">
        <v>10</v>
      </c>
      <c r="F35" s="51" t="s">
        <v>15</v>
      </c>
      <c r="G35" s="44" t="s">
        <v>27</v>
      </c>
      <c r="H35" s="45">
        <f t="shared" si="1"/>
        <v>2</v>
      </c>
      <c r="I35" s="46" t="s">
        <v>33</v>
      </c>
    </row>
    <row r="36">
      <c r="A36" s="30">
        <v>45695.0</v>
      </c>
      <c r="B36" s="31" t="s">
        <v>14</v>
      </c>
      <c r="C36" s="32" t="s">
        <v>9</v>
      </c>
      <c r="D36" s="33">
        <v>28.0</v>
      </c>
      <c r="E36" s="60" t="s">
        <v>22</v>
      </c>
      <c r="F36" s="35" t="s">
        <v>11</v>
      </c>
      <c r="G36" s="36" t="s">
        <v>27</v>
      </c>
      <c r="H36" s="45">
        <f t="shared" si="1"/>
        <v>2</v>
      </c>
      <c r="I36" s="38" t="s">
        <v>20</v>
      </c>
    </row>
    <row r="37">
      <c r="A37" s="39">
        <v>45696.0</v>
      </c>
      <c r="B37" s="55" t="s">
        <v>19</v>
      </c>
      <c r="C37" s="41" t="s">
        <v>9</v>
      </c>
      <c r="D37" s="42">
        <v>7.0</v>
      </c>
      <c r="E37" s="43" t="s">
        <v>10</v>
      </c>
      <c r="F37" s="35" t="s">
        <v>11</v>
      </c>
      <c r="G37" s="44" t="s">
        <v>27</v>
      </c>
      <c r="H37" s="45">
        <f t="shared" si="1"/>
        <v>2</v>
      </c>
      <c r="I37" s="58" t="s">
        <v>40</v>
      </c>
    </row>
    <row r="38">
      <c r="A38" s="30">
        <v>45697.0</v>
      </c>
      <c r="B38" s="56" t="s">
        <v>19</v>
      </c>
      <c r="C38" s="32" t="s">
        <v>9</v>
      </c>
      <c r="D38" s="33">
        <v>7.0</v>
      </c>
      <c r="E38" s="34" t="s">
        <v>10</v>
      </c>
      <c r="F38" s="35" t="s">
        <v>11</v>
      </c>
      <c r="G38" s="36" t="s">
        <v>27</v>
      </c>
      <c r="H38" s="45">
        <f t="shared" si="1"/>
        <v>2</v>
      </c>
      <c r="I38" s="61" t="s">
        <v>13</v>
      </c>
    </row>
    <row r="39">
      <c r="A39" s="39">
        <v>45698.0</v>
      </c>
      <c r="B39" s="40" t="s">
        <v>8</v>
      </c>
      <c r="C39" s="41" t="s">
        <v>9</v>
      </c>
      <c r="D39" s="42">
        <v>14.0</v>
      </c>
      <c r="E39" s="43" t="s">
        <v>10</v>
      </c>
      <c r="F39" s="35" t="s">
        <v>11</v>
      </c>
      <c r="G39" s="44" t="s">
        <v>27</v>
      </c>
      <c r="H39" s="45">
        <f t="shared" si="1"/>
        <v>2</v>
      </c>
      <c r="I39" s="63" t="s">
        <v>39</v>
      </c>
    </row>
    <row r="40">
      <c r="A40" s="30">
        <v>45699.0</v>
      </c>
      <c r="B40" s="48" t="s">
        <v>8</v>
      </c>
      <c r="C40" s="59" t="s">
        <v>21</v>
      </c>
      <c r="D40" s="33">
        <v>14.0</v>
      </c>
      <c r="E40" s="34" t="s">
        <v>10</v>
      </c>
      <c r="F40" s="51" t="s">
        <v>15</v>
      </c>
      <c r="G40" s="36" t="s">
        <v>27</v>
      </c>
      <c r="H40" s="45">
        <f t="shared" si="1"/>
        <v>2</v>
      </c>
      <c r="I40" s="64" t="s">
        <v>16</v>
      </c>
    </row>
    <row r="41">
      <c r="A41" s="39">
        <v>45700.0</v>
      </c>
      <c r="B41" s="57" t="s">
        <v>17</v>
      </c>
      <c r="C41" s="41" t="s">
        <v>9</v>
      </c>
      <c r="D41" s="42">
        <v>10.0</v>
      </c>
      <c r="E41" s="43" t="s">
        <v>10</v>
      </c>
      <c r="F41" s="35" t="s">
        <v>11</v>
      </c>
      <c r="G41" s="44" t="s">
        <v>27</v>
      </c>
      <c r="H41" s="45">
        <f t="shared" si="1"/>
        <v>2</v>
      </c>
      <c r="I41" s="66" t="s">
        <v>18</v>
      </c>
    </row>
    <row r="42">
      <c r="A42" s="30">
        <v>45701.0</v>
      </c>
      <c r="B42" s="53" t="s">
        <v>17</v>
      </c>
      <c r="C42" s="32" t="s">
        <v>9</v>
      </c>
      <c r="D42" s="33">
        <v>12.0</v>
      </c>
      <c r="E42" s="34" t="s">
        <v>10</v>
      </c>
      <c r="F42" s="51" t="s">
        <v>15</v>
      </c>
      <c r="G42" s="36" t="s">
        <v>27</v>
      </c>
      <c r="H42" s="45">
        <f t="shared" si="1"/>
        <v>2</v>
      </c>
      <c r="I42" s="61" t="s">
        <v>33</v>
      </c>
    </row>
    <row r="43">
      <c r="A43" s="39">
        <v>45702.0</v>
      </c>
      <c r="B43" s="40" t="s">
        <v>8</v>
      </c>
      <c r="C43" s="41" t="s">
        <v>9</v>
      </c>
      <c r="D43" s="42">
        <v>14.0</v>
      </c>
      <c r="E43" s="43" t="s">
        <v>10</v>
      </c>
      <c r="F43" s="35" t="s">
        <v>11</v>
      </c>
      <c r="G43" s="44" t="s">
        <v>27</v>
      </c>
      <c r="H43" s="45">
        <f t="shared" si="1"/>
        <v>2</v>
      </c>
      <c r="I43" s="69" t="s">
        <v>20</v>
      </c>
    </row>
    <row r="44">
      <c r="A44" s="30">
        <v>45703.0</v>
      </c>
      <c r="B44" s="48" t="s">
        <v>8</v>
      </c>
      <c r="C44" s="59" t="s">
        <v>21</v>
      </c>
      <c r="D44" s="33">
        <v>15.0</v>
      </c>
      <c r="E44" s="34" t="s">
        <v>10</v>
      </c>
      <c r="F44" s="35" t="s">
        <v>11</v>
      </c>
      <c r="G44" s="36" t="s">
        <v>27</v>
      </c>
      <c r="H44" s="45">
        <f t="shared" si="1"/>
        <v>2</v>
      </c>
      <c r="I44" s="71" t="s">
        <v>40</v>
      </c>
    </row>
    <row r="45">
      <c r="A45" s="39">
        <v>45704.0</v>
      </c>
      <c r="B45" s="65" t="s">
        <v>23</v>
      </c>
      <c r="C45" s="41" t="s">
        <v>9</v>
      </c>
      <c r="D45" s="42">
        <v>21.0</v>
      </c>
      <c r="E45" s="43" t="s">
        <v>10</v>
      </c>
      <c r="F45" s="51" t="s">
        <v>15</v>
      </c>
      <c r="G45" s="44" t="s">
        <v>27</v>
      </c>
      <c r="H45" s="45">
        <f t="shared" si="1"/>
        <v>2</v>
      </c>
      <c r="I45" s="46" t="s">
        <v>13</v>
      </c>
    </row>
    <row r="46">
      <c r="A46" s="30">
        <v>45705.0</v>
      </c>
      <c r="B46" s="67" t="s">
        <v>23</v>
      </c>
      <c r="C46" s="32" t="s">
        <v>9</v>
      </c>
      <c r="D46" s="33">
        <v>19.0</v>
      </c>
      <c r="E46" s="34" t="s">
        <v>10</v>
      </c>
      <c r="F46" s="35" t="s">
        <v>11</v>
      </c>
      <c r="G46" s="36" t="s">
        <v>27</v>
      </c>
      <c r="H46" s="45">
        <f t="shared" si="1"/>
        <v>2</v>
      </c>
      <c r="I46" s="49" t="s">
        <v>39</v>
      </c>
    </row>
    <row r="47">
      <c r="A47" s="39">
        <v>45706.0</v>
      </c>
      <c r="B47" s="50" t="s">
        <v>14</v>
      </c>
      <c r="C47" s="41" t="s">
        <v>9</v>
      </c>
      <c r="D47" s="42">
        <v>23.0</v>
      </c>
      <c r="E47" s="43" t="s">
        <v>10</v>
      </c>
      <c r="F47" s="35" t="s">
        <v>11</v>
      </c>
      <c r="G47" s="44" t="s">
        <v>27</v>
      </c>
      <c r="H47" s="45">
        <f t="shared" si="1"/>
        <v>2</v>
      </c>
      <c r="I47" s="52" t="s">
        <v>16</v>
      </c>
    </row>
    <row r="48">
      <c r="A48" s="30">
        <v>45707.0</v>
      </c>
      <c r="B48" s="48" t="s">
        <v>8</v>
      </c>
      <c r="C48" s="32" t="s">
        <v>9</v>
      </c>
      <c r="D48" s="33">
        <v>15.0</v>
      </c>
      <c r="E48" s="34" t="s">
        <v>10</v>
      </c>
      <c r="F48" s="35" t="s">
        <v>11</v>
      </c>
      <c r="G48" s="36" t="s">
        <v>27</v>
      </c>
      <c r="H48" s="45">
        <f t="shared" si="1"/>
        <v>2</v>
      </c>
      <c r="I48" s="54" t="s">
        <v>18</v>
      </c>
    </row>
    <row r="49">
      <c r="A49" s="39">
        <v>45708.0</v>
      </c>
      <c r="B49" s="50" t="s">
        <v>14</v>
      </c>
      <c r="C49" s="41" t="s">
        <v>9</v>
      </c>
      <c r="D49" s="42">
        <v>22.0</v>
      </c>
      <c r="E49" s="43" t="s">
        <v>10</v>
      </c>
      <c r="F49" s="51" t="s">
        <v>15</v>
      </c>
      <c r="G49" s="44" t="s">
        <v>27</v>
      </c>
      <c r="H49" s="45">
        <f t="shared" si="1"/>
        <v>2</v>
      </c>
      <c r="I49" s="46" t="s">
        <v>33</v>
      </c>
    </row>
    <row r="50">
      <c r="A50" s="30">
        <v>45709.0</v>
      </c>
      <c r="B50" s="53" t="s">
        <v>17</v>
      </c>
      <c r="C50" s="32" t="s">
        <v>9</v>
      </c>
      <c r="D50" s="33">
        <v>11.0</v>
      </c>
      <c r="E50" s="34" t="s">
        <v>10</v>
      </c>
      <c r="F50" s="51" t="s">
        <v>15</v>
      </c>
      <c r="G50" s="36" t="s">
        <v>27</v>
      </c>
      <c r="H50" s="45">
        <f t="shared" si="1"/>
        <v>2</v>
      </c>
      <c r="I50" s="38" t="s">
        <v>20</v>
      </c>
    </row>
    <row r="51">
      <c r="A51" s="39">
        <v>45710.0</v>
      </c>
      <c r="B51" s="40" t="s">
        <v>8</v>
      </c>
      <c r="C51" s="41" t="s">
        <v>9</v>
      </c>
      <c r="D51" s="42">
        <v>14.0</v>
      </c>
      <c r="E51" s="43" t="s">
        <v>10</v>
      </c>
      <c r="F51" s="35" t="s">
        <v>11</v>
      </c>
      <c r="G51" s="44" t="s">
        <v>27</v>
      </c>
      <c r="H51" s="45">
        <f t="shared" si="1"/>
        <v>2</v>
      </c>
      <c r="I51" s="58" t="s">
        <v>40</v>
      </c>
    </row>
    <row r="52">
      <c r="A52" s="30">
        <v>45711.0</v>
      </c>
      <c r="B52" s="48" t="s">
        <v>8</v>
      </c>
      <c r="C52" s="70" t="s">
        <v>24</v>
      </c>
      <c r="D52" s="33">
        <v>14.0</v>
      </c>
      <c r="E52" s="34" t="s">
        <v>10</v>
      </c>
      <c r="F52" s="35" t="s">
        <v>11</v>
      </c>
      <c r="G52" s="36" t="s">
        <v>27</v>
      </c>
      <c r="H52" s="45">
        <f t="shared" si="1"/>
        <v>2</v>
      </c>
      <c r="I52" s="61" t="s">
        <v>13</v>
      </c>
    </row>
    <row r="53">
      <c r="A53" s="39">
        <v>45712.0</v>
      </c>
      <c r="B53" s="55" t="s">
        <v>19</v>
      </c>
      <c r="C53" s="41" t="s">
        <v>9</v>
      </c>
      <c r="D53" s="42">
        <v>7.0</v>
      </c>
      <c r="E53" s="43" t="s">
        <v>10</v>
      </c>
      <c r="F53" s="35" t="s">
        <v>11</v>
      </c>
      <c r="G53" s="44" t="s">
        <v>27</v>
      </c>
      <c r="H53" s="45">
        <f t="shared" si="1"/>
        <v>2</v>
      </c>
      <c r="I53" s="63" t="s">
        <v>39</v>
      </c>
    </row>
    <row r="54">
      <c r="A54" s="30">
        <v>45713.0</v>
      </c>
      <c r="B54" s="56" t="s">
        <v>19</v>
      </c>
      <c r="C54" s="32" t="s">
        <v>9</v>
      </c>
      <c r="D54" s="33">
        <v>7.0</v>
      </c>
      <c r="E54" s="34" t="s">
        <v>10</v>
      </c>
      <c r="F54" s="35" t="s">
        <v>11</v>
      </c>
      <c r="G54" s="36" t="s">
        <v>27</v>
      </c>
      <c r="H54" s="45">
        <f t="shared" si="1"/>
        <v>2</v>
      </c>
      <c r="I54" s="64" t="s">
        <v>16</v>
      </c>
    </row>
    <row r="55">
      <c r="A55" s="39">
        <v>45714.0</v>
      </c>
      <c r="B55" s="74" t="s">
        <v>26</v>
      </c>
      <c r="C55" s="62" t="s">
        <v>21</v>
      </c>
      <c r="D55" s="42">
        <v>25.0</v>
      </c>
      <c r="E55" s="43" t="s">
        <v>10</v>
      </c>
      <c r="F55" s="51" t="s">
        <v>15</v>
      </c>
      <c r="G55" s="44" t="s">
        <v>27</v>
      </c>
      <c r="H55" s="45">
        <f t="shared" si="1"/>
        <v>2</v>
      </c>
      <c r="I55" s="66" t="s">
        <v>18</v>
      </c>
    </row>
    <row r="56">
      <c r="A56" s="30">
        <v>45715.0</v>
      </c>
      <c r="B56" s="53" t="s">
        <v>17</v>
      </c>
      <c r="C56" s="70" t="s">
        <v>24</v>
      </c>
      <c r="D56" s="33">
        <v>10.0</v>
      </c>
      <c r="E56" s="34" t="s">
        <v>10</v>
      </c>
      <c r="F56" s="51" t="s">
        <v>15</v>
      </c>
      <c r="G56" s="36" t="s">
        <v>27</v>
      </c>
      <c r="H56" s="45">
        <f t="shared" si="1"/>
        <v>2</v>
      </c>
      <c r="I56" s="61" t="s">
        <v>33</v>
      </c>
    </row>
    <row r="57">
      <c r="A57" s="39">
        <v>45716.0</v>
      </c>
      <c r="B57" s="40" t="s">
        <v>8</v>
      </c>
      <c r="C57" s="41" t="s">
        <v>9</v>
      </c>
      <c r="D57" s="42">
        <v>14.0</v>
      </c>
      <c r="E57" s="43" t="s">
        <v>10</v>
      </c>
      <c r="F57" s="35" t="s">
        <v>11</v>
      </c>
      <c r="G57" s="44" t="s">
        <v>27</v>
      </c>
      <c r="H57" s="45">
        <f t="shared" si="1"/>
        <v>2</v>
      </c>
      <c r="I57" s="69" t="s">
        <v>20</v>
      </c>
    </row>
    <row r="58">
      <c r="A58" s="30">
        <v>45717.0</v>
      </c>
      <c r="B58" s="48" t="s">
        <v>8</v>
      </c>
      <c r="C58" s="32" t="s">
        <v>9</v>
      </c>
      <c r="D58" s="33">
        <v>14.0</v>
      </c>
      <c r="E58" s="34" t="s">
        <v>10</v>
      </c>
      <c r="F58" s="35" t="s">
        <v>11</v>
      </c>
      <c r="G58" s="36" t="s">
        <v>28</v>
      </c>
      <c r="H58" s="45">
        <f t="shared" si="1"/>
        <v>3</v>
      </c>
      <c r="I58" s="71" t="s">
        <v>40</v>
      </c>
    </row>
    <row r="59">
      <c r="A59" s="39">
        <v>45718.0</v>
      </c>
      <c r="B59" s="57" t="s">
        <v>17</v>
      </c>
      <c r="C59" s="41" t="s">
        <v>9</v>
      </c>
      <c r="D59" s="42">
        <v>9.0</v>
      </c>
      <c r="E59" s="43" t="s">
        <v>10</v>
      </c>
      <c r="F59" s="35" t="s">
        <v>11</v>
      </c>
      <c r="G59" s="44" t="s">
        <v>28</v>
      </c>
      <c r="H59" s="45">
        <f t="shared" si="1"/>
        <v>3</v>
      </c>
      <c r="I59" s="46" t="s">
        <v>13</v>
      </c>
    </row>
    <row r="60">
      <c r="A60" s="30">
        <v>45719.0</v>
      </c>
      <c r="B60" s="31" t="s">
        <v>14</v>
      </c>
      <c r="C60" s="32" t="s">
        <v>9</v>
      </c>
      <c r="D60" s="33">
        <v>23.0</v>
      </c>
      <c r="E60" s="34" t="s">
        <v>10</v>
      </c>
      <c r="F60" s="35" t="s">
        <v>11</v>
      </c>
      <c r="G60" s="36" t="s">
        <v>28</v>
      </c>
      <c r="H60" s="45">
        <f t="shared" si="1"/>
        <v>3</v>
      </c>
      <c r="I60" s="49" t="s">
        <v>39</v>
      </c>
    </row>
    <row r="61">
      <c r="A61" s="39">
        <v>45720.0</v>
      </c>
      <c r="B61" s="40" t="s">
        <v>8</v>
      </c>
      <c r="C61" s="41" t="s">
        <v>9</v>
      </c>
      <c r="D61" s="42">
        <v>14.0</v>
      </c>
      <c r="E61" s="43" t="s">
        <v>10</v>
      </c>
      <c r="F61" s="51" t="s">
        <v>15</v>
      </c>
      <c r="G61" s="44" t="s">
        <v>28</v>
      </c>
      <c r="H61" s="45">
        <f t="shared" si="1"/>
        <v>3</v>
      </c>
      <c r="I61" s="52" t="s">
        <v>16</v>
      </c>
    </row>
    <row r="62">
      <c r="A62" s="30">
        <v>45721.0</v>
      </c>
      <c r="B62" s="31" t="s">
        <v>14</v>
      </c>
      <c r="C62" s="32" t="s">
        <v>9</v>
      </c>
      <c r="D62" s="33">
        <v>22.0</v>
      </c>
      <c r="E62" s="34" t="s">
        <v>10</v>
      </c>
      <c r="F62" s="35" t="s">
        <v>11</v>
      </c>
      <c r="G62" s="36" t="s">
        <v>28</v>
      </c>
      <c r="H62" s="45">
        <f t="shared" si="1"/>
        <v>3</v>
      </c>
      <c r="I62" s="54" t="s">
        <v>18</v>
      </c>
    </row>
    <row r="63">
      <c r="A63" s="39">
        <v>45722.0</v>
      </c>
      <c r="B63" s="40" t="s">
        <v>8</v>
      </c>
      <c r="C63" s="41" t="s">
        <v>9</v>
      </c>
      <c r="D63" s="42">
        <v>14.0</v>
      </c>
      <c r="E63" s="43" t="s">
        <v>10</v>
      </c>
      <c r="F63" s="51" t="s">
        <v>15</v>
      </c>
      <c r="G63" s="44" t="s">
        <v>28</v>
      </c>
      <c r="H63" s="45">
        <f t="shared" si="1"/>
        <v>3</v>
      </c>
      <c r="I63" s="46" t="s">
        <v>33</v>
      </c>
    </row>
    <row r="64">
      <c r="A64" s="30">
        <v>45723.0</v>
      </c>
      <c r="B64" s="48" t="s">
        <v>8</v>
      </c>
      <c r="C64" s="59" t="s">
        <v>21</v>
      </c>
      <c r="D64" s="33">
        <v>17.0</v>
      </c>
      <c r="E64" s="60" t="s">
        <v>22</v>
      </c>
      <c r="F64" s="35" t="s">
        <v>11</v>
      </c>
      <c r="G64" s="36" t="s">
        <v>28</v>
      </c>
      <c r="H64" s="45">
        <f t="shared" si="1"/>
        <v>3</v>
      </c>
      <c r="I64" s="38" t="s">
        <v>20</v>
      </c>
    </row>
    <row r="65">
      <c r="A65" s="39">
        <v>45724.0</v>
      </c>
      <c r="B65" s="55" t="s">
        <v>19</v>
      </c>
      <c r="C65" s="41" t="s">
        <v>9</v>
      </c>
      <c r="D65" s="42">
        <v>7.0</v>
      </c>
      <c r="E65" s="43" t="s">
        <v>10</v>
      </c>
      <c r="F65" s="35" t="s">
        <v>11</v>
      </c>
      <c r="G65" s="44" t="s">
        <v>28</v>
      </c>
      <c r="H65" s="45">
        <f t="shared" si="1"/>
        <v>3</v>
      </c>
      <c r="I65" s="58" t="s">
        <v>40</v>
      </c>
    </row>
    <row r="66">
      <c r="A66" s="30">
        <v>45725.0</v>
      </c>
      <c r="B66" s="56" t="s">
        <v>19</v>
      </c>
      <c r="C66" s="32" t="s">
        <v>9</v>
      </c>
      <c r="D66" s="33">
        <v>7.0</v>
      </c>
      <c r="E66" s="34" t="s">
        <v>10</v>
      </c>
      <c r="F66" s="51" t="s">
        <v>15</v>
      </c>
      <c r="G66" s="36" t="s">
        <v>28</v>
      </c>
      <c r="H66" s="45">
        <f t="shared" si="1"/>
        <v>3</v>
      </c>
      <c r="I66" s="61" t="s">
        <v>13</v>
      </c>
    </row>
    <row r="67">
      <c r="A67" s="39">
        <v>45726.0</v>
      </c>
      <c r="B67" s="57" t="s">
        <v>17</v>
      </c>
      <c r="C67" s="41" t="s">
        <v>9</v>
      </c>
      <c r="D67" s="42">
        <v>11.0</v>
      </c>
      <c r="E67" s="43" t="s">
        <v>10</v>
      </c>
      <c r="F67" s="35" t="s">
        <v>11</v>
      </c>
      <c r="G67" s="44" t="s">
        <v>28</v>
      </c>
      <c r="H67" s="45">
        <f t="shared" si="1"/>
        <v>3</v>
      </c>
      <c r="I67" s="63" t="s">
        <v>39</v>
      </c>
    </row>
    <row r="68">
      <c r="A68" s="30">
        <v>45727.0</v>
      </c>
      <c r="B68" s="53" t="s">
        <v>17</v>
      </c>
      <c r="C68" s="70" t="s">
        <v>24</v>
      </c>
      <c r="D68" s="33">
        <v>10.0</v>
      </c>
      <c r="E68" s="34" t="s">
        <v>10</v>
      </c>
      <c r="F68" s="35" t="s">
        <v>11</v>
      </c>
      <c r="G68" s="36" t="s">
        <v>28</v>
      </c>
      <c r="H68" s="45">
        <f t="shared" si="1"/>
        <v>3</v>
      </c>
      <c r="I68" s="64" t="s">
        <v>16</v>
      </c>
    </row>
    <row r="69">
      <c r="A69" s="39">
        <v>45728.0</v>
      </c>
      <c r="B69" s="40" t="s">
        <v>8</v>
      </c>
      <c r="C69" s="41" t="s">
        <v>9</v>
      </c>
      <c r="D69" s="42">
        <v>14.0</v>
      </c>
      <c r="E69" s="43" t="s">
        <v>10</v>
      </c>
      <c r="F69" s="35" t="s">
        <v>11</v>
      </c>
      <c r="G69" s="44" t="s">
        <v>28</v>
      </c>
      <c r="H69" s="45">
        <f t="shared" si="1"/>
        <v>3</v>
      </c>
      <c r="I69" s="66" t="s">
        <v>18</v>
      </c>
    </row>
    <row r="70">
      <c r="A70" s="30">
        <v>45729.0</v>
      </c>
      <c r="B70" s="73" t="s">
        <v>26</v>
      </c>
      <c r="C70" s="32" t="s">
        <v>9</v>
      </c>
      <c r="D70" s="33">
        <v>25.0</v>
      </c>
      <c r="E70" s="34" t="s">
        <v>10</v>
      </c>
      <c r="F70" s="51" t="s">
        <v>15</v>
      </c>
      <c r="G70" s="36" t="s">
        <v>28</v>
      </c>
      <c r="H70" s="45">
        <f t="shared" si="1"/>
        <v>3</v>
      </c>
      <c r="I70" s="61" t="s">
        <v>33</v>
      </c>
    </row>
    <row r="71">
      <c r="A71" s="39">
        <v>45730.0</v>
      </c>
      <c r="B71" s="75" t="s">
        <v>25</v>
      </c>
      <c r="C71" s="41" t="s">
        <v>9</v>
      </c>
      <c r="D71" s="42">
        <v>35.0</v>
      </c>
      <c r="E71" s="76" t="s">
        <v>22</v>
      </c>
      <c r="F71" s="51" t="s">
        <v>15</v>
      </c>
      <c r="G71" s="44" t="s">
        <v>28</v>
      </c>
      <c r="H71" s="45">
        <f t="shared" si="1"/>
        <v>3</v>
      </c>
      <c r="I71" s="69" t="s">
        <v>20</v>
      </c>
    </row>
    <row r="72">
      <c r="A72" s="30">
        <v>45731.0</v>
      </c>
      <c r="B72" s="48" t="s">
        <v>8</v>
      </c>
      <c r="C72" s="59" t="s">
        <v>21</v>
      </c>
      <c r="D72" s="33">
        <v>14.0</v>
      </c>
      <c r="E72" s="34" t="s">
        <v>10</v>
      </c>
      <c r="F72" s="35" t="s">
        <v>11</v>
      </c>
      <c r="G72" s="36" t="s">
        <v>28</v>
      </c>
      <c r="H72" s="45">
        <f t="shared" si="1"/>
        <v>3</v>
      </c>
      <c r="I72" s="71" t="s">
        <v>40</v>
      </c>
    </row>
    <row r="73">
      <c r="A73" s="39">
        <v>45732.0</v>
      </c>
      <c r="B73" s="40" t="s">
        <v>8</v>
      </c>
      <c r="C73" s="41" t="s">
        <v>9</v>
      </c>
      <c r="D73" s="42">
        <v>14.0</v>
      </c>
      <c r="E73" s="43" t="s">
        <v>10</v>
      </c>
      <c r="F73" s="35" t="s">
        <v>11</v>
      </c>
      <c r="G73" s="44" t="s">
        <v>28</v>
      </c>
      <c r="H73" s="45">
        <f t="shared" si="1"/>
        <v>3</v>
      </c>
      <c r="I73" s="46" t="s">
        <v>13</v>
      </c>
    </row>
    <row r="74">
      <c r="A74" s="30">
        <v>45733.0</v>
      </c>
      <c r="B74" s="48" t="s">
        <v>8</v>
      </c>
      <c r="C74" s="70" t="s">
        <v>24</v>
      </c>
      <c r="D74" s="33">
        <v>16.0</v>
      </c>
      <c r="E74" s="60" t="s">
        <v>22</v>
      </c>
      <c r="F74" s="35" t="s">
        <v>11</v>
      </c>
      <c r="G74" s="36" t="s">
        <v>28</v>
      </c>
      <c r="H74" s="45">
        <f t="shared" si="1"/>
        <v>3</v>
      </c>
      <c r="I74" s="49" t="s">
        <v>39</v>
      </c>
    </row>
    <row r="75">
      <c r="A75" s="39">
        <v>45734.0</v>
      </c>
      <c r="B75" s="65" t="s">
        <v>23</v>
      </c>
      <c r="C75" s="41" t="s">
        <v>9</v>
      </c>
      <c r="D75" s="42">
        <v>19.0</v>
      </c>
      <c r="E75" s="43" t="s">
        <v>10</v>
      </c>
      <c r="F75" s="51" t="s">
        <v>15</v>
      </c>
      <c r="G75" s="44" t="s">
        <v>28</v>
      </c>
      <c r="H75" s="45">
        <f t="shared" si="1"/>
        <v>3</v>
      </c>
      <c r="I75" s="52" t="s">
        <v>16</v>
      </c>
    </row>
    <row r="76">
      <c r="A76" s="30">
        <v>45735.0</v>
      </c>
      <c r="B76" s="48" t="s">
        <v>8</v>
      </c>
      <c r="C76" s="32" t="s">
        <v>9</v>
      </c>
      <c r="D76" s="33">
        <v>14.0</v>
      </c>
      <c r="E76" s="34" t="s">
        <v>10</v>
      </c>
      <c r="F76" s="35" t="s">
        <v>11</v>
      </c>
      <c r="G76" s="36" t="s">
        <v>28</v>
      </c>
      <c r="H76" s="45">
        <f t="shared" si="1"/>
        <v>3</v>
      </c>
      <c r="I76" s="54" t="s">
        <v>18</v>
      </c>
    </row>
    <row r="77">
      <c r="A77" s="39">
        <v>45736.0</v>
      </c>
      <c r="B77" s="65" t="s">
        <v>23</v>
      </c>
      <c r="C77" s="41" t="s">
        <v>9</v>
      </c>
      <c r="D77" s="42">
        <v>18.0</v>
      </c>
      <c r="E77" s="43" t="s">
        <v>10</v>
      </c>
      <c r="F77" s="51" t="s">
        <v>15</v>
      </c>
      <c r="G77" s="44" t="s">
        <v>28</v>
      </c>
      <c r="H77" s="45">
        <f t="shared" si="1"/>
        <v>3</v>
      </c>
      <c r="I77" s="46" t="s">
        <v>33</v>
      </c>
    </row>
    <row r="78">
      <c r="A78" s="30">
        <v>45737.0</v>
      </c>
      <c r="B78" s="53" t="s">
        <v>17</v>
      </c>
      <c r="C78" s="32" t="s">
        <v>9</v>
      </c>
      <c r="D78" s="33">
        <v>8.0</v>
      </c>
      <c r="E78" s="34" t="s">
        <v>10</v>
      </c>
      <c r="F78" s="35" t="s">
        <v>11</v>
      </c>
      <c r="G78" s="36" t="s">
        <v>28</v>
      </c>
      <c r="H78" s="45">
        <f t="shared" si="1"/>
        <v>3</v>
      </c>
      <c r="I78" s="38" t="s">
        <v>20</v>
      </c>
    </row>
    <row r="79">
      <c r="A79" s="39">
        <v>45738.0</v>
      </c>
      <c r="B79" s="57" t="s">
        <v>17</v>
      </c>
      <c r="C79" s="41" t="s">
        <v>9</v>
      </c>
      <c r="D79" s="42">
        <v>9.0</v>
      </c>
      <c r="E79" s="43" t="s">
        <v>10</v>
      </c>
      <c r="F79" s="35" t="s">
        <v>11</v>
      </c>
      <c r="G79" s="44" t="s">
        <v>28</v>
      </c>
      <c r="H79" s="45">
        <f t="shared" si="1"/>
        <v>3</v>
      </c>
      <c r="I79" s="58" t="s">
        <v>40</v>
      </c>
    </row>
    <row r="80">
      <c r="A80" s="30">
        <v>45739.0</v>
      </c>
      <c r="B80" s="31" t="s">
        <v>14</v>
      </c>
      <c r="C80" s="32" t="s">
        <v>9</v>
      </c>
      <c r="D80" s="33">
        <v>21.0</v>
      </c>
      <c r="E80" s="34" t="s">
        <v>10</v>
      </c>
      <c r="F80" s="51" t="s">
        <v>15</v>
      </c>
      <c r="G80" s="36" t="s">
        <v>28</v>
      </c>
      <c r="H80" s="45">
        <f t="shared" si="1"/>
        <v>3</v>
      </c>
      <c r="I80" s="61" t="s">
        <v>13</v>
      </c>
    </row>
    <row r="81">
      <c r="A81" s="39">
        <v>45740.0</v>
      </c>
      <c r="B81" s="50" t="s">
        <v>14</v>
      </c>
      <c r="C81" s="41" t="s">
        <v>9</v>
      </c>
      <c r="D81" s="42">
        <v>21.0</v>
      </c>
      <c r="E81" s="43" t="s">
        <v>10</v>
      </c>
      <c r="F81" s="35" t="s">
        <v>11</v>
      </c>
      <c r="G81" s="44" t="s">
        <v>28</v>
      </c>
      <c r="H81" s="45">
        <f t="shared" si="1"/>
        <v>3</v>
      </c>
      <c r="I81" s="63" t="s">
        <v>39</v>
      </c>
    </row>
    <row r="82">
      <c r="A82" s="30">
        <v>45741.0</v>
      </c>
      <c r="B82" s="48" t="s">
        <v>8</v>
      </c>
      <c r="C82" s="70" t="s">
        <v>24</v>
      </c>
      <c r="D82" s="33">
        <v>14.0</v>
      </c>
      <c r="E82" s="34" t="s">
        <v>10</v>
      </c>
      <c r="F82" s="35" t="s">
        <v>11</v>
      </c>
      <c r="G82" s="36" t="s">
        <v>28</v>
      </c>
      <c r="H82" s="45">
        <f t="shared" si="1"/>
        <v>3</v>
      </c>
      <c r="I82" s="64" t="s">
        <v>16</v>
      </c>
    </row>
    <row r="83">
      <c r="A83" s="39">
        <v>45742.0</v>
      </c>
      <c r="B83" s="55" t="s">
        <v>19</v>
      </c>
      <c r="C83" s="41" t="s">
        <v>9</v>
      </c>
      <c r="D83" s="42">
        <v>7.0</v>
      </c>
      <c r="E83" s="43" t="s">
        <v>10</v>
      </c>
      <c r="F83" s="35" t="s">
        <v>11</v>
      </c>
      <c r="G83" s="44" t="s">
        <v>28</v>
      </c>
      <c r="H83" s="45">
        <f t="shared" si="1"/>
        <v>3</v>
      </c>
      <c r="I83" s="66" t="s">
        <v>18</v>
      </c>
    </row>
    <row r="84">
      <c r="A84" s="30">
        <v>45743.0</v>
      </c>
      <c r="B84" s="48" t="s">
        <v>8</v>
      </c>
      <c r="C84" s="32" t="s">
        <v>9</v>
      </c>
      <c r="D84" s="33">
        <v>14.0</v>
      </c>
      <c r="E84" s="34" t="s">
        <v>10</v>
      </c>
      <c r="F84" s="51" t="s">
        <v>15</v>
      </c>
      <c r="G84" s="36" t="s">
        <v>28</v>
      </c>
      <c r="H84" s="45">
        <f t="shared" si="1"/>
        <v>3</v>
      </c>
      <c r="I84" s="61" t="s">
        <v>33</v>
      </c>
    </row>
    <row r="85">
      <c r="A85" s="39">
        <v>45744.0</v>
      </c>
      <c r="B85" s="40" t="s">
        <v>8</v>
      </c>
      <c r="C85" s="41" t="s">
        <v>9</v>
      </c>
      <c r="D85" s="42">
        <v>15.0</v>
      </c>
      <c r="E85" s="43" t="s">
        <v>10</v>
      </c>
      <c r="F85" s="51" t="s">
        <v>15</v>
      </c>
      <c r="G85" s="44" t="s">
        <v>28</v>
      </c>
      <c r="H85" s="45">
        <f t="shared" si="1"/>
        <v>3</v>
      </c>
      <c r="I85" s="69" t="s">
        <v>20</v>
      </c>
    </row>
    <row r="86">
      <c r="A86" s="30">
        <v>45745.0</v>
      </c>
      <c r="B86" s="56" t="s">
        <v>19</v>
      </c>
      <c r="C86" s="32" t="s">
        <v>9</v>
      </c>
      <c r="D86" s="33">
        <v>7.0</v>
      </c>
      <c r="E86" s="34" t="s">
        <v>10</v>
      </c>
      <c r="F86" s="35" t="s">
        <v>11</v>
      </c>
      <c r="G86" s="36" t="s">
        <v>28</v>
      </c>
      <c r="H86" s="45">
        <f t="shared" si="1"/>
        <v>3</v>
      </c>
      <c r="I86" s="71" t="s">
        <v>40</v>
      </c>
    </row>
    <row r="87">
      <c r="A87" s="39">
        <v>45746.0</v>
      </c>
      <c r="B87" s="74" t="s">
        <v>26</v>
      </c>
      <c r="C87" s="41" t="s">
        <v>9</v>
      </c>
      <c r="D87" s="42">
        <v>24.0</v>
      </c>
      <c r="E87" s="43" t="s">
        <v>10</v>
      </c>
      <c r="F87" s="35" t="s">
        <v>11</v>
      </c>
      <c r="G87" s="44" t="s">
        <v>28</v>
      </c>
      <c r="H87" s="45">
        <f t="shared" si="1"/>
        <v>3</v>
      </c>
      <c r="I87" s="46" t="s">
        <v>13</v>
      </c>
    </row>
    <row r="88">
      <c r="A88" s="30">
        <v>45747.0</v>
      </c>
      <c r="B88" s="48" t="s">
        <v>8</v>
      </c>
      <c r="C88" s="32" t="s">
        <v>9</v>
      </c>
      <c r="D88" s="33">
        <v>14.0</v>
      </c>
      <c r="E88" s="34" t="s">
        <v>10</v>
      </c>
      <c r="F88" s="35" t="s">
        <v>11</v>
      </c>
      <c r="G88" s="36" t="s">
        <v>28</v>
      </c>
      <c r="H88" s="45">
        <f t="shared" si="1"/>
        <v>3</v>
      </c>
      <c r="I88" s="49" t="s">
        <v>39</v>
      </c>
    </row>
    <row r="89">
      <c r="A89" s="39">
        <v>45748.0</v>
      </c>
      <c r="B89" s="40" t="s">
        <v>8</v>
      </c>
      <c r="C89" s="41" t="s">
        <v>9</v>
      </c>
      <c r="D89" s="42">
        <v>14.0</v>
      </c>
      <c r="E89" s="43" t="s">
        <v>10</v>
      </c>
      <c r="F89" s="35" t="s">
        <v>11</v>
      </c>
      <c r="G89" s="44" t="s">
        <v>29</v>
      </c>
      <c r="H89" s="45">
        <f t="shared" si="1"/>
        <v>4</v>
      </c>
      <c r="I89" s="52" t="s">
        <v>16</v>
      </c>
    </row>
    <row r="90">
      <c r="A90" s="30">
        <v>45749.0</v>
      </c>
      <c r="B90" s="53" t="s">
        <v>17</v>
      </c>
      <c r="C90" s="32" t="s">
        <v>9</v>
      </c>
      <c r="D90" s="33">
        <v>10.0</v>
      </c>
      <c r="E90" s="34" t="s">
        <v>10</v>
      </c>
      <c r="F90" s="35" t="s">
        <v>11</v>
      </c>
      <c r="G90" s="36" t="s">
        <v>29</v>
      </c>
      <c r="H90" s="45">
        <f t="shared" si="1"/>
        <v>4</v>
      </c>
      <c r="I90" s="54" t="s">
        <v>18</v>
      </c>
    </row>
    <row r="91">
      <c r="A91" s="39">
        <v>45750.0</v>
      </c>
      <c r="B91" s="57" t="s">
        <v>17</v>
      </c>
      <c r="C91" s="68" t="s">
        <v>24</v>
      </c>
      <c r="D91" s="42">
        <v>10.0</v>
      </c>
      <c r="E91" s="43" t="s">
        <v>10</v>
      </c>
      <c r="F91" s="51" t="s">
        <v>15</v>
      </c>
      <c r="G91" s="44" t="s">
        <v>29</v>
      </c>
      <c r="H91" s="45">
        <f t="shared" si="1"/>
        <v>4</v>
      </c>
      <c r="I91" s="46" t="s">
        <v>33</v>
      </c>
    </row>
    <row r="92">
      <c r="A92" s="30">
        <v>45751.0</v>
      </c>
      <c r="B92" s="48" t="s">
        <v>8</v>
      </c>
      <c r="C92" s="59" t="s">
        <v>21</v>
      </c>
      <c r="D92" s="33">
        <v>14.0</v>
      </c>
      <c r="E92" s="34" t="s">
        <v>10</v>
      </c>
      <c r="F92" s="51" t="s">
        <v>15</v>
      </c>
      <c r="G92" s="36" t="s">
        <v>29</v>
      </c>
      <c r="H92" s="45">
        <f t="shared" si="1"/>
        <v>4</v>
      </c>
      <c r="I92" s="38" t="s">
        <v>20</v>
      </c>
    </row>
    <row r="93">
      <c r="A93" s="39">
        <v>45752.0</v>
      </c>
      <c r="B93" s="50" t="s">
        <v>14</v>
      </c>
      <c r="C93" s="41" t="s">
        <v>9</v>
      </c>
      <c r="D93" s="42">
        <v>22.0</v>
      </c>
      <c r="E93" s="43" t="s">
        <v>10</v>
      </c>
      <c r="F93" s="35" t="s">
        <v>11</v>
      </c>
      <c r="G93" s="44" t="s">
        <v>29</v>
      </c>
      <c r="H93" s="45">
        <f t="shared" si="1"/>
        <v>4</v>
      </c>
      <c r="I93" s="58" t="s">
        <v>40</v>
      </c>
    </row>
    <row r="94">
      <c r="A94" s="30">
        <v>45753.0</v>
      </c>
      <c r="B94" s="31" t="s">
        <v>14</v>
      </c>
      <c r="C94" s="32" t="s">
        <v>9</v>
      </c>
      <c r="D94" s="33">
        <v>20.0</v>
      </c>
      <c r="E94" s="34" t="s">
        <v>10</v>
      </c>
      <c r="F94" s="35" t="s">
        <v>11</v>
      </c>
      <c r="G94" s="36" t="s">
        <v>29</v>
      </c>
      <c r="H94" s="45">
        <f t="shared" si="1"/>
        <v>4</v>
      </c>
      <c r="I94" s="61" t="s">
        <v>13</v>
      </c>
    </row>
    <row r="95">
      <c r="A95" s="39">
        <v>45754.0</v>
      </c>
      <c r="B95" s="40" t="s">
        <v>8</v>
      </c>
      <c r="C95" s="41" t="s">
        <v>9</v>
      </c>
      <c r="D95" s="42">
        <v>14.0</v>
      </c>
      <c r="E95" s="43" t="s">
        <v>10</v>
      </c>
      <c r="F95" s="35" t="s">
        <v>11</v>
      </c>
      <c r="G95" s="44" t="s">
        <v>29</v>
      </c>
      <c r="H95" s="45">
        <f t="shared" si="1"/>
        <v>4</v>
      </c>
      <c r="I95" s="63" t="s">
        <v>39</v>
      </c>
    </row>
    <row r="96">
      <c r="A96" s="30">
        <v>45755.0</v>
      </c>
      <c r="B96" s="56" t="s">
        <v>19</v>
      </c>
      <c r="C96" s="32" t="s">
        <v>9</v>
      </c>
      <c r="D96" s="33">
        <v>7.0</v>
      </c>
      <c r="E96" s="34" t="s">
        <v>10</v>
      </c>
      <c r="F96" s="35" t="s">
        <v>11</v>
      </c>
      <c r="G96" s="36" t="s">
        <v>29</v>
      </c>
      <c r="H96" s="45">
        <f t="shared" si="1"/>
        <v>4</v>
      </c>
      <c r="I96" s="64" t="s">
        <v>16</v>
      </c>
    </row>
    <row r="97">
      <c r="A97" s="39">
        <v>45756.0</v>
      </c>
      <c r="B97" s="40" t="s">
        <v>8</v>
      </c>
      <c r="C97" s="41" t="s">
        <v>9</v>
      </c>
      <c r="D97" s="42">
        <v>14.0</v>
      </c>
      <c r="E97" s="43" t="s">
        <v>10</v>
      </c>
      <c r="F97" s="51" t="s">
        <v>15</v>
      </c>
      <c r="G97" s="44" t="s">
        <v>29</v>
      </c>
      <c r="H97" s="45">
        <f t="shared" si="1"/>
        <v>4</v>
      </c>
      <c r="I97" s="66" t="s">
        <v>18</v>
      </c>
    </row>
    <row r="98">
      <c r="A98" s="30">
        <v>45757.0</v>
      </c>
      <c r="B98" s="48" t="s">
        <v>8</v>
      </c>
      <c r="C98" s="59" t="s">
        <v>21</v>
      </c>
      <c r="D98" s="33">
        <v>15.0</v>
      </c>
      <c r="E98" s="34" t="s">
        <v>10</v>
      </c>
      <c r="F98" s="51" t="s">
        <v>15</v>
      </c>
      <c r="G98" s="36" t="s">
        <v>29</v>
      </c>
      <c r="H98" s="45">
        <f t="shared" si="1"/>
        <v>4</v>
      </c>
      <c r="I98" s="61" t="s">
        <v>33</v>
      </c>
    </row>
    <row r="99">
      <c r="A99" s="39">
        <v>45758.0</v>
      </c>
      <c r="B99" s="57" t="s">
        <v>17</v>
      </c>
      <c r="C99" s="68" t="s">
        <v>24</v>
      </c>
      <c r="D99" s="42">
        <v>11.0</v>
      </c>
      <c r="E99" s="43" t="s">
        <v>10</v>
      </c>
      <c r="F99" s="35" t="s">
        <v>11</v>
      </c>
      <c r="G99" s="44" t="s">
        <v>29</v>
      </c>
      <c r="H99" s="45">
        <f t="shared" si="1"/>
        <v>4</v>
      </c>
      <c r="I99" s="69" t="s">
        <v>20</v>
      </c>
    </row>
    <row r="100">
      <c r="A100" s="30">
        <v>45759.0</v>
      </c>
      <c r="B100" s="56" t="s">
        <v>19</v>
      </c>
      <c r="C100" s="32" t="s">
        <v>9</v>
      </c>
      <c r="D100" s="33">
        <v>7.0</v>
      </c>
      <c r="E100" s="34" t="s">
        <v>10</v>
      </c>
      <c r="F100" s="35" t="s">
        <v>11</v>
      </c>
      <c r="G100" s="36" t="s">
        <v>29</v>
      </c>
      <c r="H100" s="45">
        <f t="shared" si="1"/>
        <v>4</v>
      </c>
      <c r="I100" s="71" t="s">
        <v>40</v>
      </c>
    </row>
    <row r="101">
      <c r="A101" s="39">
        <v>45760.0</v>
      </c>
      <c r="B101" s="40" t="s">
        <v>8</v>
      </c>
      <c r="C101" s="41" t="s">
        <v>9</v>
      </c>
      <c r="D101" s="42">
        <v>16.0</v>
      </c>
      <c r="E101" s="76" t="s">
        <v>22</v>
      </c>
      <c r="F101" s="35" t="s">
        <v>11</v>
      </c>
      <c r="G101" s="44" t="s">
        <v>29</v>
      </c>
      <c r="H101" s="45">
        <f t="shared" si="1"/>
        <v>4</v>
      </c>
      <c r="I101" s="46" t="s">
        <v>13</v>
      </c>
    </row>
    <row r="102">
      <c r="A102" s="30">
        <v>45761.0</v>
      </c>
      <c r="B102" s="53" t="s">
        <v>17</v>
      </c>
      <c r="C102" s="32" t="s">
        <v>9</v>
      </c>
      <c r="D102" s="33">
        <v>12.0</v>
      </c>
      <c r="E102" s="34" t="s">
        <v>10</v>
      </c>
      <c r="F102" s="35" t="s">
        <v>11</v>
      </c>
      <c r="G102" s="36" t="s">
        <v>29</v>
      </c>
      <c r="H102" s="45">
        <f t="shared" si="1"/>
        <v>4</v>
      </c>
      <c r="I102" s="49" t="s">
        <v>39</v>
      </c>
    </row>
    <row r="103">
      <c r="A103" s="39">
        <v>45762.0</v>
      </c>
      <c r="B103" s="65" t="s">
        <v>23</v>
      </c>
      <c r="C103" s="41" t="s">
        <v>9</v>
      </c>
      <c r="D103" s="42">
        <v>21.0</v>
      </c>
      <c r="E103" s="43" t="s">
        <v>10</v>
      </c>
      <c r="F103" s="51" t="s">
        <v>15</v>
      </c>
      <c r="G103" s="44" t="s">
        <v>29</v>
      </c>
      <c r="H103" s="45">
        <f t="shared" si="1"/>
        <v>4</v>
      </c>
      <c r="I103" s="52" t="s">
        <v>16</v>
      </c>
    </row>
    <row r="104">
      <c r="A104" s="30">
        <v>45763.0</v>
      </c>
      <c r="B104" s="48" t="s">
        <v>8</v>
      </c>
      <c r="C104" s="32" t="s">
        <v>9</v>
      </c>
      <c r="D104" s="33">
        <v>14.0</v>
      </c>
      <c r="E104" s="34" t="s">
        <v>10</v>
      </c>
      <c r="F104" s="35" t="s">
        <v>11</v>
      </c>
      <c r="G104" s="36" t="s">
        <v>29</v>
      </c>
      <c r="H104" s="45">
        <f t="shared" si="1"/>
        <v>4</v>
      </c>
      <c r="I104" s="54" t="s">
        <v>18</v>
      </c>
    </row>
    <row r="105">
      <c r="A105" s="39">
        <v>45764.0</v>
      </c>
      <c r="B105" s="65" t="s">
        <v>23</v>
      </c>
      <c r="C105" s="41" t="s">
        <v>9</v>
      </c>
      <c r="D105" s="42">
        <v>20.0</v>
      </c>
      <c r="E105" s="43" t="s">
        <v>10</v>
      </c>
      <c r="F105" s="51" t="s">
        <v>15</v>
      </c>
      <c r="G105" s="44" t="s">
        <v>29</v>
      </c>
      <c r="H105" s="45">
        <f t="shared" si="1"/>
        <v>4</v>
      </c>
      <c r="I105" s="46" t="s">
        <v>33</v>
      </c>
    </row>
    <row r="106">
      <c r="A106" s="30">
        <v>45765.0</v>
      </c>
      <c r="B106" s="53" t="s">
        <v>17</v>
      </c>
      <c r="C106" s="32" t="s">
        <v>9</v>
      </c>
      <c r="D106" s="33">
        <v>9.0</v>
      </c>
      <c r="E106" s="34" t="s">
        <v>10</v>
      </c>
      <c r="F106" s="35" t="s">
        <v>11</v>
      </c>
      <c r="G106" s="36" t="s">
        <v>29</v>
      </c>
      <c r="H106" s="45">
        <f t="shared" si="1"/>
        <v>4</v>
      </c>
      <c r="I106" s="38" t="s">
        <v>20</v>
      </c>
    </row>
    <row r="107">
      <c r="A107" s="39">
        <v>45766.0</v>
      </c>
      <c r="B107" s="40" t="s">
        <v>8</v>
      </c>
      <c r="C107" s="41" t="s">
        <v>9</v>
      </c>
      <c r="D107" s="42">
        <v>14.0</v>
      </c>
      <c r="E107" s="43" t="s">
        <v>10</v>
      </c>
      <c r="F107" s="35" t="s">
        <v>11</v>
      </c>
      <c r="G107" s="44" t="s">
        <v>29</v>
      </c>
      <c r="H107" s="45">
        <f t="shared" si="1"/>
        <v>4</v>
      </c>
      <c r="I107" s="58" t="s">
        <v>40</v>
      </c>
    </row>
    <row r="108">
      <c r="A108" s="30">
        <v>45767.0</v>
      </c>
      <c r="B108" s="31" t="s">
        <v>14</v>
      </c>
      <c r="C108" s="32" t="s">
        <v>9</v>
      </c>
      <c r="D108" s="33">
        <v>23.0</v>
      </c>
      <c r="E108" s="34" t="s">
        <v>10</v>
      </c>
      <c r="F108" s="51" t="s">
        <v>15</v>
      </c>
      <c r="G108" s="36" t="s">
        <v>29</v>
      </c>
      <c r="H108" s="45">
        <f t="shared" si="1"/>
        <v>4</v>
      </c>
      <c r="I108" s="61" t="s">
        <v>13</v>
      </c>
    </row>
    <row r="109">
      <c r="A109" s="39">
        <v>45768.0</v>
      </c>
      <c r="B109" s="50" t="s">
        <v>14</v>
      </c>
      <c r="C109" s="68" t="s">
        <v>24</v>
      </c>
      <c r="D109" s="42">
        <v>24.0</v>
      </c>
      <c r="E109" s="43" t="s">
        <v>10</v>
      </c>
      <c r="F109" s="35" t="s">
        <v>11</v>
      </c>
      <c r="G109" s="44" t="s">
        <v>29</v>
      </c>
      <c r="H109" s="45">
        <f t="shared" si="1"/>
        <v>4</v>
      </c>
      <c r="I109" s="63" t="s">
        <v>39</v>
      </c>
    </row>
    <row r="110">
      <c r="A110" s="30">
        <v>45769.0</v>
      </c>
      <c r="B110" s="48" t="s">
        <v>8</v>
      </c>
      <c r="C110" s="32" t="s">
        <v>9</v>
      </c>
      <c r="D110" s="33">
        <v>14.0</v>
      </c>
      <c r="E110" s="34" t="s">
        <v>10</v>
      </c>
      <c r="F110" s="35" t="s">
        <v>11</v>
      </c>
      <c r="G110" s="36" t="s">
        <v>29</v>
      </c>
      <c r="H110" s="45">
        <f t="shared" si="1"/>
        <v>4</v>
      </c>
      <c r="I110" s="64" t="s">
        <v>16</v>
      </c>
    </row>
    <row r="111">
      <c r="A111" s="39">
        <v>45770.0</v>
      </c>
      <c r="B111" s="55" t="s">
        <v>19</v>
      </c>
      <c r="C111" s="41" t="s">
        <v>9</v>
      </c>
      <c r="D111" s="42">
        <v>7.0</v>
      </c>
      <c r="E111" s="43" t="s">
        <v>10</v>
      </c>
      <c r="F111" s="35" t="s">
        <v>11</v>
      </c>
      <c r="G111" s="44" t="s">
        <v>29</v>
      </c>
      <c r="H111" s="45">
        <f t="shared" si="1"/>
        <v>4</v>
      </c>
      <c r="I111" s="66" t="s">
        <v>18</v>
      </c>
    </row>
    <row r="112">
      <c r="A112" s="30">
        <v>45771.0</v>
      </c>
      <c r="B112" s="48" t="s">
        <v>8</v>
      </c>
      <c r="C112" s="32" t="s">
        <v>9</v>
      </c>
      <c r="D112" s="33">
        <v>14.0</v>
      </c>
      <c r="E112" s="34" t="s">
        <v>10</v>
      </c>
      <c r="F112" s="51" t="s">
        <v>15</v>
      </c>
      <c r="G112" s="36" t="s">
        <v>29</v>
      </c>
      <c r="H112" s="45">
        <f t="shared" si="1"/>
        <v>4</v>
      </c>
      <c r="I112" s="61" t="s">
        <v>33</v>
      </c>
    </row>
    <row r="113">
      <c r="A113" s="39">
        <v>45772.0</v>
      </c>
      <c r="B113" s="74" t="s">
        <v>26</v>
      </c>
      <c r="C113" s="62" t="s">
        <v>21</v>
      </c>
      <c r="D113" s="42">
        <v>26.0</v>
      </c>
      <c r="E113" s="43" t="s">
        <v>10</v>
      </c>
      <c r="F113" s="51" t="s">
        <v>15</v>
      </c>
      <c r="G113" s="44" t="s">
        <v>29</v>
      </c>
      <c r="H113" s="45">
        <f t="shared" si="1"/>
        <v>4</v>
      </c>
      <c r="I113" s="69" t="s">
        <v>20</v>
      </c>
    </row>
    <row r="114">
      <c r="A114" s="30">
        <v>45773.0</v>
      </c>
      <c r="B114" s="56" t="s">
        <v>19</v>
      </c>
      <c r="C114" s="32" t="s">
        <v>9</v>
      </c>
      <c r="D114" s="33">
        <v>7.0</v>
      </c>
      <c r="E114" s="34" t="s">
        <v>10</v>
      </c>
      <c r="F114" s="35" t="s">
        <v>11</v>
      </c>
      <c r="G114" s="36" t="s">
        <v>29</v>
      </c>
      <c r="H114" s="45">
        <f t="shared" si="1"/>
        <v>4</v>
      </c>
      <c r="I114" s="71" t="s">
        <v>40</v>
      </c>
    </row>
    <row r="115">
      <c r="A115" s="39">
        <v>45774.0</v>
      </c>
      <c r="B115" s="40" t="s">
        <v>8</v>
      </c>
      <c r="C115" s="41" t="s">
        <v>9</v>
      </c>
      <c r="D115" s="42">
        <v>14.0</v>
      </c>
      <c r="E115" s="43" t="s">
        <v>10</v>
      </c>
      <c r="F115" s="35" t="s">
        <v>11</v>
      </c>
      <c r="G115" s="44" t="s">
        <v>29</v>
      </c>
      <c r="H115" s="45">
        <f t="shared" si="1"/>
        <v>4</v>
      </c>
      <c r="I115" s="46" t="s">
        <v>13</v>
      </c>
    </row>
    <row r="116">
      <c r="A116" s="30">
        <v>45775.0</v>
      </c>
      <c r="B116" s="53" t="s">
        <v>17</v>
      </c>
      <c r="C116" s="32" t="s">
        <v>9</v>
      </c>
      <c r="D116" s="33">
        <v>11.0</v>
      </c>
      <c r="E116" s="34" t="s">
        <v>10</v>
      </c>
      <c r="F116" s="35" t="s">
        <v>11</v>
      </c>
      <c r="G116" s="36" t="s">
        <v>29</v>
      </c>
      <c r="H116" s="45">
        <f t="shared" si="1"/>
        <v>4</v>
      </c>
      <c r="I116" s="49" t="s">
        <v>39</v>
      </c>
    </row>
    <row r="117">
      <c r="A117" s="39">
        <v>45776.0</v>
      </c>
      <c r="B117" s="57" t="s">
        <v>17</v>
      </c>
      <c r="C117" s="41" t="s">
        <v>9</v>
      </c>
      <c r="D117" s="42">
        <v>10.0</v>
      </c>
      <c r="E117" s="43" t="s">
        <v>10</v>
      </c>
      <c r="F117" s="35" t="s">
        <v>11</v>
      </c>
      <c r="G117" s="44" t="s">
        <v>29</v>
      </c>
      <c r="H117" s="45">
        <f t="shared" si="1"/>
        <v>4</v>
      </c>
      <c r="I117" s="52" t="s">
        <v>16</v>
      </c>
    </row>
    <row r="118">
      <c r="A118" s="30">
        <v>45777.0</v>
      </c>
      <c r="B118" s="48" t="s">
        <v>8</v>
      </c>
      <c r="C118" s="70" t="s">
        <v>24</v>
      </c>
      <c r="D118" s="33">
        <v>14.0</v>
      </c>
      <c r="E118" s="34" t="s">
        <v>10</v>
      </c>
      <c r="F118" s="51" t="s">
        <v>15</v>
      </c>
      <c r="G118" s="36" t="s">
        <v>29</v>
      </c>
      <c r="H118" s="45">
        <f t="shared" si="1"/>
        <v>4</v>
      </c>
      <c r="I118" s="54" t="s">
        <v>18</v>
      </c>
    </row>
    <row r="119">
      <c r="A119" s="39">
        <v>45778.0</v>
      </c>
      <c r="B119" s="74" t="s">
        <v>26</v>
      </c>
      <c r="C119" s="41" t="s">
        <v>9</v>
      </c>
      <c r="D119" s="42">
        <v>26.0</v>
      </c>
      <c r="E119" s="76" t="s">
        <v>22</v>
      </c>
      <c r="F119" s="51" t="s">
        <v>15</v>
      </c>
      <c r="G119" s="44" t="s">
        <v>30</v>
      </c>
      <c r="H119" s="45">
        <f t="shared" si="1"/>
        <v>5</v>
      </c>
      <c r="I119" s="46" t="s">
        <v>33</v>
      </c>
    </row>
    <row r="120">
      <c r="A120" s="30">
        <v>45779.0</v>
      </c>
      <c r="B120" s="31" t="s">
        <v>14</v>
      </c>
      <c r="C120" s="32" t="s">
        <v>9</v>
      </c>
      <c r="D120" s="33">
        <v>21.0</v>
      </c>
      <c r="E120" s="34" t="s">
        <v>10</v>
      </c>
      <c r="F120" s="35" t="s">
        <v>11</v>
      </c>
      <c r="G120" s="36" t="s">
        <v>30</v>
      </c>
      <c r="H120" s="45">
        <f t="shared" si="1"/>
        <v>5</v>
      </c>
      <c r="I120" s="38" t="s">
        <v>20</v>
      </c>
    </row>
    <row r="121">
      <c r="A121" s="39">
        <v>45780.0</v>
      </c>
      <c r="B121" s="40" t="s">
        <v>8</v>
      </c>
      <c r="C121" s="41" t="s">
        <v>9</v>
      </c>
      <c r="D121" s="42">
        <v>14.0</v>
      </c>
      <c r="E121" s="43" t="s">
        <v>10</v>
      </c>
      <c r="F121" s="35" t="s">
        <v>11</v>
      </c>
      <c r="G121" s="44" t="s">
        <v>30</v>
      </c>
      <c r="H121" s="45">
        <f t="shared" si="1"/>
        <v>5</v>
      </c>
      <c r="I121" s="58" t="s">
        <v>40</v>
      </c>
    </row>
    <row r="122">
      <c r="A122" s="30">
        <v>45781.0</v>
      </c>
      <c r="B122" s="48" t="s">
        <v>8</v>
      </c>
      <c r="C122" s="32" t="s">
        <v>9</v>
      </c>
      <c r="D122" s="33">
        <v>14.0</v>
      </c>
      <c r="E122" s="34" t="s">
        <v>10</v>
      </c>
      <c r="F122" s="35" t="s">
        <v>11</v>
      </c>
      <c r="G122" s="36" t="s">
        <v>30</v>
      </c>
      <c r="H122" s="45">
        <f t="shared" si="1"/>
        <v>5</v>
      </c>
      <c r="I122" s="61" t="s">
        <v>13</v>
      </c>
    </row>
    <row r="123">
      <c r="A123" s="39">
        <v>45782.0</v>
      </c>
      <c r="B123" s="50" t="s">
        <v>14</v>
      </c>
      <c r="C123" s="41" t="s">
        <v>9</v>
      </c>
      <c r="D123" s="42">
        <v>21.0</v>
      </c>
      <c r="E123" s="43" t="s">
        <v>10</v>
      </c>
      <c r="F123" s="35" t="s">
        <v>11</v>
      </c>
      <c r="G123" s="44" t="s">
        <v>30</v>
      </c>
      <c r="H123" s="45">
        <f t="shared" si="1"/>
        <v>5</v>
      </c>
      <c r="I123" s="63" t="s">
        <v>39</v>
      </c>
    </row>
    <row r="124">
      <c r="A124" s="30">
        <v>45783.0</v>
      </c>
      <c r="B124" s="56" t="s">
        <v>19</v>
      </c>
      <c r="C124" s="32" t="s">
        <v>9</v>
      </c>
      <c r="D124" s="33">
        <v>7.0</v>
      </c>
      <c r="E124" s="34" t="s">
        <v>10</v>
      </c>
      <c r="F124" s="51" t="s">
        <v>15</v>
      </c>
      <c r="G124" s="36" t="s">
        <v>30</v>
      </c>
      <c r="H124" s="45">
        <f t="shared" si="1"/>
        <v>5</v>
      </c>
      <c r="I124" s="64" t="s">
        <v>16</v>
      </c>
    </row>
    <row r="125">
      <c r="A125" s="39">
        <v>45784.0</v>
      </c>
      <c r="B125" s="57" t="s">
        <v>17</v>
      </c>
      <c r="C125" s="41" t="s">
        <v>9</v>
      </c>
      <c r="D125" s="42">
        <v>12.0</v>
      </c>
      <c r="E125" s="43" t="s">
        <v>10</v>
      </c>
      <c r="F125" s="35" t="s">
        <v>11</v>
      </c>
      <c r="G125" s="44" t="s">
        <v>30</v>
      </c>
      <c r="H125" s="45">
        <f t="shared" si="1"/>
        <v>5</v>
      </c>
      <c r="I125" s="66" t="s">
        <v>18</v>
      </c>
    </row>
    <row r="126">
      <c r="A126" s="30">
        <v>45785.0</v>
      </c>
      <c r="B126" s="53" t="s">
        <v>17</v>
      </c>
      <c r="C126" s="70" t="s">
        <v>24</v>
      </c>
      <c r="D126" s="33">
        <v>10.0</v>
      </c>
      <c r="E126" s="34" t="s">
        <v>10</v>
      </c>
      <c r="F126" s="51" t="s">
        <v>15</v>
      </c>
      <c r="G126" s="36" t="s">
        <v>30</v>
      </c>
      <c r="H126" s="45">
        <f t="shared" si="1"/>
        <v>5</v>
      </c>
      <c r="I126" s="61" t="s">
        <v>33</v>
      </c>
    </row>
    <row r="127">
      <c r="A127" s="39">
        <v>45786.0</v>
      </c>
      <c r="B127" s="40" t="s">
        <v>8</v>
      </c>
      <c r="C127" s="62" t="s">
        <v>21</v>
      </c>
      <c r="D127" s="42">
        <v>15.0</v>
      </c>
      <c r="E127" s="43" t="s">
        <v>10</v>
      </c>
      <c r="F127" s="35" t="s">
        <v>11</v>
      </c>
      <c r="G127" s="44" t="s">
        <v>30</v>
      </c>
      <c r="H127" s="45">
        <f t="shared" si="1"/>
        <v>5</v>
      </c>
      <c r="I127" s="69" t="s">
        <v>20</v>
      </c>
    </row>
    <row r="128">
      <c r="A128" s="30">
        <v>45787.0</v>
      </c>
      <c r="B128" s="48" t="s">
        <v>8</v>
      </c>
      <c r="C128" s="59" t="s">
        <v>21</v>
      </c>
      <c r="D128" s="33">
        <v>14.0</v>
      </c>
      <c r="E128" s="34" t="s">
        <v>10</v>
      </c>
      <c r="F128" s="35" t="s">
        <v>11</v>
      </c>
      <c r="G128" s="36" t="s">
        <v>30</v>
      </c>
      <c r="H128" s="45">
        <f t="shared" si="1"/>
        <v>5</v>
      </c>
      <c r="I128" s="71" t="s">
        <v>40</v>
      </c>
    </row>
    <row r="129">
      <c r="A129" s="39">
        <v>45788.0</v>
      </c>
      <c r="B129" s="75" t="s">
        <v>25</v>
      </c>
      <c r="C129" s="41" t="s">
        <v>9</v>
      </c>
      <c r="D129" s="42">
        <v>28.0</v>
      </c>
      <c r="E129" s="43" t="s">
        <v>10</v>
      </c>
      <c r="F129" s="51" t="s">
        <v>15</v>
      </c>
      <c r="G129" s="44" t="s">
        <v>30</v>
      </c>
      <c r="H129" s="45">
        <f t="shared" si="1"/>
        <v>5</v>
      </c>
      <c r="I129" s="46" t="s">
        <v>13</v>
      </c>
    </row>
    <row r="130">
      <c r="A130" s="30">
        <v>45789.0</v>
      </c>
      <c r="B130" s="56" t="s">
        <v>19</v>
      </c>
      <c r="C130" s="32" t="s">
        <v>9</v>
      </c>
      <c r="D130" s="33">
        <v>7.0</v>
      </c>
      <c r="E130" s="34" t="s">
        <v>10</v>
      </c>
      <c r="F130" s="35" t="s">
        <v>11</v>
      </c>
      <c r="G130" s="36" t="s">
        <v>30</v>
      </c>
      <c r="H130" s="45">
        <f t="shared" si="1"/>
        <v>5</v>
      </c>
      <c r="I130" s="49" t="s">
        <v>39</v>
      </c>
    </row>
    <row r="131">
      <c r="A131" s="39">
        <v>45790.0</v>
      </c>
      <c r="B131" s="40" t="s">
        <v>8</v>
      </c>
      <c r="C131" s="41" t="s">
        <v>9</v>
      </c>
      <c r="D131" s="42">
        <v>14.0</v>
      </c>
      <c r="E131" s="43" t="s">
        <v>10</v>
      </c>
      <c r="F131" s="35" t="s">
        <v>11</v>
      </c>
      <c r="G131" s="44" t="s">
        <v>30</v>
      </c>
      <c r="H131" s="45">
        <f t="shared" si="1"/>
        <v>5</v>
      </c>
      <c r="I131" s="52" t="s">
        <v>16</v>
      </c>
    </row>
    <row r="132">
      <c r="A132" s="30">
        <v>45791.0</v>
      </c>
      <c r="B132" s="67" t="s">
        <v>23</v>
      </c>
      <c r="C132" s="32" t="s">
        <v>9</v>
      </c>
      <c r="D132" s="33">
        <v>18.0</v>
      </c>
      <c r="E132" s="34" t="s">
        <v>10</v>
      </c>
      <c r="F132" s="35" t="s">
        <v>11</v>
      </c>
      <c r="G132" s="36" t="s">
        <v>30</v>
      </c>
      <c r="H132" s="45">
        <f t="shared" si="1"/>
        <v>5</v>
      </c>
      <c r="I132" s="54" t="s">
        <v>18</v>
      </c>
    </row>
    <row r="133">
      <c r="A133" s="39">
        <v>45792.0</v>
      </c>
      <c r="B133" s="40" t="s">
        <v>8</v>
      </c>
      <c r="C133" s="41" t="s">
        <v>9</v>
      </c>
      <c r="D133" s="42">
        <v>14.0</v>
      </c>
      <c r="E133" s="43" t="s">
        <v>10</v>
      </c>
      <c r="F133" s="51" t="s">
        <v>15</v>
      </c>
      <c r="G133" s="44" t="s">
        <v>30</v>
      </c>
      <c r="H133" s="45">
        <f t="shared" si="1"/>
        <v>5</v>
      </c>
      <c r="I133" s="46" t="s">
        <v>33</v>
      </c>
    </row>
    <row r="134">
      <c r="A134" s="30">
        <v>45793.0</v>
      </c>
      <c r="B134" s="53" t="s">
        <v>17</v>
      </c>
      <c r="C134" s="70" t="s">
        <v>24</v>
      </c>
      <c r="D134" s="33">
        <v>9.0</v>
      </c>
      <c r="E134" s="34" t="s">
        <v>10</v>
      </c>
      <c r="F134" s="51" t="s">
        <v>15</v>
      </c>
      <c r="G134" s="36" t="s">
        <v>30</v>
      </c>
      <c r="H134" s="45">
        <f t="shared" si="1"/>
        <v>5</v>
      </c>
      <c r="I134" s="38" t="s">
        <v>20</v>
      </c>
    </row>
    <row r="135">
      <c r="A135" s="39">
        <v>45794.0</v>
      </c>
      <c r="B135" s="65" t="s">
        <v>23</v>
      </c>
      <c r="C135" s="41" t="s">
        <v>9</v>
      </c>
      <c r="D135" s="42">
        <v>19.0</v>
      </c>
      <c r="E135" s="43" t="s">
        <v>10</v>
      </c>
      <c r="F135" s="35" t="s">
        <v>11</v>
      </c>
      <c r="G135" s="44" t="s">
        <v>30</v>
      </c>
      <c r="H135" s="45">
        <f t="shared" si="1"/>
        <v>5</v>
      </c>
      <c r="I135" s="58" t="s">
        <v>40</v>
      </c>
    </row>
    <row r="136">
      <c r="A136" s="30">
        <v>45795.0</v>
      </c>
      <c r="B136" s="48" t="s">
        <v>8</v>
      </c>
      <c r="C136" s="32" t="s">
        <v>9</v>
      </c>
      <c r="D136" s="33">
        <v>14.0</v>
      </c>
      <c r="E136" s="34" t="s">
        <v>10</v>
      </c>
      <c r="F136" s="35" t="s">
        <v>11</v>
      </c>
      <c r="G136" s="36" t="s">
        <v>30</v>
      </c>
      <c r="H136" s="45">
        <f t="shared" si="1"/>
        <v>5</v>
      </c>
      <c r="I136" s="61" t="s">
        <v>13</v>
      </c>
    </row>
    <row r="137">
      <c r="A137" s="39">
        <v>45796.0</v>
      </c>
      <c r="B137" s="57" t="s">
        <v>17</v>
      </c>
      <c r="C137" s="41" t="s">
        <v>9</v>
      </c>
      <c r="D137" s="42">
        <v>9.0</v>
      </c>
      <c r="E137" s="43" t="s">
        <v>10</v>
      </c>
      <c r="F137" s="35" t="s">
        <v>11</v>
      </c>
      <c r="G137" s="44" t="s">
        <v>30</v>
      </c>
      <c r="H137" s="45">
        <f t="shared" si="1"/>
        <v>5</v>
      </c>
      <c r="I137" s="63" t="s">
        <v>39</v>
      </c>
    </row>
    <row r="138">
      <c r="A138" s="30">
        <v>45797.0</v>
      </c>
      <c r="B138" s="31" t="s">
        <v>14</v>
      </c>
      <c r="C138" s="32" t="s">
        <v>9</v>
      </c>
      <c r="D138" s="33">
        <v>22.0</v>
      </c>
      <c r="E138" s="34" t="s">
        <v>10</v>
      </c>
      <c r="F138" s="35" t="s">
        <v>11</v>
      </c>
      <c r="G138" s="36" t="s">
        <v>30</v>
      </c>
      <c r="H138" s="45">
        <f t="shared" si="1"/>
        <v>5</v>
      </c>
      <c r="I138" s="64" t="s">
        <v>16</v>
      </c>
    </row>
    <row r="139">
      <c r="A139" s="39">
        <v>45798.0</v>
      </c>
      <c r="B139" s="55" t="s">
        <v>19</v>
      </c>
      <c r="C139" s="41" t="s">
        <v>9</v>
      </c>
      <c r="D139" s="42">
        <v>7.0</v>
      </c>
      <c r="E139" s="43" t="s">
        <v>10</v>
      </c>
      <c r="F139" s="51" t="s">
        <v>15</v>
      </c>
      <c r="G139" s="44" t="s">
        <v>30</v>
      </c>
      <c r="H139" s="45">
        <f t="shared" si="1"/>
        <v>5</v>
      </c>
      <c r="I139" s="66" t="s">
        <v>18</v>
      </c>
    </row>
    <row r="140">
      <c r="A140" s="30">
        <v>45799.0</v>
      </c>
      <c r="B140" s="31" t="s">
        <v>14</v>
      </c>
      <c r="C140" s="32" t="s">
        <v>9</v>
      </c>
      <c r="D140" s="33">
        <v>23.0</v>
      </c>
      <c r="E140" s="34" t="s">
        <v>10</v>
      </c>
      <c r="F140" s="51" t="s">
        <v>15</v>
      </c>
      <c r="G140" s="36" t="s">
        <v>30</v>
      </c>
      <c r="H140" s="45">
        <f t="shared" si="1"/>
        <v>5</v>
      </c>
      <c r="I140" s="61" t="s">
        <v>33</v>
      </c>
    </row>
    <row r="141">
      <c r="A141" s="39">
        <v>45800.0</v>
      </c>
      <c r="B141" s="40" t="s">
        <v>8</v>
      </c>
      <c r="C141" s="41" t="s">
        <v>9</v>
      </c>
      <c r="D141" s="42">
        <v>14.0</v>
      </c>
      <c r="E141" s="43" t="s">
        <v>10</v>
      </c>
      <c r="F141" s="35" t="s">
        <v>11</v>
      </c>
      <c r="G141" s="44" t="s">
        <v>30</v>
      </c>
      <c r="H141" s="45">
        <f t="shared" si="1"/>
        <v>5</v>
      </c>
      <c r="I141" s="69" t="s">
        <v>20</v>
      </c>
    </row>
    <row r="142">
      <c r="A142" s="30">
        <v>45801.0</v>
      </c>
      <c r="B142" s="48" t="s">
        <v>8</v>
      </c>
      <c r="C142" s="32" t="s">
        <v>9</v>
      </c>
      <c r="D142" s="33">
        <v>14.0</v>
      </c>
      <c r="E142" s="34" t="s">
        <v>10</v>
      </c>
      <c r="F142" s="35" t="s">
        <v>11</v>
      </c>
      <c r="G142" s="36" t="s">
        <v>30</v>
      </c>
      <c r="H142" s="45">
        <f t="shared" si="1"/>
        <v>5</v>
      </c>
      <c r="I142" s="71" t="s">
        <v>40</v>
      </c>
    </row>
    <row r="143">
      <c r="A143" s="39">
        <v>45802.0</v>
      </c>
      <c r="B143" s="74" t="s">
        <v>26</v>
      </c>
      <c r="C143" s="41" t="s">
        <v>9</v>
      </c>
      <c r="D143" s="42">
        <v>25.0</v>
      </c>
      <c r="E143" s="76" t="s">
        <v>22</v>
      </c>
      <c r="F143" s="51" t="s">
        <v>15</v>
      </c>
      <c r="G143" s="44" t="s">
        <v>30</v>
      </c>
      <c r="H143" s="45">
        <f t="shared" si="1"/>
        <v>5</v>
      </c>
      <c r="I143" s="46" t="s">
        <v>13</v>
      </c>
    </row>
    <row r="144">
      <c r="A144" s="30">
        <v>45803.0</v>
      </c>
      <c r="B144" s="48" t="s">
        <v>8</v>
      </c>
      <c r="C144" s="70" t="s">
        <v>24</v>
      </c>
      <c r="D144" s="33">
        <v>15.0</v>
      </c>
      <c r="E144" s="34" t="s">
        <v>10</v>
      </c>
      <c r="F144" s="35" t="s">
        <v>11</v>
      </c>
      <c r="G144" s="36" t="s">
        <v>30</v>
      </c>
      <c r="H144" s="45">
        <f t="shared" si="1"/>
        <v>5</v>
      </c>
      <c r="I144" s="49" t="s">
        <v>39</v>
      </c>
    </row>
    <row r="145">
      <c r="A145" s="39">
        <v>45804.0</v>
      </c>
      <c r="B145" s="57" t="s">
        <v>17</v>
      </c>
      <c r="C145" s="41" t="s">
        <v>9</v>
      </c>
      <c r="D145" s="42">
        <v>10.0</v>
      </c>
      <c r="E145" s="43" t="s">
        <v>10</v>
      </c>
      <c r="F145" s="35" t="s">
        <v>11</v>
      </c>
      <c r="G145" s="44" t="s">
        <v>30</v>
      </c>
      <c r="H145" s="45">
        <f t="shared" si="1"/>
        <v>5</v>
      </c>
      <c r="I145" s="52" t="s">
        <v>16</v>
      </c>
    </row>
    <row r="146">
      <c r="A146" s="30">
        <v>45805.0</v>
      </c>
      <c r="B146" s="48" t="s">
        <v>8</v>
      </c>
      <c r="C146" s="32" t="s">
        <v>9</v>
      </c>
      <c r="D146" s="33">
        <v>14.0</v>
      </c>
      <c r="E146" s="34" t="s">
        <v>10</v>
      </c>
      <c r="F146" s="35" t="s">
        <v>11</v>
      </c>
      <c r="G146" s="36" t="s">
        <v>30</v>
      </c>
      <c r="H146" s="45">
        <f t="shared" si="1"/>
        <v>5</v>
      </c>
      <c r="I146" s="54" t="s">
        <v>18</v>
      </c>
    </row>
    <row r="147">
      <c r="A147" s="39">
        <v>45806.0</v>
      </c>
      <c r="B147" s="55" t="s">
        <v>19</v>
      </c>
      <c r="C147" s="41" t="s">
        <v>9</v>
      </c>
      <c r="D147" s="42">
        <v>7.0</v>
      </c>
      <c r="E147" s="43" t="s">
        <v>10</v>
      </c>
      <c r="F147" s="51" t="s">
        <v>15</v>
      </c>
      <c r="G147" s="44" t="s">
        <v>30</v>
      </c>
      <c r="H147" s="45">
        <f t="shared" si="1"/>
        <v>5</v>
      </c>
      <c r="I147" s="46" t="s">
        <v>33</v>
      </c>
    </row>
    <row r="148">
      <c r="A148" s="30">
        <v>45807.0</v>
      </c>
      <c r="B148" s="48" t="s">
        <v>8</v>
      </c>
      <c r="C148" s="59" t="s">
        <v>21</v>
      </c>
      <c r="D148" s="33">
        <v>16.0</v>
      </c>
      <c r="E148" s="34" t="s">
        <v>10</v>
      </c>
      <c r="F148" s="51" t="s">
        <v>15</v>
      </c>
      <c r="G148" s="36" t="s">
        <v>30</v>
      </c>
      <c r="H148" s="45">
        <f t="shared" si="1"/>
        <v>5</v>
      </c>
      <c r="I148" s="38" t="s">
        <v>20</v>
      </c>
    </row>
    <row r="149">
      <c r="A149" s="39">
        <v>45808.0</v>
      </c>
      <c r="B149" s="57" t="s">
        <v>17</v>
      </c>
      <c r="C149" s="41" t="s">
        <v>9</v>
      </c>
      <c r="D149" s="42">
        <v>10.0</v>
      </c>
      <c r="E149" s="43" t="s">
        <v>10</v>
      </c>
      <c r="F149" s="35" t="s">
        <v>11</v>
      </c>
      <c r="G149" s="44" t="s">
        <v>30</v>
      </c>
      <c r="H149" s="45">
        <f t="shared" si="1"/>
        <v>5</v>
      </c>
      <c r="I149" s="58" t="s">
        <v>40</v>
      </c>
    </row>
    <row r="150">
      <c r="A150" s="30">
        <v>45809.0</v>
      </c>
      <c r="B150" s="56" t="s">
        <v>19</v>
      </c>
      <c r="C150" s="32" t="s">
        <v>9</v>
      </c>
      <c r="D150" s="33">
        <v>7.0</v>
      </c>
      <c r="E150" s="34" t="s">
        <v>10</v>
      </c>
      <c r="F150" s="35" t="s">
        <v>11</v>
      </c>
      <c r="G150" s="36" t="s">
        <v>31</v>
      </c>
      <c r="H150" s="45">
        <f t="shared" si="1"/>
        <v>6</v>
      </c>
      <c r="I150" s="61" t="s">
        <v>13</v>
      </c>
    </row>
    <row r="151">
      <c r="A151" s="39">
        <v>45811.0</v>
      </c>
      <c r="B151" s="40" t="s">
        <v>8</v>
      </c>
      <c r="C151" s="41" t="s">
        <v>9</v>
      </c>
      <c r="D151" s="42">
        <v>21.0</v>
      </c>
      <c r="E151" s="43" t="s">
        <v>10</v>
      </c>
      <c r="F151" s="35" t="s">
        <v>11</v>
      </c>
      <c r="G151" s="44" t="s">
        <v>31</v>
      </c>
      <c r="H151" s="45">
        <f t="shared" si="1"/>
        <v>6</v>
      </c>
      <c r="I151" s="52" t="s">
        <v>16</v>
      </c>
    </row>
    <row r="152">
      <c r="A152" s="30">
        <v>45812.0</v>
      </c>
      <c r="B152" s="53" t="s">
        <v>17</v>
      </c>
      <c r="C152" s="32" t="s">
        <v>9</v>
      </c>
      <c r="D152" s="33">
        <v>14.0</v>
      </c>
      <c r="E152" s="34" t="s">
        <v>10</v>
      </c>
      <c r="F152" s="51" t="s">
        <v>15</v>
      </c>
      <c r="G152" s="36" t="s">
        <v>31</v>
      </c>
      <c r="H152" s="45">
        <f t="shared" si="1"/>
        <v>6</v>
      </c>
      <c r="I152" s="54" t="s">
        <v>18</v>
      </c>
    </row>
    <row r="153">
      <c r="A153" s="39">
        <v>45814.0</v>
      </c>
      <c r="B153" s="50" t="s">
        <v>14</v>
      </c>
      <c r="C153" s="68" t="s">
        <v>24</v>
      </c>
      <c r="D153" s="42">
        <v>20.0</v>
      </c>
      <c r="E153" s="43" t="s">
        <v>10</v>
      </c>
      <c r="F153" s="35" t="s">
        <v>11</v>
      </c>
      <c r="G153" s="44" t="s">
        <v>31</v>
      </c>
      <c r="H153" s="45">
        <f t="shared" si="1"/>
        <v>6</v>
      </c>
      <c r="I153" s="69" t="s">
        <v>20</v>
      </c>
    </row>
    <row r="154">
      <c r="A154" s="30">
        <v>45816.0</v>
      </c>
      <c r="B154" s="48" t="s">
        <v>8</v>
      </c>
      <c r="C154" s="32" t="s">
        <v>9</v>
      </c>
      <c r="D154" s="33">
        <v>14.0</v>
      </c>
      <c r="E154" s="34" t="s">
        <v>10</v>
      </c>
      <c r="F154" s="35" t="s">
        <v>11</v>
      </c>
      <c r="G154" s="36" t="s">
        <v>31</v>
      </c>
      <c r="H154" s="45">
        <f t="shared" si="1"/>
        <v>6</v>
      </c>
      <c r="I154" s="61" t="s">
        <v>13</v>
      </c>
    </row>
    <row r="155">
      <c r="A155" s="39">
        <v>45818.0</v>
      </c>
      <c r="B155" s="55" t="s">
        <v>19</v>
      </c>
      <c r="C155" s="41" t="s">
        <v>9</v>
      </c>
      <c r="D155" s="42">
        <v>7.0</v>
      </c>
      <c r="E155" s="43" t="s">
        <v>10</v>
      </c>
      <c r="F155" s="51" t="s">
        <v>15</v>
      </c>
      <c r="G155" s="44" t="s">
        <v>31</v>
      </c>
      <c r="H155" s="45">
        <f t="shared" si="1"/>
        <v>6</v>
      </c>
      <c r="I155" s="52" t="s">
        <v>16</v>
      </c>
    </row>
    <row r="156">
      <c r="A156" s="30">
        <v>45819.0</v>
      </c>
      <c r="B156" s="53" t="s">
        <v>17</v>
      </c>
      <c r="C156" s="32" t="s">
        <v>9</v>
      </c>
      <c r="D156" s="33">
        <v>11.0</v>
      </c>
      <c r="E156" s="34" t="s">
        <v>10</v>
      </c>
      <c r="F156" s="35" t="s">
        <v>11</v>
      </c>
      <c r="G156" s="36" t="s">
        <v>31</v>
      </c>
      <c r="H156" s="45">
        <f t="shared" si="1"/>
        <v>6</v>
      </c>
      <c r="I156" s="54" t="s">
        <v>18</v>
      </c>
    </row>
    <row r="157">
      <c r="A157" s="39">
        <v>45821.0</v>
      </c>
      <c r="B157" s="40" t="s">
        <v>8</v>
      </c>
      <c r="C157" s="41" t="s">
        <v>9</v>
      </c>
      <c r="D157" s="42">
        <v>15.0</v>
      </c>
      <c r="E157" s="43" t="s">
        <v>10</v>
      </c>
      <c r="F157" s="35" t="s">
        <v>11</v>
      </c>
      <c r="G157" s="44" t="s">
        <v>31</v>
      </c>
      <c r="H157" s="45">
        <f t="shared" si="1"/>
        <v>6</v>
      </c>
      <c r="I157" s="69" t="s">
        <v>20</v>
      </c>
    </row>
    <row r="158">
      <c r="A158" s="30">
        <v>45823.0</v>
      </c>
      <c r="B158" s="67" t="s">
        <v>23</v>
      </c>
      <c r="C158" s="32" t="s">
        <v>9</v>
      </c>
      <c r="D158" s="33">
        <v>19.0</v>
      </c>
      <c r="E158" s="34" t="s">
        <v>10</v>
      </c>
      <c r="F158" s="51" t="s">
        <v>15</v>
      </c>
      <c r="G158" s="36" t="s">
        <v>31</v>
      </c>
      <c r="H158" s="45">
        <f t="shared" si="1"/>
        <v>6</v>
      </c>
      <c r="I158" s="61" t="s">
        <v>13</v>
      </c>
    </row>
    <row r="159">
      <c r="A159" s="39">
        <v>45825.0</v>
      </c>
      <c r="B159" s="40" t="s">
        <v>8</v>
      </c>
      <c r="C159" s="62" t="s">
        <v>21</v>
      </c>
      <c r="D159" s="42">
        <v>14.0</v>
      </c>
      <c r="E159" s="43" t="s">
        <v>10</v>
      </c>
      <c r="F159" s="35" t="s">
        <v>11</v>
      </c>
      <c r="G159" s="44" t="s">
        <v>31</v>
      </c>
      <c r="H159" s="45">
        <f t="shared" si="1"/>
        <v>6</v>
      </c>
      <c r="I159" s="52" t="s">
        <v>16</v>
      </c>
    </row>
    <row r="160">
      <c r="A160" s="30">
        <v>45826.0</v>
      </c>
      <c r="B160" s="53" t="s">
        <v>17</v>
      </c>
      <c r="C160" s="70" t="s">
        <v>24</v>
      </c>
      <c r="D160" s="33">
        <v>10.0</v>
      </c>
      <c r="E160" s="34" t="s">
        <v>10</v>
      </c>
      <c r="F160" s="35" t="s">
        <v>11</v>
      </c>
      <c r="G160" s="36" t="s">
        <v>31</v>
      </c>
      <c r="H160" s="45">
        <f t="shared" si="1"/>
        <v>6</v>
      </c>
      <c r="I160" s="54" t="s">
        <v>18</v>
      </c>
    </row>
    <row r="161">
      <c r="A161" s="39">
        <v>45828.0</v>
      </c>
      <c r="B161" s="50" t="s">
        <v>14</v>
      </c>
      <c r="C161" s="41" t="s">
        <v>9</v>
      </c>
      <c r="D161" s="42">
        <v>24.0</v>
      </c>
      <c r="E161" s="43" t="s">
        <v>10</v>
      </c>
      <c r="F161" s="51" t="s">
        <v>15</v>
      </c>
      <c r="G161" s="44" t="s">
        <v>31</v>
      </c>
      <c r="H161" s="45">
        <f t="shared" si="1"/>
        <v>6</v>
      </c>
      <c r="I161" s="69" t="s">
        <v>20</v>
      </c>
    </row>
    <row r="162">
      <c r="A162" s="30">
        <v>45830.0</v>
      </c>
      <c r="B162" s="48" t="s">
        <v>8</v>
      </c>
      <c r="C162" s="32" t="s">
        <v>9</v>
      </c>
      <c r="D162" s="33">
        <v>14.0</v>
      </c>
      <c r="E162" s="34" t="s">
        <v>10</v>
      </c>
      <c r="F162" s="35" t="s">
        <v>11</v>
      </c>
      <c r="G162" s="36" t="s">
        <v>31</v>
      </c>
      <c r="H162" s="45">
        <f t="shared" si="1"/>
        <v>6</v>
      </c>
      <c r="I162" s="61" t="s">
        <v>13</v>
      </c>
    </row>
    <row r="163">
      <c r="A163" s="39">
        <v>45832.0</v>
      </c>
      <c r="B163" s="55" t="s">
        <v>19</v>
      </c>
      <c r="C163" s="41" t="s">
        <v>9</v>
      </c>
      <c r="D163" s="42">
        <v>7.0</v>
      </c>
      <c r="E163" s="43" t="s">
        <v>10</v>
      </c>
      <c r="F163" s="35" t="s">
        <v>11</v>
      </c>
      <c r="G163" s="44" t="s">
        <v>31</v>
      </c>
      <c r="H163" s="45">
        <f t="shared" si="1"/>
        <v>6</v>
      </c>
      <c r="I163" s="52" t="s">
        <v>16</v>
      </c>
    </row>
    <row r="164">
      <c r="A164" s="30">
        <v>45833.0</v>
      </c>
      <c r="B164" s="73" t="s">
        <v>26</v>
      </c>
      <c r="C164" s="32" t="s">
        <v>9</v>
      </c>
      <c r="D164" s="33">
        <v>22.0</v>
      </c>
      <c r="E164" s="34" t="s">
        <v>10</v>
      </c>
      <c r="F164" s="51" t="s">
        <v>15</v>
      </c>
      <c r="G164" s="36" t="s">
        <v>31</v>
      </c>
      <c r="H164" s="45">
        <f t="shared" si="1"/>
        <v>6</v>
      </c>
      <c r="I164" s="54" t="s">
        <v>18</v>
      </c>
    </row>
    <row r="165">
      <c r="A165" s="39">
        <v>45835.0</v>
      </c>
      <c r="B165" s="40" t="s">
        <v>8</v>
      </c>
      <c r="C165" s="41" t="s">
        <v>9</v>
      </c>
      <c r="D165" s="42">
        <v>14.0</v>
      </c>
      <c r="E165" s="43" t="s">
        <v>10</v>
      </c>
      <c r="F165" s="35" t="s">
        <v>11</v>
      </c>
      <c r="G165" s="44" t="s">
        <v>31</v>
      </c>
      <c r="H165" s="45">
        <f t="shared" si="1"/>
        <v>6</v>
      </c>
      <c r="I165" s="69" t="s">
        <v>20</v>
      </c>
    </row>
    <row r="166">
      <c r="A166" s="30">
        <v>45837.0</v>
      </c>
      <c r="B166" s="53" t="s">
        <v>17</v>
      </c>
      <c r="C166" s="32" t="s">
        <v>9</v>
      </c>
      <c r="D166" s="33">
        <v>9.0</v>
      </c>
      <c r="E166" s="34" t="s">
        <v>10</v>
      </c>
      <c r="F166" s="35" t="s">
        <v>11</v>
      </c>
      <c r="G166" s="36" t="s">
        <v>31</v>
      </c>
      <c r="H166" s="45">
        <f t="shared" si="1"/>
        <v>6</v>
      </c>
      <c r="I166" s="61" t="s">
        <v>13</v>
      </c>
    </row>
    <row r="167">
      <c r="A167" s="39">
        <v>45839.0</v>
      </c>
      <c r="B167" s="40" t="s">
        <v>8</v>
      </c>
      <c r="C167" s="41" t="s">
        <v>9</v>
      </c>
      <c r="D167" s="42">
        <v>21.0</v>
      </c>
      <c r="E167" s="43" t="s">
        <v>10</v>
      </c>
      <c r="F167" s="51" t="s">
        <v>15</v>
      </c>
      <c r="G167" s="44" t="s">
        <v>32</v>
      </c>
      <c r="H167" s="45">
        <f t="shared" si="1"/>
        <v>7</v>
      </c>
      <c r="I167" s="52" t="s">
        <v>16</v>
      </c>
    </row>
    <row r="168">
      <c r="A168" s="30">
        <v>45841.0</v>
      </c>
      <c r="B168" s="31" t="s">
        <v>14</v>
      </c>
      <c r="C168" s="32" t="s">
        <v>9</v>
      </c>
      <c r="D168" s="33">
        <v>28.0</v>
      </c>
      <c r="E168" s="60" t="s">
        <v>22</v>
      </c>
      <c r="F168" s="35" t="s">
        <v>11</v>
      </c>
      <c r="G168" s="36" t="s">
        <v>32</v>
      </c>
      <c r="H168" s="45">
        <f t="shared" si="1"/>
        <v>7</v>
      </c>
      <c r="I168" s="61" t="s">
        <v>33</v>
      </c>
    </row>
    <row r="169">
      <c r="A169" s="39">
        <v>45844.0</v>
      </c>
      <c r="B169" s="55" t="s">
        <v>19</v>
      </c>
      <c r="C169" s="41" t="s">
        <v>9</v>
      </c>
      <c r="D169" s="42">
        <v>7.0</v>
      </c>
      <c r="E169" s="43" t="s">
        <v>10</v>
      </c>
      <c r="F169" s="35" t="s">
        <v>11</v>
      </c>
      <c r="G169" s="44" t="s">
        <v>32</v>
      </c>
      <c r="H169" s="45">
        <f t="shared" si="1"/>
        <v>7</v>
      </c>
      <c r="I169" s="46" t="s">
        <v>13</v>
      </c>
    </row>
    <row r="170">
      <c r="A170" s="30">
        <v>45846.0</v>
      </c>
      <c r="B170" s="53" t="s">
        <v>17</v>
      </c>
      <c r="C170" s="32" t="s">
        <v>9</v>
      </c>
      <c r="D170" s="33">
        <v>14.0</v>
      </c>
      <c r="E170" s="34" t="s">
        <v>10</v>
      </c>
      <c r="F170" s="51" t="s">
        <v>15</v>
      </c>
      <c r="G170" s="36" t="s">
        <v>32</v>
      </c>
      <c r="H170" s="45">
        <f t="shared" si="1"/>
        <v>7</v>
      </c>
      <c r="I170" s="64" t="s">
        <v>16</v>
      </c>
    </row>
    <row r="171">
      <c r="A171" s="39">
        <v>45848.0</v>
      </c>
      <c r="B171" s="40" t="s">
        <v>8</v>
      </c>
      <c r="C171" s="68" t="s">
        <v>24</v>
      </c>
      <c r="D171" s="42">
        <v>15.0</v>
      </c>
      <c r="E171" s="43" t="s">
        <v>10</v>
      </c>
      <c r="F171" s="35" t="s">
        <v>11</v>
      </c>
      <c r="G171" s="44" t="s">
        <v>32</v>
      </c>
      <c r="H171" s="45">
        <f t="shared" si="1"/>
        <v>7</v>
      </c>
      <c r="I171" s="46" t="s">
        <v>33</v>
      </c>
    </row>
    <row r="172">
      <c r="A172" s="30">
        <v>45851.0</v>
      </c>
      <c r="B172" s="48" t="s">
        <v>8</v>
      </c>
      <c r="C172" s="32" t="s">
        <v>9</v>
      </c>
      <c r="D172" s="33">
        <v>21.0</v>
      </c>
      <c r="E172" s="34" t="s">
        <v>10</v>
      </c>
      <c r="F172" s="35" t="s">
        <v>11</v>
      </c>
      <c r="G172" s="36" t="s">
        <v>32</v>
      </c>
      <c r="H172" s="45">
        <f t="shared" si="1"/>
        <v>7</v>
      </c>
      <c r="I172" s="61" t="s">
        <v>13</v>
      </c>
    </row>
    <row r="173">
      <c r="A173" s="39">
        <v>45853.0</v>
      </c>
      <c r="B173" s="57" t="s">
        <v>17</v>
      </c>
      <c r="C173" s="41" t="s">
        <v>9</v>
      </c>
      <c r="D173" s="42">
        <v>12.0</v>
      </c>
      <c r="E173" s="43" t="s">
        <v>10</v>
      </c>
      <c r="F173" s="51" t="s">
        <v>15</v>
      </c>
      <c r="G173" s="44" t="s">
        <v>32</v>
      </c>
      <c r="H173" s="45">
        <f t="shared" si="1"/>
        <v>7</v>
      </c>
      <c r="I173" s="52" t="s">
        <v>16</v>
      </c>
    </row>
    <row r="174">
      <c r="A174" s="30">
        <v>45855.0</v>
      </c>
      <c r="B174" s="67" t="s">
        <v>23</v>
      </c>
      <c r="C174" s="32" t="s">
        <v>9</v>
      </c>
      <c r="D174" s="33">
        <v>20.0</v>
      </c>
      <c r="E174" s="34" t="s">
        <v>10</v>
      </c>
      <c r="F174" s="35" t="s">
        <v>11</v>
      </c>
      <c r="G174" s="36" t="s">
        <v>32</v>
      </c>
      <c r="H174" s="45">
        <f t="shared" si="1"/>
        <v>7</v>
      </c>
      <c r="I174" s="61" t="s">
        <v>33</v>
      </c>
    </row>
    <row r="175">
      <c r="A175" s="39">
        <v>45858.0</v>
      </c>
      <c r="B175" s="40" t="s">
        <v>8</v>
      </c>
      <c r="C175" s="62" t="s">
        <v>21</v>
      </c>
      <c r="D175" s="42">
        <v>14.0</v>
      </c>
      <c r="E175" s="43" t="s">
        <v>10</v>
      </c>
      <c r="F175" s="35" t="s">
        <v>11</v>
      </c>
      <c r="G175" s="44" t="s">
        <v>32</v>
      </c>
      <c r="H175" s="45">
        <f t="shared" si="1"/>
        <v>7</v>
      </c>
      <c r="I175" s="46" t="s">
        <v>13</v>
      </c>
    </row>
    <row r="176">
      <c r="A176" s="30">
        <v>45860.0</v>
      </c>
      <c r="B176" s="56" t="s">
        <v>19</v>
      </c>
      <c r="C176" s="32" t="s">
        <v>9</v>
      </c>
      <c r="D176" s="33">
        <v>7.0</v>
      </c>
      <c r="E176" s="34" t="s">
        <v>10</v>
      </c>
      <c r="F176" s="51" t="s">
        <v>15</v>
      </c>
      <c r="G176" s="36" t="s">
        <v>32</v>
      </c>
      <c r="H176" s="45">
        <f t="shared" si="1"/>
        <v>7</v>
      </c>
      <c r="I176" s="64" t="s">
        <v>16</v>
      </c>
    </row>
    <row r="177">
      <c r="A177" s="39">
        <v>45862.0</v>
      </c>
      <c r="B177" s="40" t="s">
        <v>8</v>
      </c>
      <c r="C177" s="41" t="s">
        <v>9</v>
      </c>
      <c r="D177" s="42">
        <v>21.0</v>
      </c>
      <c r="E177" s="43" t="s">
        <v>10</v>
      </c>
      <c r="F177" s="35" t="s">
        <v>11</v>
      </c>
      <c r="G177" s="44" t="s">
        <v>32</v>
      </c>
      <c r="H177" s="45">
        <f t="shared" si="1"/>
        <v>7</v>
      </c>
      <c r="I177" s="46" t="s">
        <v>33</v>
      </c>
    </row>
    <row r="178">
      <c r="A178" s="30">
        <v>45865.0</v>
      </c>
      <c r="B178" s="53" t="s">
        <v>17</v>
      </c>
      <c r="C178" s="32" t="s">
        <v>9</v>
      </c>
      <c r="D178" s="33">
        <v>10.0</v>
      </c>
      <c r="E178" s="34" t="s">
        <v>10</v>
      </c>
      <c r="F178" s="35" t="s">
        <v>11</v>
      </c>
      <c r="G178" s="36" t="s">
        <v>32</v>
      </c>
      <c r="H178" s="45">
        <f t="shared" si="1"/>
        <v>7</v>
      </c>
      <c r="I178" s="61" t="s">
        <v>13</v>
      </c>
    </row>
    <row r="179">
      <c r="A179" s="39">
        <v>45867.0</v>
      </c>
      <c r="B179" s="50" t="s">
        <v>14</v>
      </c>
      <c r="C179" s="41" t="s">
        <v>9</v>
      </c>
      <c r="D179" s="42">
        <v>25.0</v>
      </c>
      <c r="E179" s="43" t="s">
        <v>10</v>
      </c>
      <c r="F179" s="51" t="s">
        <v>15</v>
      </c>
      <c r="G179" s="44" t="s">
        <v>32</v>
      </c>
      <c r="H179" s="45">
        <f t="shared" si="1"/>
        <v>7</v>
      </c>
      <c r="I179" s="52" t="s">
        <v>16</v>
      </c>
    </row>
    <row r="180">
      <c r="A180" s="30">
        <v>45869.0</v>
      </c>
      <c r="B180" s="48" t="s">
        <v>8</v>
      </c>
      <c r="C180" s="32" t="s">
        <v>9</v>
      </c>
      <c r="D180" s="33">
        <v>14.0</v>
      </c>
      <c r="E180" s="34" t="s">
        <v>10</v>
      </c>
      <c r="F180" s="35" t="s">
        <v>11</v>
      </c>
      <c r="G180" s="36" t="s">
        <v>32</v>
      </c>
      <c r="H180" s="45">
        <f t="shared" si="1"/>
        <v>7</v>
      </c>
      <c r="I180" s="61" t="s">
        <v>33</v>
      </c>
    </row>
    <row r="181">
      <c r="A181" s="39">
        <v>45872.0</v>
      </c>
      <c r="B181" s="55" t="s">
        <v>19</v>
      </c>
      <c r="C181" s="41" t="s">
        <v>9</v>
      </c>
      <c r="D181" s="42">
        <v>7.0</v>
      </c>
      <c r="E181" s="43" t="s">
        <v>10</v>
      </c>
      <c r="F181" s="35" t="s">
        <v>11</v>
      </c>
      <c r="G181" s="44" t="s">
        <v>34</v>
      </c>
      <c r="H181" s="45">
        <f t="shared" si="1"/>
        <v>8</v>
      </c>
      <c r="I181" s="46" t="s">
        <v>13</v>
      </c>
    </row>
    <row r="182">
      <c r="A182" s="30">
        <v>45874.0</v>
      </c>
      <c r="B182" s="48" t="s">
        <v>8</v>
      </c>
      <c r="C182" s="32" t="s">
        <v>9</v>
      </c>
      <c r="D182" s="33">
        <v>28.0</v>
      </c>
      <c r="E182" s="60" t="s">
        <v>22</v>
      </c>
      <c r="F182" s="51" t="s">
        <v>15</v>
      </c>
      <c r="G182" s="36" t="s">
        <v>34</v>
      </c>
      <c r="H182" s="45">
        <f t="shared" si="1"/>
        <v>8</v>
      </c>
      <c r="I182" s="64" t="s">
        <v>16</v>
      </c>
    </row>
    <row r="183">
      <c r="A183" s="39">
        <v>45876.0</v>
      </c>
      <c r="B183" s="57" t="s">
        <v>17</v>
      </c>
      <c r="C183" s="68" t="s">
        <v>24</v>
      </c>
      <c r="D183" s="42">
        <v>14.0</v>
      </c>
      <c r="E183" s="43" t="s">
        <v>10</v>
      </c>
      <c r="F183" s="35" t="s">
        <v>11</v>
      </c>
      <c r="G183" s="44" t="s">
        <v>34</v>
      </c>
      <c r="H183" s="45">
        <f t="shared" si="1"/>
        <v>8</v>
      </c>
      <c r="I183" s="46" t="s">
        <v>33</v>
      </c>
    </row>
    <row r="184">
      <c r="A184" s="30">
        <v>45879.0</v>
      </c>
      <c r="B184" s="48" t="s">
        <v>8</v>
      </c>
      <c r="C184" s="32" t="s">
        <v>9</v>
      </c>
      <c r="D184" s="33">
        <v>21.0</v>
      </c>
      <c r="E184" s="34" t="s">
        <v>10</v>
      </c>
      <c r="F184" s="35" t="s">
        <v>11</v>
      </c>
      <c r="G184" s="36" t="s">
        <v>34</v>
      </c>
      <c r="H184" s="45">
        <f t="shared" si="1"/>
        <v>8</v>
      </c>
      <c r="I184" s="61" t="s">
        <v>13</v>
      </c>
    </row>
    <row r="185">
      <c r="A185" s="39">
        <v>45881.0</v>
      </c>
      <c r="B185" s="50" t="s">
        <v>14</v>
      </c>
      <c r="C185" s="41" t="s">
        <v>9</v>
      </c>
      <c r="D185" s="42">
        <v>23.0</v>
      </c>
      <c r="E185" s="43" t="s">
        <v>10</v>
      </c>
      <c r="F185" s="51" t="s">
        <v>15</v>
      </c>
      <c r="G185" s="44" t="s">
        <v>34</v>
      </c>
      <c r="H185" s="45">
        <f t="shared" si="1"/>
        <v>8</v>
      </c>
      <c r="I185" s="52" t="s">
        <v>16</v>
      </c>
    </row>
    <row r="186">
      <c r="A186" s="30">
        <v>45883.0</v>
      </c>
      <c r="B186" s="53" t="s">
        <v>17</v>
      </c>
      <c r="C186" s="32" t="s">
        <v>9</v>
      </c>
      <c r="D186" s="33">
        <v>11.0</v>
      </c>
      <c r="E186" s="34" t="s">
        <v>10</v>
      </c>
      <c r="F186" s="35" t="s">
        <v>11</v>
      </c>
      <c r="G186" s="36" t="s">
        <v>34</v>
      </c>
      <c r="H186" s="45">
        <f t="shared" si="1"/>
        <v>8</v>
      </c>
      <c r="I186" s="61" t="s">
        <v>33</v>
      </c>
    </row>
    <row r="187">
      <c r="A187" s="39">
        <v>45886.0</v>
      </c>
      <c r="B187" s="40" t="s">
        <v>8</v>
      </c>
      <c r="C187" s="41" t="s">
        <v>9</v>
      </c>
      <c r="D187" s="42">
        <v>14.0</v>
      </c>
      <c r="E187" s="43" t="s">
        <v>10</v>
      </c>
      <c r="F187" s="35" t="s">
        <v>11</v>
      </c>
      <c r="G187" s="44" t="s">
        <v>34</v>
      </c>
      <c r="H187" s="45">
        <f t="shared" si="1"/>
        <v>8</v>
      </c>
      <c r="I187" s="46" t="s">
        <v>13</v>
      </c>
    </row>
    <row r="188">
      <c r="A188" s="30">
        <v>45888.0</v>
      </c>
      <c r="B188" s="56" t="s">
        <v>19</v>
      </c>
      <c r="C188" s="32" t="s">
        <v>9</v>
      </c>
      <c r="D188" s="33">
        <v>7.0</v>
      </c>
      <c r="E188" s="34" t="s">
        <v>10</v>
      </c>
      <c r="F188" s="51" t="s">
        <v>15</v>
      </c>
      <c r="G188" s="36" t="s">
        <v>34</v>
      </c>
      <c r="H188" s="45">
        <f t="shared" si="1"/>
        <v>8</v>
      </c>
      <c r="I188" s="64" t="s">
        <v>16</v>
      </c>
    </row>
    <row r="189">
      <c r="A189" s="39">
        <v>45890.0</v>
      </c>
      <c r="B189" s="74" t="s">
        <v>26</v>
      </c>
      <c r="C189" s="62" t="s">
        <v>21</v>
      </c>
      <c r="D189" s="42">
        <v>26.0</v>
      </c>
      <c r="E189" s="43" t="s">
        <v>10</v>
      </c>
      <c r="F189" s="35" t="s">
        <v>11</v>
      </c>
      <c r="G189" s="44" t="s">
        <v>34</v>
      </c>
      <c r="H189" s="45">
        <f t="shared" si="1"/>
        <v>8</v>
      </c>
      <c r="I189" s="46" t="s">
        <v>33</v>
      </c>
    </row>
    <row r="190">
      <c r="A190" s="30">
        <v>45893.0</v>
      </c>
      <c r="B190" s="48" t="s">
        <v>8</v>
      </c>
      <c r="C190" s="32" t="s">
        <v>9</v>
      </c>
      <c r="D190" s="33">
        <v>21.0</v>
      </c>
      <c r="E190" s="34" t="s">
        <v>10</v>
      </c>
      <c r="F190" s="35" t="s">
        <v>11</v>
      </c>
      <c r="G190" s="36" t="s">
        <v>34</v>
      </c>
      <c r="H190" s="45">
        <f t="shared" si="1"/>
        <v>8</v>
      </c>
      <c r="I190" s="61" t="s">
        <v>13</v>
      </c>
    </row>
    <row r="191">
      <c r="A191" s="39">
        <v>45895.0</v>
      </c>
      <c r="B191" s="57" t="s">
        <v>17</v>
      </c>
      <c r="C191" s="41" t="s">
        <v>9</v>
      </c>
      <c r="D191" s="42">
        <v>10.0</v>
      </c>
      <c r="E191" s="43" t="s">
        <v>10</v>
      </c>
      <c r="F191" s="51" t="s">
        <v>15</v>
      </c>
      <c r="G191" s="44" t="s">
        <v>34</v>
      </c>
      <c r="H191" s="45">
        <f t="shared" si="1"/>
        <v>8</v>
      </c>
      <c r="I191" s="52" t="s">
        <v>16</v>
      </c>
    </row>
    <row r="192">
      <c r="A192" s="30">
        <v>45897.0</v>
      </c>
      <c r="B192" s="48" t="s">
        <v>8</v>
      </c>
      <c r="C192" s="70" t="s">
        <v>24</v>
      </c>
      <c r="D192" s="33">
        <v>14.0</v>
      </c>
      <c r="E192" s="34" t="s">
        <v>10</v>
      </c>
      <c r="F192" s="35" t="s">
        <v>11</v>
      </c>
      <c r="G192" s="36" t="s">
        <v>34</v>
      </c>
      <c r="H192" s="45">
        <f t="shared" si="1"/>
        <v>8</v>
      </c>
      <c r="I192" s="61" t="s">
        <v>33</v>
      </c>
    </row>
    <row r="193">
      <c r="A193" s="39">
        <v>45900.0</v>
      </c>
      <c r="B193" s="65" t="s">
        <v>23</v>
      </c>
      <c r="C193" s="41" t="s">
        <v>9</v>
      </c>
      <c r="D193" s="42">
        <v>19.0</v>
      </c>
      <c r="E193" s="43" t="s">
        <v>10</v>
      </c>
      <c r="F193" s="35" t="s">
        <v>11</v>
      </c>
      <c r="G193" s="44" t="s">
        <v>34</v>
      </c>
      <c r="H193" s="45">
        <f t="shared" si="1"/>
        <v>8</v>
      </c>
      <c r="I193" s="46" t="s">
        <v>13</v>
      </c>
    </row>
    <row r="194">
      <c r="A194" s="30">
        <v>45902.0</v>
      </c>
      <c r="B194" s="48" t="s">
        <v>8</v>
      </c>
      <c r="C194" s="32" t="s">
        <v>9</v>
      </c>
      <c r="D194" s="33">
        <v>14.0</v>
      </c>
      <c r="E194" s="34" t="s">
        <v>10</v>
      </c>
      <c r="F194" s="51" t="s">
        <v>15</v>
      </c>
      <c r="G194" s="36" t="s">
        <v>35</v>
      </c>
      <c r="H194" s="45">
        <f t="shared" si="1"/>
        <v>9</v>
      </c>
      <c r="I194" s="64" t="s">
        <v>16</v>
      </c>
    </row>
    <row r="195">
      <c r="A195" s="39">
        <v>45903.0</v>
      </c>
      <c r="B195" s="57" t="s">
        <v>17</v>
      </c>
      <c r="C195" s="41" t="s">
        <v>9</v>
      </c>
      <c r="D195" s="42">
        <v>9.0</v>
      </c>
      <c r="E195" s="43" t="s">
        <v>10</v>
      </c>
      <c r="F195" s="35" t="s">
        <v>11</v>
      </c>
      <c r="G195" s="44" t="s">
        <v>35</v>
      </c>
      <c r="H195" s="45">
        <f t="shared" si="1"/>
        <v>9</v>
      </c>
      <c r="I195" s="66" t="s">
        <v>18</v>
      </c>
    </row>
    <row r="196">
      <c r="A196" s="30">
        <v>45905.0</v>
      </c>
      <c r="B196" s="31" t="s">
        <v>14</v>
      </c>
      <c r="C196" s="32" t="s">
        <v>9</v>
      </c>
      <c r="D196" s="33">
        <v>21.0</v>
      </c>
      <c r="E196" s="34" t="s">
        <v>10</v>
      </c>
      <c r="F196" s="35" t="s">
        <v>11</v>
      </c>
      <c r="G196" s="36" t="s">
        <v>35</v>
      </c>
      <c r="H196" s="45">
        <f t="shared" si="1"/>
        <v>9</v>
      </c>
      <c r="I196" s="38" t="s">
        <v>20</v>
      </c>
    </row>
    <row r="197">
      <c r="A197" s="39">
        <v>45907.0</v>
      </c>
      <c r="B197" s="40" t="s">
        <v>8</v>
      </c>
      <c r="C197" s="62" t="s">
        <v>21</v>
      </c>
      <c r="D197" s="42">
        <v>14.0</v>
      </c>
      <c r="E197" s="43" t="s">
        <v>10</v>
      </c>
      <c r="F197" s="51" t="s">
        <v>15</v>
      </c>
      <c r="G197" s="44" t="s">
        <v>35</v>
      </c>
      <c r="H197" s="45">
        <f t="shared" si="1"/>
        <v>9</v>
      </c>
      <c r="I197" s="46" t="s">
        <v>13</v>
      </c>
    </row>
    <row r="198">
      <c r="A198" s="30">
        <v>45909.0</v>
      </c>
      <c r="B198" s="56" t="s">
        <v>19</v>
      </c>
      <c r="C198" s="32" t="s">
        <v>9</v>
      </c>
      <c r="D198" s="33">
        <v>7.0</v>
      </c>
      <c r="E198" s="34" t="s">
        <v>10</v>
      </c>
      <c r="F198" s="35" t="s">
        <v>11</v>
      </c>
      <c r="G198" s="36" t="s">
        <v>35</v>
      </c>
      <c r="H198" s="45">
        <f t="shared" si="1"/>
        <v>9</v>
      </c>
      <c r="I198" s="64" t="s">
        <v>16</v>
      </c>
    </row>
    <row r="199">
      <c r="A199" s="39">
        <v>45910.0</v>
      </c>
      <c r="B199" s="57" t="s">
        <v>17</v>
      </c>
      <c r="C199" s="68" t="s">
        <v>24</v>
      </c>
      <c r="D199" s="42">
        <v>12.0</v>
      </c>
      <c r="E199" s="43" t="s">
        <v>10</v>
      </c>
      <c r="F199" s="35" t="s">
        <v>11</v>
      </c>
      <c r="G199" s="44" t="s">
        <v>35</v>
      </c>
      <c r="H199" s="45">
        <f t="shared" si="1"/>
        <v>9</v>
      </c>
      <c r="I199" s="66" t="s">
        <v>18</v>
      </c>
    </row>
    <row r="200">
      <c r="A200" s="30">
        <v>45912.0</v>
      </c>
      <c r="B200" s="48" t="s">
        <v>8</v>
      </c>
      <c r="C200" s="32" t="s">
        <v>9</v>
      </c>
      <c r="D200" s="33">
        <v>14.0</v>
      </c>
      <c r="E200" s="34" t="s">
        <v>10</v>
      </c>
      <c r="F200" s="51" t="s">
        <v>15</v>
      </c>
      <c r="G200" s="36" t="s">
        <v>35</v>
      </c>
      <c r="H200" s="45">
        <f t="shared" si="1"/>
        <v>9</v>
      </c>
      <c r="I200" s="38" t="s">
        <v>20</v>
      </c>
    </row>
    <row r="201">
      <c r="A201" s="39">
        <v>45914.0</v>
      </c>
      <c r="B201" s="40" t="s">
        <v>8</v>
      </c>
      <c r="C201" s="41" t="s">
        <v>9</v>
      </c>
      <c r="D201" s="42">
        <v>16.0</v>
      </c>
      <c r="E201" s="76" t="s">
        <v>22</v>
      </c>
      <c r="F201" s="35" t="s">
        <v>11</v>
      </c>
      <c r="G201" s="44" t="s">
        <v>35</v>
      </c>
      <c r="H201" s="45">
        <f t="shared" si="1"/>
        <v>9</v>
      </c>
      <c r="I201" s="46" t="s">
        <v>13</v>
      </c>
    </row>
    <row r="202">
      <c r="A202" s="30">
        <v>45916.0</v>
      </c>
      <c r="B202" s="67" t="s">
        <v>23</v>
      </c>
      <c r="C202" s="32" t="s">
        <v>9</v>
      </c>
      <c r="D202" s="33">
        <v>18.0</v>
      </c>
      <c r="E202" s="34" t="s">
        <v>10</v>
      </c>
      <c r="F202" s="51" t="s">
        <v>15</v>
      </c>
      <c r="G202" s="36" t="s">
        <v>35</v>
      </c>
      <c r="H202" s="45">
        <f t="shared" si="1"/>
        <v>9</v>
      </c>
      <c r="I202" s="64" t="s">
        <v>16</v>
      </c>
    </row>
    <row r="203">
      <c r="A203" s="39">
        <v>45917.0</v>
      </c>
      <c r="B203" s="57" t="s">
        <v>17</v>
      </c>
      <c r="C203" s="41" t="s">
        <v>9</v>
      </c>
      <c r="D203" s="42">
        <v>10.0</v>
      </c>
      <c r="E203" s="43" t="s">
        <v>10</v>
      </c>
      <c r="F203" s="35" t="s">
        <v>11</v>
      </c>
      <c r="G203" s="44" t="s">
        <v>35</v>
      </c>
      <c r="H203" s="45">
        <f t="shared" si="1"/>
        <v>9</v>
      </c>
      <c r="I203" s="66" t="s">
        <v>18</v>
      </c>
    </row>
    <row r="204">
      <c r="A204" s="30">
        <v>45919.0</v>
      </c>
      <c r="B204" s="31" t="s">
        <v>14</v>
      </c>
      <c r="C204" s="32" t="s">
        <v>9</v>
      </c>
      <c r="D204" s="33">
        <v>22.0</v>
      </c>
      <c r="E204" s="34" t="s">
        <v>10</v>
      </c>
      <c r="F204" s="35" t="s">
        <v>11</v>
      </c>
      <c r="G204" s="36" t="s">
        <v>35</v>
      </c>
      <c r="H204" s="45">
        <f t="shared" si="1"/>
        <v>9</v>
      </c>
      <c r="I204" s="38" t="s">
        <v>20</v>
      </c>
    </row>
    <row r="205">
      <c r="A205" s="39">
        <v>45921.0</v>
      </c>
      <c r="B205" s="40" t="s">
        <v>8</v>
      </c>
      <c r="C205" s="41" t="s">
        <v>9</v>
      </c>
      <c r="D205" s="42">
        <v>14.0</v>
      </c>
      <c r="E205" s="43" t="s">
        <v>10</v>
      </c>
      <c r="F205" s="51" t="s">
        <v>15</v>
      </c>
      <c r="G205" s="44" t="s">
        <v>35</v>
      </c>
      <c r="H205" s="45">
        <f t="shared" si="1"/>
        <v>9</v>
      </c>
      <c r="I205" s="46" t="s">
        <v>13</v>
      </c>
    </row>
    <row r="206">
      <c r="A206" s="30">
        <v>45923.0</v>
      </c>
      <c r="B206" s="56" t="s">
        <v>19</v>
      </c>
      <c r="C206" s="32" t="s">
        <v>9</v>
      </c>
      <c r="D206" s="33">
        <v>7.0</v>
      </c>
      <c r="E206" s="34" t="s">
        <v>10</v>
      </c>
      <c r="F206" s="35" t="s">
        <v>11</v>
      </c>
      <c r="G206" s="36" t="s">
        <v>35</v>
      </c>
      <c r="H206" s="45">
        <f t="shared" si="1"/>
        <v>9</v>
      </c>
      <c r="I206" s="64" t="s">
        <v>16</v>
      </c>
    </row>
    <row r="207">
      <c r="A207" s="39">
        <v>45924.0</v>
      </c>
      <c r="B207" s="40" t="s">
        <v>8</v>
      </c>
      <c r="C207" s="68" t="s">
        <v>24</v>
      </c>
      <c r="D207" s="42">
        <v>14.0</v>
      </c>
      <c r="E207" s="43" t="s">
        <v>10</v>
      </c>
      <c r="F207" s="35" t="s">
        <v>11</v>
      </c>
      <c r="G207" s="44" t="s">
        <v>35</v>
      </c>
      <c r="H207" s="45">
        <f t="shared" si="1"/>
        <v>9</v>
      </c>
      <c r="I207" s="66" t="s">
        <v>18</v>
      </c>
    </row>
    <row r="208">
      <c r="A208" s="30">
        <v>45926.0</v>
      </c>
      <c r="B208" s="73" t="s">
        <v>26</v>
      </c>
      <c r="C208" s="32" t="s">
        <v>9</v>
      </c>
      <c r="D208" s="33">
        <v>24.0</v>
      </c>
      <c r="E208" s="34" t="s">
        <v>10</v>
      </c>
      <c r="F208" s="51" t="s">
        <v>15</v>
      </c>
      <c r="G208" s="36" t="s">
        <v>35</v>
      </c>
      <c r="H208" s="45">
        <f t="shared" si="1"/>
        <v>9</v>
      </c>
      <c r="I208" s="38" t="s">
        <v>20</v>
      </c>
    </row>
    <row r="209">
      <c r="A209" s="39">
        <v>45928.0</v>
      </c>
      <c r="B209" s="57" t="s">
        <v>17</v>
      </c>
      <c r="C209" s="41" t="s">
        <v>9</v>
      </c>
      <c r="D209" s="42">
        <v>9.0</v>
      </c>
      <c r="E209" s="43" t="s">
        <v>10</v>
      </c>
      <c r="F209" s="35" t="s">
        <v>11</v>
      </c>
      <c r="G209" s="44" t="s">
        <v>35</v>
      </c>
      <c r="H209" s="45">
        <f t="shared" si="1"/>
        <v>9</v>
      </c>
      <c r="I209" s="46" t="s">
        <v>13</v>
      </c>
    </row>
    <row r="210">
      <c r="A210" s="30">
        <v>45930.0</v>
      </c>
      <c r="B210" s="48" t="s">
        <v>8</v>
      </c>
      <c r="C210" s="32" t="s">
        <v>9</v>
      </c>
      <c r="D210" s="33">
        <v>14.0</v>
      </c>
      <c r="E210" s="34" t="s">
        <v>10</v>
      </c>
      <c r="F210" s="35" t="s">
        <v>11</v>
      </c>
      <c r="G210" s="36" t="s">
        <v>35</v>
      </c>
      <c r="H210" s="45">
        <f t="shared" si="1"/>
        <v>9</v>
      </c>
      <c r="I210" s="64" t="s">
        <v>16</v>
      </c>
    </row>
    <row r="211">
      <c r="A211" s="39">
        <v>45931.0</v>
      </c>
      <c r="B211" s="50" t="s">
        <v>14</v>
      </c>
      <c r="C211" s="41" t="s">
        <v>9</v>
      </c>
      <c r="D211" s="42">
        <v>21.0</v>
      </c>
      <c r="E211" s="43" t="s">
        <v>10</v>
      </c>
      <c r="F211" s="51" t="s">
        <v>15</v>
      </c>
      <c r="G211" s="44" t="s">
        <v>36</v>
      </c>
      <c r="H211" s="45">
        <f t="shared" si="1"/>
        <v>10</v>
      </c>
      <c r="I211" s="66" t="s">
        <v>18</v>
      </c>
    </row>
    <row r="212">
      <c r="A212" s="30">
        <v>45933.0</v>
      </c>
      <c r="B212" s="48" t="s">
        <v>8</v>
      </c>
      <c r="C212" s="59" t="s">
        <v>21</v>
      </c>
      <c r="D212" s="33">
        <v>14.0</v>
      </c>
      <c r="E212" s="34" t="s">
        <v>10</v>
      </c>
      <c r="F212" s="35" t="s">
        <v>11</v>
      </c>
      <c r="G212" s="36" t="s">
        <v>36</v>
      </c>
      <c r="H212" s="45">
        <f t="shared" si="1"/>
        <v>10</v>
      </c>
      <c r="I212" s="38" t="s">
        <v>20</v>
      </c>
    </row>
    <row r="213">
      <c r="A213" s="39">
        <v>45935.0</v>
      </c>
      <c r="B213" s="55" t="s">
        <v>19</v>
      </c>
      <c r="C213" s="41" t="s">
        <v>9</v>
      </c>
      <c r="D213" s="42">
        <v>7.0</v>
      </c>
      <c r="E213" s="43" t="s">
        <v>10</v>
      </c>
      <c r="F213" s="35" t="s">
        <v>11</v>
      </c>
      <c r="G213" s="44" t="s">
        <v>36</v>
      </c>
      <c r="H213" s="45">
        <f t="shared" si="1"/>
        <v>10</v>
      </c>
      <c r="I213" s="46" t="s">
        <v>13</v>
      </c>
    </row>
    <row r="214">
      <c r="A214" s="30">
        <v>45937.0</v>
      </c>
      <c r="B214" s="53" t="s">
        <v>17</v>
      </c>
      <c r="C214" s="32" t="s">
        <v>9</v>
      </c>
      <c r="D214" s="33">
        <v>11.0</v>
      </c>
      <c r="E214" s="34" t="s">
        <v>10</v>
      </c>
      <c r="F214" s="51" t="s">
        <v>15</v>
      </c>
      <c r="G214" s="36" t="s">
        <v>36</v>
      </c>
      <c r="H214" s="45">
        <f t="shared" si="1"/>
        <v>10</v>
      </c>
      <c r="I214" s="64" t="s">
        <v>16</v>
      </c>
    </row>
    <row r="215">
      <c r="A215" s="39">
        <v>45938.0</v>
      </c>
      <c r="B215" s="40" t="s">
        <v>8</v>
      </c>
      <c r="C215" s="41" t="s">
        <v>9</v>
      </c>
      <c r="D215" s="42">
        <v>14.0</v>
      </c>
      <c r="E215" s="43" t="s">
        <v>10</v>
      </c>
      <c r="F215" s="35" t="s">
        <v>11</v>
      </c>
      <c r="G215" s="44" t="s">
        <v>36</v>
      </c>
      <c r="H215" s="45">
        <f t="shared" si="1"/>
        <v>10</v>
      </c>
      <c r="I215" s="66" t="s">
        <v>18</v>
      </c>
    </row>
    <row r="216">
      <c r="A216" s="30">
        <v>45940.0</v>
      </c>
      <c r="B216" s="48" t="s">
        <v>8</v>
      </c>
      <c r="C216" s="32" t="s">
        <v>9</v>
      </c>
      <c r="D216" s="33">
        <v>15.0</v>
      </c>
      <c r="E216" s="34" t="s">
        <v>10</v>
      </c>
      <c r="F216" s="35" t="s">
        <v>11</v>
      </c>
      <c r="G216" s="36" t="s">
        <v>36</v>
      </c>
      <c r="H216" s="45">
        <f t="shared" si="1"/>
        <v>10</v>
      </c>
      <c r="I216" s="38" t="s">
        <v>20</v>
      </c>
    </row>
    <row r="217">
      <c r="A217" s="39">
        <v>45942.0</v>
      </c>
      <c r="B217" s="65" t="s">
        <v>23</v>
      </c>
      <c r="C217" s="41" t="s">
        <v>9</v>
      </c>
      <c r="D217" s="42">
        <v>20.0</v>
      </c>
      <c r="E217" s="43" t="s">
        <v>10</v>
      </c>
      <c r="F217" s="51" t="s">
        <v>15</v>
      </c>
      <c r="G217" s="44" t="s">
        <v>36</v>
      </c>
      <c r="H217" s="45">
        <f t="shared" si="1"/>
        <v>10</v>
      </c>
      <c r="I217" s="46" t="s">
        <v>13</v>
      </c>
    </row>
    <row r="218">
      <c r="A218" s="30">
        <v>45944.0</v>
      </c>
      <c r="B218" s="53" t="s">
        <v>17</v>
      </c>
      <c r="C218" s="70" t="s">
        <v>24</v>
      </c>
      <c r="D218" s="33">
        <v>10.0</v>
      </c>
      <c r="E218" s="34" t="s">
        <v>10</v>
      </c>
      <c r="F218" s="35" t="s">
        <v>11</v>
      </c>
      <c r="G218" s="36" t="s">
        <v>36</v>
      </c>
      <c r="H218" s="45">
        <f t="shared" si="1"/>
        <v>10</v>
      </c>
      <c r="I218" s="64" t="s">
        <v>16</v>
      </c>
    </row>
    <row r="219">
      <c r="A219" s="39">
        <v>45945.0</v>
      </c>
      <c r="B219" s="50" t="s">
        <v>14</v>
      </c>
      <c r="C219" s="41" t="s">
        <v>9</v>
      </c>
      <c r="D219" s="42">
        <v>23.0</v>
      </c>
      <c r="E219" s="43" t="s">
        <v>10</v>
      </c>
      <c r="F219" s="35" t="s">
        <v>11</v>
      </c>
      <c r="G219" s="44" t="s">
        <v>36</v>
      </c>
      <c r="H219" s="45">
        <f t="shared" si="1"/>
        <v>10</v>
      </c>
      <c r="I219" s="66" t="s">
        <v>18</v>
      </c>
    </row>
    <row r="220">
      <c r="A220" s="30">
        <v>45947.0</v>
      </c>
      <c r="B220" s="48" t="s">
        <v>8</v>
      </c>
      <c r="C220" s="32" t="s">
        <v>9</v>
      </c>
      <c r="D220" s="33">
        <v>14.0</v>
      </c>
      <c r="E220" s="34" t="s">
        <v>10</v>
      </c>
      <c r="F220" s="51" t="s">
        <v>15</v>
      </c>
      <c r="G220" s="36" t="s">
        <v>36</v>
      </c>
      <c r="H220" s="45">
        <f t="shared" si="1"/>
        <v>10</v>
      </c>
      <c r="I220" s="38" t="s">
        <v>20</v>
      </c>
    </row>
    <row r="221">
      <c r="A221" s="39">
        <v>45949.0</v>
      </c>
      <c r="B221" s="55" t="s">
        <v>19</v>
      </c>
      <c r="C221" s="41" t="s">
        <v>9</v>
      </c>
      <c r="D221" s="42">
        <v>7.0</v>
      </c>
      <c r="E221" s="43" t="s">
        <v>10</v>
      </c>
      <c r="F221" s="35" t="s">
        <v>11</v>
      </c>
      <c r="G221" s="44" t="s">
        <v>36</v>
      </c>
      <c r="H221" s="45">
        <f t="shared" si="1"/>
        <v>10</v>
      </c>
      <c r="I221" s="46" t="s">
        <v>13</v>
      </c>
    </row>
    <row r="222">
      <c r="A222" s="30">
        <v>45951.0</v>
      </c>
      <c r="B222" s="48" t="s">
        <v>8</v>
      </c>
      <c r="C222" s="32" t="s">
        <v>9</v>
      </c>
      <c r="D222" s="33">
        <v>14.0</v>
      </c>
      <c r="E222" s="34" t="s">
        <v>10</v>
      </c>
      <c r="F222" s="35" t="s">
        <v>11</v>
      </c>
      <c r="G222" s="36" t="s">
        <v>36</v>
      </c>
      <c r="H222" s="45">
        <f t="shared" si="1"/>
        <v>10</v>
      </c>
      <c r="I222" s="64" t="s">
        <v>16</v>
      </c>
    </row>
    <row r="223">
      <c r="A223" s="39">
        <v>45952.0</v>
      </c>
      <c r="B223" s="57" t="s">
        <v>17</v>
      </c>
      <c r="C223" s="41" t="s">
        <v>9</v>
      </c>
      <c r="D223" s="42">
        <v>9.0</v>
      </c>
      <c r="E223" s="43" t="s">
        <v>10</v>
      </c>
      <c r="F223" s="51" t="s">
        <v>15</v>
      </c>
      <c r="G223" s="44" t="s">
        <v>36</v>
      </c>
      <c r="H223" s="45">
        <f t="shared" si="1"/>
        <v>10</v>
      </c>
      <c r="I223" s="66" t="s">
        <v>18</v>
      </c>
    </row>
    <row r="224">
      <c r="A224" s="30">
        <v>45954.0</v>
      </c>
      <c r="B224" s="73" t="s">
        <v>26</v>
      </c>
      <c r="C224" s="59" t="s">
        <v>21</v>
      </c>
      <c r="D224" s="33">
        <v>25.0</v>
      </c>
      <c r="E224" s="34" t="s">
        <v>10</v>
      </c>
      <c r="F224" s="35" t="s">
        <v>11</v>
      </c>
      <c r="G224" s="36" t="s">
        <v>36</v>
      </c>
      <c r="H224" s="45">
        <f t="shared" si="1"/>
        <v>10</v>
      </c>
      <c r="I224" s="38" t="s">
        <v>20</v>
      </c>
    </row>
    <row r="225">
      <c r="A225" s="39">
        <v>45956.0</v>
      </c>
      <c r="B225" s="40" t="s">
        <v>8</v>
      </c>
      <c r="C225" s="41" t="s">
        <v>9</v>
      </c>
      <c r="D225" s="42">
        <v>14.0</v>
      </c>
      <c r="E225" s="43" t="s">
        <v>10</v>
      </c>
      <c r="F225" s="35" t="s">
        <v>11</v>
      </c>
      <c r="G225" s="44" t="s">
        <v>36</v>
      </c>
      <c r="H225" s="45">
        <f t="shared" si="1"/>
        <v>10</v>
      </c>
      <c r="I225" s="46" t="s">
        <v>13</v>
      </c>
    </row>
    <row r="226">
      <c r="A226" s="30">
        <v>45958.0</v>
      </c>
      <c r="B226" s="48" t="s">
        <v>8</v>
      </c>
      <c r="C226" s="70" t="s">
        <v>24</v>
      </c>
      <c r="D226" s="33">
        <v>16.0</v>
      </c>
      <c r="E226" s="34" t="s">
        <v>10</v>
      </c>
      <c r="F226" s="51" t="s">
        <v>15</v>
      </c>
      <c r="G226" s="36" t="s">
        <v>36</v>
      </c>
      <c r="H226" s="45">
        <f t="shared" si="1"/>
        <v>10</v>
      </c>
      <c r="I226" s="64" t="s">
        <v>16</v>
      </c>
    </row>
    <row r="227">
      <c r="A227" s="39">
        <v>45959.0</v>
      </c>
      <c r="B227" s="50" t="s">
        <v>14</v>
      </c>
      <c r="C227" s="41" t="s">
        <v>9</v>
      </c>
      <c r="D227" s="42">
        <v>21.0</v>
      </c>
      <c r="E227" s="43" t="s">
        <v>10</v>
      </c>
      <c r="F227" s="35" t="s">
        <v>11</v>
      </c>
      <c r="G227" s="44" t="s">
        <v>36</v>
      </c>
      <c r="H227" s="45">
        <f t="shared" si="1"/>
        <v>10</v>
      </c>
      <c r="I227" s="66" t="s">
        <v>18</v>
      </c>
    </row>
    <row r="228">
      <c r="A228" s="30">
        <v>45961.0</v>
      </c>
      <c r="B228" s="53" t="s">
        <v>17</v>
      </c>
      <c r="C228" s="32" t="s">
        <v>9</v>
      </c>
      <c r="D228" s="33">
        <v>10.0</v>
      </c>
      <c r="E228" s="34" t="s">
        <v>10</v>
      </c>
      <c r="F228" s="35" t="s">
        <v>11</v>
      </c>
      <c r="G228" s="36" t="s">
        <v>36</v>
      </c>
      <c r="H228" s="45">
        <f t="shared" si="1"/>
        <v>10</v>
      </c>
      <c r="I228" s="38" t="s">
        <v>20</v>
      </c>
    </row>
    <row r="229">
      <c r="A229" s="39">
        <v>45963.0</v>
      </c>
      <c r="B229" s="40" t="s">
        <v>8</v>
      </c>
      <c r="C229" s="41" t="s">
        <v>9</v>
      </c>
      <c r="D229" s="42">
        <v>14.0</v>
      </c>
      <c r="E229" s="43" t="s">
        <v>10</v>
      </c>
      <c r="F229" s="51" t="s">
        <v>15</v>
      </c>
      <c r="G229" s="44" t="s">
        <v>37</v>
      </c>
      <c r="H229" s="45">
        <f t="shared" si="1"/>
        <v>11</v>
      </c>
      <c r="I229" s="46" t="s">
        <v>13</v>
      </c>
    </row>
    <row r="230">
      <c r="A230" s="30">
        <v>45965.0</v>
      </c>
      <c r="B230" s="56" t="s">
        <v>19</v>
      </c>
      <c r="C230" s="32" t="s">
        <v>9</v>
      </c>
      <c r="D230" s="33">
        <v>7.0</v>
      </c>
      <c r="E230" s="34" t="s">
        <v>10</v>
      </c>
      <c r="F230" s="35" t="s">
        <v>11</v>
      </c>
      <c r="G230" s="36" t="s">
        <v>37</v>
      </c>
      <c r="H230" s="45">
        <f t="shared" si="1"/>
        <v>11</v>
      </c>
      <c r="I230" s="64" t="s">
        <v>16</v>
      </c>
    </row>
    <row r="231">
      <c r="A231" s="39">
        <v>45966.0</v>
      </c>
      <c r="B231" s="40" t="s">
        <v>8</v>
      </c>
      <c r="C231" s="62" t="s">
        <v>21</v>
      </c>
      <c r="D231" s="42">
        <v>14.0</v>
      </c>
      <c r="E231" s="43" t="s">
        <v>10</v>
      </c>
      <c r="F231" s="35" t="s">
        <v>11</v>
      </c>
      <c r="G231" s="44" t="s">
        <v>37</v>
      </c>
      <c r="H231" s="45">
        <f t="shared" si="1"/>
        <v>11</v>
      </c>
      <c r="I231" s="66" t="s">
        <v>18</v>
      </c>
    </row>
    <row r="232">
      <c r="A232" s="30">
        <v>45968.0</v>
      </c>
      <c r="B232" s="53" t="s">
        <v>17</v>
      </c>
      <c r="C232" s="32" t="s">
        <v>9</v>
      </c>
      <c r="D232" s="33">
        <v>12.0</v>
      </c>
      <c r="E232" s="34" t="s">
        <v>10</v>
      </c>
      <c r="F232" s="51" t="s">
        <v>15</v>
      </c>
      <c r="G232" s="36" t="s">
        <v>37</v>
      </c>
      <c r="H232" s="45">
        <f t="shared" si="1"/>
        <v>11</v>
      </c>
      <c r="I232" s="38" t="s">
        <v>20</v>
      </c>
    </row>
    <row r="233">
      <c r="A233" s="39">
        <v>45970.0</v>
      </c>
      <c r="B233" s="50" t="s">
        <v>14</v>
      </c>
      <c r="C233" s="41" t="s">
        <v>9</v>
      </c>
      <c r="D233" s="42">
        <v>22.0</v>
      </c>
      <c r="E233" s="43" t="s">
        <v>10</v>
      </c>
      <c r="F233" s="35" t="s">
        <v>11</v>
      </c>
      <c r="G233" s="44" t="s">
        <v>37</v>
      </c>
      <c r="H233" s="45">
        <f t="shared" si="1"/>
        <v>11</v>
      </c>
      <c r="I233" s="46" t="s">
        <v>13</v>
      </c>
    </row>
    <row r="234">
      <c r="A234" s="30">
        <v>45972.0</v>
      </c>
      <c r="B234" s="48" t="s">
        <v>8</v>
      </c>
      <c r="C234" s="32" t="s">
        <v>9</v>
      </c>
      <c r="D234" s="33">
        <v>14.0</v>
      </c>
      <c r="E234" s="34" t="s">
        <v>10</v>
      </c>
      <c r="F234" s="35" t="s">
        <v>11</v>
      </c>
      <c r="G234" s="36" t="s">
        <v>37</v>
      </c>
      <c r="H234" s="45">
        <f t="shared" si="1"/>
        <v>11</v>
      </c>
      <c r="I234" s="64" t="s">
        <v>16</v>
      </c>
    </row>
    <row r="235">
      <c r="A235" s="39">
        <v>45973.0</v>
      </c>
      <c r="B235" s="65" t="s">
        <v>23</v>
      </c>
      <c r="C235" s="41" t="s">
        <v>9</v>
      </c>
      <c r="D235" s="42">
        <v>19.0</v>
      </c>
      <c r="E235" s="43" t="s">
        <v>10</v>
      </c>
      <c r="F235" s="51" t="s">
        <v>15</v>
      </c>
      <c r="G235" s="44" t="s">
        <v>37</v>
      </c>
      <c r="H235" s="45">
        <f t="shared" si="1"/>
        <v>11</v>
      </c>
      <c r="I235" s="66" t="s">
        <v>18</v>
      </c>
    </row>
    <row r="236">
      <c r="A236" s="30">
        <v>45975.0</v>
      </c>
      <c r="B236" s="53" t="s">
        <v>17</v>
      </c>
      <c r="C236" s="70" t="s">
        <v>24</v>
      </c>
      <c r="D236" s="33">
        <v>9.0</v>
      </c>
      <c r="E236" s="34" t="s">
        <v>10</v>
      </c>
      <c r="F236" s="35" t="s">
        <v>11</v>
      </c>
      <c r="G236" s="36" t="s">
        <v>37</v>
      </c>
      <c r="H236" s="45">
        <f t="shared" si="1"/>
        <v>11</v>
      </c>
      <c r="I236" s="38" t="s">
        <v>20</v>
      </c>
    </row>
    <row r="237">
      <c r="A237" s="39">
        <v>45977.0</v>
      </c>
      <c r="B237" s="40" t="s">
        <v>8</v>
      </c>
      <c r="C237" s="41" t="s">
        <v>9</v>
      </c>
      <c r="D237" s="42">
        <v>14.0</v>
      </c>
      <c r="E237" s="43" t="s">
        <v>10</v>
      </c>
      <c r="F237" s="35" t="s">
        <v>11</v>
      </c>
      <c r="G237" s="44" t="s">
        <v>37</v>
      </c>
      <c r="H237" s="45">
        <f t="shared" si="1"/>
        <v>11</v>
      </c>
      <c r="I237" s="46" t="s">
        <v>13</v>
      </c>
    </row>
    <row r="238">
      <c r="A238" s="30">
        <v>45979.0</v>
      </c>
      <c r="B238" s="56" t="s">
        <v>19</v>
      </c>
      <c r="C238" s="32" t="s">
        <v>9</v>
      </c>
      <c r="D238" s="33">
        <v>7.0</v>
      </c>
      <c r="E238" s="34" t="s">
        <v>10</v>
      </c>
      <c r="F238" s="51" t="s">
        <v>15</v>
      </c>
      <c r="G238" s="36" t="s">
        <v>37</v>
      </c>
      <c r="H238" s="45">
        <f t="shared" si="1"/>
        <v>11</v>
      </c>
      <c r="I238" s="64" t="s">
        <v>16</v>
      </c>
    </row>
    <row r="239">
      <c r="A239" s="39">
        <v>45980.0</v>
      </c>
      <c r="B239" s="50" t="s">
        <v>14</v>
      </c>
      <c r="C239" s="41" t="s">
        <v>9</v>
      </c>
      <c r="D239" s="42">
        <v>24.0</v>
      </c>
      <c r="E239" s="76" t="s">
        <v>22</v>
      </c>
      <c r="F239" s="35" t="s">
        <v>11</v>
      </c>
      <c r="G239" s="44" t="s">
        <v>37</v>
      </c>
      <c r="H239" s="45">
        <f t="shared" si="1"/>
        <v>11</v>
      </c>
      <c r="I239" s="66" t="s">
        <v>18</v>
      </c>
    </row>
    <row r="240">
      <c r="A240" s="30">
        <v>45982.0</v>
      </c>
      <c r="B240" s="48" t="s">
        <v>8</v>
      </c>
      <c r="C240" s="32" t="s">
        <v>9</v>
      </c>
      <c r="D240" s="33">
        <v>14.0</v>
      </c>
      <c r="E240" s="34" t="s">
        <v>10</v>
      </c>
      <c r="F240" s="35" t="s">
        <v>11</v>
      </c>
      <c r="G240" s="36" t="s">
        <v>37</v>
      </c>
      <c r="H240" s="45">
        <f t="shared" si="1"/>
        <v>11</v>
      </c>
      <c r="I240" s="38" t="s">
        <v>20</v>
      </c>
    </row>
    <row r="241">
      <c r="A241" s="39">
        <v>45984.0</v>
      </c>
      <c r="B241" s="57" t="s">
        <v>17</v>
      </c>
      <c r="C241" s="41" t="s">
        <v>9</v>
      </c>
      <c r="D241" s="42">
        <v>10.0</v>
      </c>
      <c r="E241" s="43" t="s">
        <v>10</v>
      </c>
      <c r="F241" s="51" t="s">
        <v>15</v>
      </c>
      <c r="G241" s="44" t="s">
        <v>37</v>
      </c>
      <c r="H241" s="45">
        <f t="shared" si="1"/>
        <v>11</v>
      </c>
      <c r="I241" s="46" t="s">
        <v>13</v>
      </c>
    </row>
    <row r="242">
      <c r="A242" s="30">
        <v>45986.0</v>
      </c>
      <c r="B242" s="73" t="s">
        <v>26</v>
      </c>
      <c r="C242" s="32" t="s">
        <v>9</v>
      </c>
      <c r="D242" s="33">
        <v>26.0</v>
      </c>
      <c r="E242" s="34" t="s">
        <v>10</v>
      </c>
      <c r="F242" s="35" t="s">
        <v>11</v>
      </c>
      <c r="G242" s="36" t="s">
        <v>37</v>
      </c>
      <c r="H242" s="45">
        <f t="shared" si="1"/>
        <v>11</v>
      </c>
      <c r="I242" s="64" t="s">
        <v>16</v>
      </c>
    </row>
    <row r="243">
      <c r="A243" s="39">
        <v>45987.0</v>
      </c>
      <c r="B243" s="40" t="s">
        <v>8</v>
      </c>
      <c r="C243" s="68" t="s">
        <v>24</v>
      </c>
      <c r="D243" s="42">
        <v>14.0</v>
      </c>
      <c r="E243" s="43" t="s">
        <v>10</v>
      </c>
      <c r="F243" s="35" t="s">
        <v>11</v>
      </c>
      <c r="G243" s="44" t="s">
        <v>37</v>
      </c>
      <c r="H243" s="45">
        <f t="shared" si="1"/>
        <v>11</v>
      </c>
      <c r="I243" s="66" t="s">
        <v>18</v>
      </c>
    </row>
    <row r="244">
      <c r="A244" s="30">
        <v>45989.0</v>
      </c>
      <c r="B244" s="48" t="s">
        <v>8</v>
      </c>
      <c r="C244" s="32" t="s">
        <v>9</v>
      </c>
      <c r="D244" s="33">
        <v>15.0</v>
      </c>
      <c r="E244" s="34" t="s">
        <v>10</v>
      </c>
      <c r="F244" s="51" t="s">
        <v>15</v>
      </c>
      <c r="G244" s="36" t="s">
        <v>37</v>
      </c>
      <c r="H244" s="45">
        <f t="shared" si="1"/>
        <v>11</v>
      </c>
      <c r="I244" s="38" t="s">
        <v>20</v>
      </c>
    </row>
    <row r="245">
      <c r="A245" s="39">
        <v>45991.0</v>
      </c>
      <c r="B245" s="57" t="s">
        <v>17</v>
      </c>
      <c r="C245" s="41" t="s">
        <v>9</v>
      </c>
      <c r="D245" s="42">
        <v>11.0</v>
      </c>
      <c r="E245" s="43" t="s">
        <v>10</v>
      </c>
      <c r="F245" s="35" t="s">
        <v>11</v>
      </c>
      <c r="G245" s="44" t="s">
        <v>37</v>
      </c>
      <c r="H245" s="45">
        <f t="shared" si="1"/>
        <v>11</v>
      </c>
      <c r="I245" s="46" t="s">
        <v>13</v>
      </c>
    </row>
    <row r="246">
      <c r="A246" s="30">
        <v>45993.0</v>
      </c>
      <c r="B246" s="31" t="s">
        <v>14</v>
      </c>
      <c r="C246" s="32" t="s">
        <v>9</v>
      </c>
      <c r="D246" s="33">
        <v>21.0</v>
      </c>
      <c r="E246" s="34" t="s">
        <v>10</v>
      </c>
      <c r="F246" s="35" t="s">
        <v>11</v>
      </c>
      <c r="G246" s="36" t="s">
        <v>38</v>
      </c>
      <c r="H246" s="45">
        <f t="shared" si="1"/>
        <v>12</v>
      </c>
      <c r="I246" s="64" t="s">
        <v>16</v>
      </c>
    </row>
    <row r="247">
      <c r="A247" s="39">
        <v>45994.0</v>
      </c>
      <c r="B247" s="40" t="s">
        <v>8</v>
      </c>
      <c r="C247" s="41" t="s">
        <v>9</v>
      </c>
      <c r="D247" s="42">
        <v>14.0</v>
      </c>
      <c r="E247" s="43" t="s">
        <v>10</v>
      </c>
      <c r="F247" s="51" t="s">
        <v>15</v>
      </c>
      <c r="G247" s="44" t="s">
        <v>38</v>
      </c>
      <c r="H247" s="45">
        <f t="shared" si="1"/>
        <v>12</v>
      </c>
      <c r="I247" s="66" t="s">
        <v>18</v>
      </c>
    </row>
    <row r="248">
      <c r="A248" s="30">
        <v>45996.0</v>
      </c>
      <c r="B248" s="56" t="s">
        <v>19</v>
      </c>
      <c r="C248" s="32" t="s">
        <v>9</v>
      </c>
      <c r="D248" s="33">
        <v>7.0</v>
      </c>
      <c r="E248" s="34" t="s">
        <v>10</v>
      </c>
      <c r="F248" s="35" t="s">
        <v>11</v>
      </c>
      <c r="G248" s="36" t="s">
        <v>38</v>
      </c>
      <c r="H248" s="45">
        <f t="shared" si="1"/>
        <v>12</v>
      </c>
      <c r="I248" s="38" t="s">
        <v>20</v>
      </c>
    </row>
    <row r="249">
      <c r="A249" s="39">
        <v>45998.0</v>
      </c>
      <c r="B249" s="57" t="s">
        <v>17</v>
      </c>
      <c r="C249" s="41" t="s">
        <v>9</v>
      </c>
      <c r="D249" s="42">
        <v>10.0</v>
      </c>
      <c r="E249" s="43" t="s">
        <v>10</v>
      </c>
      <c r="F249" s="35" t="s">
        <v>11</v>
      </c>
      <c r="G249" s="44" t="s">
        <v>38</v>
      </c>
      <c r="H249" s="45">
        <f t="shared" si="1"/>
        <v>12</v>
      </c>
      <c r="I249" s="46" t="s">
        <v>13</v>
      </c>
    </row>
    <row r="250">
      <c r="A250" s="30">
        <v>46000.0</v>
      </c>
      <c r="B250" s="48" t="s">
        <v>8</v>
      </c>
      <c r="C250" s="59" t="s">
        <v>21</v>
      </c>
      <c r="D250" s="33">
        <v>14.0</v>
      </c>
      <c r="E250" s="34" t="s">
        <v>10</v>
      </c>
      <c r="F250" s="51" t="s">
        <v>15</v>
      </c>
      <c r="G250" s="36" t="s">
        <v>38</v>
      </c>
      <c r="H250" s="45">
        <f t="shared" si="1"/>
        <v>12</v>
      </c>
      <c r="I250" s="64" t="s">
        <v>16</v>
      </c>
    </row>
    <row r="251">
      <c r="A251" s="39">
        <v>46001.0</v>
      </c>
      <c r="B251" s="40" t="s">
        <v>8</v>
      </c>
      <c r="C251" s="41" t="s">
        <v>9</v>
      </c>
      <c r="D251" s="42">
        <v>14.0</v>
      </c>
      <c r="E251" s="43" t="s">
        <v>10</v>
      </c>
      <c r="F251" s="35" t="s">
        <v>11</v>
      </c>
      <c r="G251" s="44" t="s">
        <v>38</v>
      </c>
      <c r="H251" s="45">
        <f t="shared" si="1"/>
        <v>12</v>
      </c>
      <c r="I251" s="66" t="s">
        <v>18</v>
      </c>
    </row>
    <row r="252">
      <c r="A252" s="30">
        <v>46003.0</v>
      </c>
      <c r="B252" s="67" t="s">
        <v>23</v>
      </c>
      <c r="C252" s="32" t="s">
        <v>9</v>
      </c>
      <c r="D252" s="33">
        <v>18.0</v>
      </c>
      <c r="E252" s="34" t="s">
        <v>10</v>
      </c>
      <c r="F252" s="35" t="s">
        <v>11</v>
      </c>
      <c r="G252" s="36" t="s">
        <v>38</v>
      </c>
      <c r="H252" s="45">
        <f t="shared" si="1"/>
        <v>12</v>
      </c>
      <c r="I252" s="38" t="s">
        <v>20</v>
      </c>
    </row>
    <row r="253">
      <c r="A253" s="39">
        <v>46005.0</v>
      </c>
      <c r="B253" s="57" t="s">
        <v>17</v>
      </c>
      <c r="C253" s="68" t="s">
        <v>24</v>
      </c>
      <c r="D253" s="42">
        <v>12.0</v>
      </c>
      <c r="E253" s="43" t="s">
        <v>10</v>
      </c>
      <c r="F253" s="51" t="s">
        <v>15</v>
      </c>
      <c r="G253" s="44" t="s">
        <v>38</v>
      </c>
      <c r="H253" s="45">
        <f t="shared" si="1"/>
        <v>12</v>
      </c>
      <c r="I253" s="46" t="s">
        <v>13</v>
      </c>
    </row>
    <row r="254">
      <c r="A254" s="30">
        <v>46007.0</v>
      </c>
      <c r="B254" s="31" t="s">
        <v>14</v>
      </c>
      <c r="C254" s="32" t="s">
        <v>9</v>
      </c>
      <c r="D254" s="33">
        <v>23.0</v>
      </c>
      <c r="E254" s="34" t="s">
        <v>10</v>
      </c>
      <c r="F254" s="35" t="s">
        <v>11</v>
      </c>
      <c r="G254" s="36" t="s">
        <v>38</v>
      </c>
      <c r="H254" s="45">
        <f t="shared" si="1"/>
        <v>12</v>
      </c>
      <c r="I254" s="64" t="s">
        <v>16</v>
      </c>
    </row>
    <row r="255">
      <c r="A255" s="39">
        <v>46008.0</v>
      </c>
      <c r="B255" s="40" t="s">
        <v>8</v>
      </c>
      <c r="C255" s="41" t="s">
        <v>9</v>
      </c>
      <c r="D255" s="42">
        <v>14.0</v>
      </c>
      <c r="E255" s="43" t="s">
        <v>10</v>
      </c>
      <c r="F255" s="35" t="s">
        <v>11</v>
      </c>
      <c r="G255" s="44" t="s">
        <v>38</v>
      </c>
      <c r="H255" s="45">
        <f t="shared" si="1"/>
        <v>12</v>
      </c>
      <c r="I255" s="66" t="s">
        <v>18</v>
      </c>
    </row>
    <row r="256">
      <c r="A256" s="30">
        <v>46010.0</v>
      </c>
      <c r="B256" s="56" t="s">
        <v>19</v>
      </c>
      <c r="C256" s="32" t="s">
        <v>9</v>
      </c>
      <c r="D256" s="33">
        <v>7.0</v>
      </c>
      <c r="E256" s="34" t="s">
        <v>10</v>
      </c>
      <c r="F256" s="51" t="s">
        <v>15</v>
      </c>
      <c r="G256" s="36" t="s">
        <v>38</v>
      </c>
      <c r="H256" s="45">
        <f t="shared" si="1"/>
        <v>12</v>
      </c>
      <c r="I256" s="38" t="s">
        <v>20</v>
      </c>
    </row>
    <row r="257">
      <c r="A257" s="39">
        <v>46012.0</v>
      </c>
      <c r="B257" s="40" t="s">
        <v>8</v>
      </c>
      <c r="C257" s="41" t="s">
        <v>9</v>
      </c>
      <c r="D257" s="42">
        <v>21.0</v>
      </c>
      <c r="E257" s="43" t="s">
        <v>10</v>
      </c>
      <c r="F257" s="35" t="s">
        <v>11</v>
      </c>
      <c r="G257" s="44" t="s">
        <v>38</v>
      </c>
      <c r="H257" s="45">
        <f t="shared" si="1"/>
        <v>12</v>
      </c>
      <c r="I257" s="46" t="s">
        <v>13</v>
      </c>
    </row>
    <row r="258">
      <c r="A258" s="30">
        <v>46014.0</v>
      </c>
      <c r="B258" s="53" t="s">
        <v>17</v>
      </c>
      <c r="C258" s="32" t="s">
        <v>9</v>
      </c>
      <c r="D258" s="33">
        <v>14.0</v>
      </c>
      <c r="E258" s="34" t="s">
        <v>10</v>
      </c>
      <c r="F258" s="35" t="s">
        <v>11</v>
      </c>
      <c r="G258" s="36" t="s">
        <v>38</v>
      </c>
      <c r="H258" s="45">
        <f t="shared" si="1"/>
        <v>12</v>
      </c>
      <c r="I258" s="64" t="s">
        <v>16</v>
      </c>
    </row>
    <row r="259">
      <c r="A259" s="39">
        <v>46015.0</v>
      </c>
      <c r="B259" s="74" t="s">
        <v>26</v>
      </c>
      <c r="C259" s="41" t="s">
        <v>9</v>
      </c>
      <c r="D259" s="42">
        <v>28.0</v>
      </c>
      <c r="E259" s="76" t="s">
        <v>22</v>
      </c>
      <c r="F259" s="51" t="s">
        <v>15</v>
      </c>
      <c r="G259" s="44" t="s">
        <v>38</v>
      </c>
      <c r="H259" s="45">
        <f t="shared" si="1"/>
        <v>12</v>
      </c>
      <c r="I259" s="66" t="s">
        <v>18</v>
      </c>
    </row>
    <row r="260">
      <c r="A260" s="30">
        <v>46017.0</v>
      </c>
      <c r="B260" s="48" t="s">
        <v>8</v>
      </c>
      <c r="C260" s="32" t="s">
        <v>9</v>
      </c>
      <c r="D260" s="33">
        <v>14.0</v>
      </c>
      <c r="E260" s="34" t="s">
        <v>10</v>
      </c>
      <c r="F260" s="35" t="s">
        <v>11</v>
      </c>
      <c r="G260" s="36" t="s">
        <v>38</v>
      </c>
      <c r="H260" s="45">
        <f t="shared" si="1"/>
        <v>12</v>
      </c>
      <c r="I260" s="38" t="s">
        <v>20</v>
      </c>
    </row>
    <row r="261">
      <c r="A261" s="39">
        <v>46019.0</v>
      </c>
      <c r="B261" s="40" t="s">
        <v>8</v>
      </c>
      <c r="C261" s="68" t="s">
        <v>24</v>
      </c>
      <c r="D261" s="42">
        <v>15.0</v>
      </c>
      <c r="E261" s="43" t="s">
        <v>10</v>
      </c>
      <c r="F261" s="35" t="s">
        <v>11</v>
      </c>
      <c r="G261" s="44" t="s">
        <v>38</v>
      </c>
      <c r="H261" s="45">
        <f t="shared" si="1"/>
        <v>12</v>
      </c>
      <c r="I261" s="46" t="s">
        <v>13</v>
      </c>
    </row>
    <row r="262">
      <c r="A262" s="77">
        <v>46021.0</v>
      </c>
      <c r="B262" s="78" t="s">
        <v>17</v>
      </c>
      <c r="C262" s="79" t="s">
        <v>9</v>
      </c>
      <c r="D262" s="80">
        <v>10.0</v>
      </c>
      <c r="E262" s="81" t="s">
        <v>10</v>
      </c>
      <c r="F262" s="82" t="s">
        <v>15</v>
      </c>
      <c r="G262" s="83" t="s">
        <v>38</v>
      </c>
      <c r="H262" s="45">
        <f t="shared" si="1"/>
        <v>12</v>
      </c>
      <c r="I262" s="84" t="s">
        <v>16</v>
      </c>
    </row>
    <row r="263">
      <c r="A263" s="85"/>
      <c r="B263" s="86"/>
      <c r="C263" s="87"/>
      <c r="D263" s="86"/>
      <c r="E263" s="86"/>
      <c r="F263" s="86"/>
      <c r="G263" s="86"/>
      <c r="H263" s="86"/>
      <c r="I263" s="86"/>
    </row>
    <row r="264">
      <c r="A264" s="85"/>
      <c r="B264" s="86"/>
      <c r="C264" s="87"/>
      <c r="D264" s="86"/>
      <c r="E264" s="86"/>
      <c r="F264" s="86"/>
      <c r="G264" s="86"/>
      <c r="H264" s="86"/>
      <c r="I264" s="86"/>
    </row>
    <row r="265">
      <c r="A265" s="85"/>
      <c r="B265" s="86"/>
      <c r="C265" s="87"/>
      <c r="D265" s="86"/>
      <c r="E265" s="86"/>
      <c r="F265" s="86"/>
      <c r="G265" s="86"/>
      <c r="H265" s="86"/>
      <c r="I265" s="86"/>
    </row>
    <row r="266">
      <c r="A266" s="85"/>
      <c r="B266" s="86"/>
      <c r="C266" s="87"/>
      <c r="D266" s="86"/>
      <c r="E266" s="86"/>
      <c r="F266" s="86"/>
      <c r="G266" s="86"/>
      <c r="H266" s="86"/>
      <c r="I266" s="86"/>
    </row>
    <row r="267">
      <c r="A267" s="85"/>
      <c r="B267" s="86"/>
      <c r="C267" s="87"/>
      <c r="D267" s="86"/>
      <c r="E267" s="86"/>
      <c r="F267" s="86"/>
      <c r="G267" s="86"/>
      <c r="H267" s="86"/>
      <c r="I267" s="86"/>
    </row>
    <row r="268">
      <c r="A268" s="85"/>
      <c r="B268" s="86"/>
      <c r="C268" s="87"/>
      <c r="D268" s="86"/>
      <c r="E268" s="86"/>
      <c r="F268" s="86"/>
      <c r="G268" s="86"/>
      <c r="H268" s="86"/>
      <c r="I268" s="86"/>
    </row>
    <row r="269">
      <c r="A269" s="85"/>
      <c r="B269" s="86"/>
      <c r="C269" s="87"/>
      <c r="D269" s="86"/>
      <c r="E269" s="86"/>
      <c r="F269" s="86"/>
      <c r="G269" s="86"/>
      <c r="H269" s="86"/>
      <c r="I269" s="86"/>
    </row>
    <row r="270">
      <c r="A270" s="85"/>
      <c r="B270" s="86"/>
      <c r="C270" s="87"/>
      <c r="D270" s="86"/>
      <c r="E270" s="86"/>
      <c r="F270" s="86"/>
      <c r="G270" s="86"/>
      <c r="H270" s="86"/>
      <c r="I270" s="86"/>
    </row>
    <row r="271">
      <c r="A271" s="85"/>
      <c r="B271" s="86"/>
      <c r="C271" s="87"/>
      <c r="D271" s="86"/>
      <c r="E271" s="86"/>
      <c r="F271" s="86"/>
      <c r="G271" s="86"/>
      <c r="H271" s="86"/>
      <c r="I271" s="86"/>
    </row>
    <row r="272">
      <c r="A272" s="85"/>
      <c r="B272" s="86"/>
      <c r="C272" s="87"/>
      <c r="D272" s="86"/>
      <c r="E272" s="86"/>
      <c r="F272" s="86"/>
      <c r="G272" s="86"/>
      <c r="H272" s="86"/>
      <c r="I272" s="86"/>
    </row>
    <row r="273">
      <c r="A273" s="85"/>
      <c r="B273" s="86"/>
      <c r="C273" s="87"/>
      <c r="D273" s="86"/>
      <c r="E273" s="86"/>
      <c r="F273" s="86"/>
      <c r="G273" s="86"/>
      <c r="H273" s="86"/>
      <c r="I273" s="86"/>
    </row>
    <row r="274">
      <c r="A274" s="85"/>
      <c r="B274" s="86"/>
      <c r="C274" s="87"/>
      <c r="D274" s="86"/>
      <c r="E274" s="86"/>
      <c r="F274" s="86"/>
      <c r="G274" s="86"/>
      <c r="H274" s="86"/>
      <c r="I274" s="86"/>
    </row>
    <row r="275">
      <c r="A275" s="85"/>
      <c r="B275" s="86"/>
      <c r="C275" s="87"/>
      <c r="D275" s="86"/>
      <c r="E275" s="86"/>
      <c r="F275" s="86"/>
      <c r="G275" s="86"/>
      <c r="H275" s="86"/>
      <c r="I275" s="86"/>
    </row>
    <row r="276">
      <c r="A276" s="85"/>
      <c r="B276" s="86"/>
      <c r="C276" s="87"/>
      <c r="D276" s="86"/>
      <c r="E276" s="86"/>
      <c r="F276" s="86"/>
      <c r="G276" s="86"/>
      <c r="H276" s="86"/>
      <c r="I276" s="86"/>
    </row>
    <row r="277">
      <c r="A277" s="85"/>
      <c r="B277" s="86"/>
      <c r="C277" s="87"/>
      <c r="D277" s="86"/>
      <c r="E277" s="86"/>
      <c r="F277" s="86"/>
      <c r="G277" s="86"/>
      <c r="H277" s="86"/>
      <c r="I277" s="86"/>
    </row>
    <row r="278">
      <c r="A278" s="85"/>
      <c r="B278" s="86"/>
      <c r="C278" s="87"/>
      <c r="D278" s="86"/>
      <c r="E278" s="86"/>
      <c r="F278" s="86"/>
      <c r="G278" s="86"/>
      <c r="H278" s="86"/>
      <c r="I278" s="86"/>
    </row>
    <row r="279">
      <c r="A279" s="85"/>
      <c r="B279" s="86"/>
      <c r="C279" s="87"/>
      <c r="D279" s="86"/>
      <c r="E279" s="86"/>
      <c r="F279" s="86"/>
      <c r="G279" s="86"/>
      <c r="H279" s="86"/>
      <c r="I279" s="86"/>
    </row>
    <row r="280">
      <c r="A280" s="85"/>
      <c r="B280" s="86"/>
      <c r="C280" s="87"/>
      <c r="D280" s="86"/>
      <c r="E280" s="86"/>
      <c r="F280" s="86"/>
      <c r="G280" s="86"/>
      <c r="H280" s="86"/>
      <c r="I280" s="86"/>
    </row>
    <row r="281">
      <c r="A281" s="85"/>
      <c r="B281" s="86"/>
      <c r="C281" s="87"/>
      <c r="D281" s="86"/>
      <c r="E281" s="86"/>
      <c r="F281" s="86"/>
      <c r="G281" s="86"/>
      <c r="H281" s="86"/>
      <c r="I281" s="86"/>
    </row>
    <row r="282">
      <c r="A282" s="85"/>
      <c r="B282" s="86"/>
      <c r="C282" s="87"/>
      <c r="D282" s="86"/>
      <c r="E282" s="86"/>
      <c r="F282" s="86"/>
      <c r="G282" s="86"/>
      <c r="H282" s="86"/>
      <c r="I282" s="86"/>
    </row>
    <row r="283">
      <c r="A283" s="85"/>
      <c r="B283" s="86"/>
      <c r="C283" s="87"/>
      <c r="D283" s="86"/>
      <c r="E283" s="86"/>
      <c r="F283" s="86"/>
      <c r="G283" s="86"/>
      <c r="H283" s="86"/>
      <c r="I283" s="86"/>
    </row>
    <row r="284">
      <c r="A284" s="85"/>
      <c r="B284" s="86"/>
      <c r="C284" s="87"/>
      <c r="D284" s="86"/>
      <c r="E284" s="86"/>
      <c r="F284" s="86"/>
      <c r="G284" s="86"/>
      <c r="H284" s="86"/>
      <c r="I284" s="86"/>
    </row>
    <row r="285">
      <c r="A285" s="85"/>
      <c r="B285" s="86"/>
      <c r="C285" s="87"/>
      <c r="D285" s="86"/>
      <c r="E285" s="86"/>
      <c r="F285" s="86"/>
      <c r="G285" s="86"/>
      <c r="H285" s="86"/>
      <c r="I285" s="86"/>
    </row>
    <row r="286">
      <c r="A286" s="85"/>
      <c r="B286" s="86"/>
      <c r="C286" s="87"/>
      <c r="D286" s="86"/>
      <c r="E286" s="86"/>
      <c r="F286" s="86"/>
      <c r="G286" s="86"/>
      <c r="H286" s="86"/>
      <c r="I286" s="86"/>
    </row>
    <row r="287">
      <c r="A287" s="85"/>
      <c r="B287" s="86"/>
      <c r="C287" s="87"/>
      <c r="D287" s="86"/>
      <c r="E287" s="86"/>
      <c r="F287" s="86"/>
      <c r="G287" s="86"/>
      <c r="H287" s="86"/>
      <c r="I287" s="86"/>
    </row>
    <row r="288">
      <c r="A288" s="85"/>
      <c r="B288" s="86"/>
      <c r="C288" s="87"/>
      <c r="D288" s="86"/>
      <c r="E288" s="86"/>
      <c r="F288" s="86"/>
      <c r="G288" s="86"/>
      <c r="H288" s="86"/>
      <c r="I288" s="86"/>
    </row>
    <row r="289">
      <c r="A289" s="85"/>
      <c r="B289" s="86"/>
      <c r="C289" s="87"/>
      <c r="D289" s="86"/>
      <c r="E289" s="86"/>
      <c r="F289" s="86"/>
      <c r="G289" s="86"/>
      <c r="H289" s="86"/>
      <c r="I289" s="86"/>
    </row>
    <row r="290">
      <c r="A290" s="85"/>
      <c r="B290" s="86"/>
      <c r="C290" s="87"/>
      <c r="D290" s="86"/>
      <c r="E290" s="86"/>
      <c r="F290" s="86"/>
      <c r="G290" s="86"/>
      <c r="H290" s="86"/>
      <c r="I290" s="86"/>
    </row>
    <row r="291">
      <c r="A291" s="85"/>
      <c r="B291" s="86"/>
      <c r="C291" s="87"/>
      <c r="D291" s="86"/>
      <c r="E291" s="86"/>
      <c r="F291" s="86"/>
      <c r="G291" s="86"/>
      <c r="H291" s="86"/>
      <c r="I291" s="86"/>
    </row>
    <row r="292">
      <c r="A292" s="85"/>
      <c r="B292" s="86"/>
      <c r="C292" s="87"/>
      <c r="D292" s="86"/>
      <c r="E292" s="86"/>
      <c r="F292" s="86"/>
      <c r="G292" s="86"/>
      <c r="H292" s="86"/>
      <c r="I292" s="86"/>
    </row>
    <row r="293">
      <c r="A293" s="85"/>
      <c r="B293" s="86"/>
      <c r="C293" s="87"/>
      <c r="D293" s="86"/>
      <c r="E293" s="86"/>
      <c r="F293" s="86"/>
      <c r="G293" s="86"/>
      <c r="H293" s="86"/>
      <c r="I293" s="86"/>
    </row>
    <row r="294">
      <c r="A294" s="85"/>
      <c r="B294" s="86"/>
      <c r="C294" s="87"/>
      <c r="D294" s="86"/>
      <c r="E294" s="86"/>
      <c r="F294" s="86"/>
      <c r="G294" s="86"/>
      <c r="H294" s="86"/>
      <c r="I294" s="86"/>
    </row>
    <row r="295">
      <c r="A295" s="85"/>
      <c r="B295" s="86"/>
      <c r="C295" s="87"/>
      <c r="D295" s="86"/>
      <c r="E295" s="86"/>
      <c r="F295" s="86"/>
      <c r="G295" s="86"/>
      <c r="H295" s="86"/>
      <c r="I295" s="86"/>
    </row>
    <row r="296">
      <c r="A296" s="85"/>
      <c r="B296" s="86"/>
      <c r="C296" s="87"/>
      <c r="D296" s="86"/>
      <c r="E296" s="86"/>
      <c r="F296" s="86"/>
      <c r="G296" s="86"/>
      <c r="H296" s="86"/>
      <c r="I296" s="86"/>
    </row>
    <row r="297">
      <c r="A297" s="85"/>
      <c r="B297" s="86"/>
      <c r="C297" s="87"/>
      <c r="D297" s="86"/>
      <c r="E297" s="86"/>
      <c r="F297" s="86"/>
      <c r="G297" s="86"/>
      <c r="H297" s="86"/>
      <c r="I297" s="86"/>
    </row>
    <row r="298">
      <c r="A298" s="85"/>
      <c r="B298" s="86"/>
      <c r="C298" s="87"/>
      <c r="D298" s="86"/>
      <c r="E298" s="86"/>
      <c r="F298" s="86"/>
      <c r="G298" s="86"/>
      <c r="H298" s="86"/>
      <c r="I298" s="86"/>
    </row>
    <row r="299">
      <c r="A299" s="85"/>
      <c r="B299" s="86"/>
      <c r="C299" s="87"/>
      <c r="D299" s="86"/>
      <c r="E299" s="86"/>
      <c r="F299" s="86"/>
      <c r="G299" s="86"/>
      <c r="H299" s="86"/>
      <c r="I299" s="86"/>
    </row>
    <row r="300">
      <c r="A300" s="85"/>
      <c r="B300" s="86"/>
      <c r="C300" s="87"/>
      <c r="D300" s="86"/>
      <c r="E300" s="86"/>
      <c r="F300" s="86"/>
      <c r="G300" s="86"/>
      <c r="H300" s="86"/>
      <c r="I300" s="86"/>
    </row>
    <row r="301">
      <c r="A301" s="85"/>
      <c r="B301" s="86"/>
      <c r="C301" s="87"/>
      <c r="D301" s="86"/>
      <c r="E301" s="86"/>
      <c r="F301" s="86"/>
      <c r="G301" s="86"/>
      <c r="H301" s="86"/>
      <c r="I301" s="86"/>
    </row>
    <row r="302">
      <c r="A302" s="85"/>
      <c r="B302" s="86"/>
      <c r="C302" s="87"/>
      <c r="D302" s="86"/>
      <c r="E302" s="86"/>
      <c r="F302" s="86"/>
      <c r="G302" s="86"/>
      <c r="H302" s="86"/>
      <c r="I302" s="86"/>
    </row>
    <row r="303">
      <c r="A303" s="85"/>
      <c r="B303" s="86"/>
      <c r="C303" s="87"/>
      <c r="D303" s="86"/>
      <c r="E303" s="86"/>
      <c r="F303" s="86"/>
      <c r="G303" s="86"/>
      <c r="H303" s="86"/>
      <c r="I303" s="86"/>
    </row>
    <row r="304">
      <c r="A304" s="85"/>
      <c r="B304" s="86"/>
      <c r="C304" s="87"/>
      <c r="D304" s="86"/>
      <c r="E304" s="86"/>
      <c r="F304" s="86"/>
      <c r="G304" s="86"/>
      <c r="H304" s="86"/>
      <c r="I304" s="86"/>
    </row>
    <row r="305">
      <c r="A305" s="85"/>
      <c r="B305" s="86"/>
      <c r="C305" s="87"/>
      <c r="D305" s="86"/>
      <c r="E305" s="86"/>
      <c r="F305" s="86"/>
      <c r="G305" s="86"/>
      <c r="H305" s="86"/>
      <c r="I305" s="86"/>
    </row>
    <row r="306">
      <c r="A306" s="85"/>
      <c r="B306" s="86"/>
      <c r="C306" s="87"/>
      <c r="D306" s="86"/>
      <c r="E306" s="86"/>
      <c r="F306" s="86"/>
      <c r="G306" s="86"/>
      <c r="H306" s="86"/>
      <c r="I306" s="86"/>
    </row>
    <row r="307">
      <c r="A307" s="85"/>
      <c r="B307" s="86"/>
      <c r="C307" s="87"/>
      <c r="D307" s="86"/>
      <c r="E307" s="86"/>
      <c r="F307" s="86"/>
      <c r="G307" s="86"/>
      <c r="H307" s="86"/>
      <c r="I307" s="86"/>
    </row>
    <row r="308">
      <c r="A308" s="85"/>
      <c r="B308" s="86"/>
      <c r="C308" s="87"/>
      <c r="D308" s="86"/>
      <c r="E308" s="86"/>
      <c r="F308" s="86"/>
      <c r="G308" s="86"/>
      <c r="H308" s="86"/>
      <c r="I308" s="86"/>
    </row>
    <row r="309">
      <c r="A309" s="85"/>
      <c r="B309" s="86"/>
      <c r="C309" s="87"/>
      <c r="D309" s="86"/>
      <c r="E309" s="86"/>
      <c r="F309" s="86"/>
      <c r="G309" s="86"/>
      <c r="H309" s="86"/>
      <c r="I309" s="86"/>
    </row>
    <row r="310">
      <c r="A310" s="85"/>
      <c r="B310" s="86"/>
      <c r="C310" s="87"/>
      <c r="D310" s="86"/>
      <c r="E310" s="86"/>
      <c r="F310" s="86"/>
      <c r="G310" s="86"/>
      <c r="H310" s="86"/>
      <c r="I310" s="86"/>
    </row>
    <row r="311">
      <c r="A311" s="85"/>
      <c r="B311" s="86"/>
      <c r="C311" s="87"/>
      <c r="D311" s="86"/>
      <c r="E311" s="86"/>
      <c r="F311" s="86"/>
      <c r="G311" s="86"/>
      <c r="H311" s="86"/>
      <c r="I311" s="86"/>
    </row>
    <row r="312">
      <c r="A312" s="85"/>
      <c r="B312" s="86"/>
      <c r="C312" s="87"/>
      <c r="D312" s="86"/>
      <c r="E312" s="86"/>
      <c r="F312" s="86"/>
      <c r="G312" s="86"/>
      <c r="H312" s="86"/>
      <c r="I312" s="86"/>
    </row>
    <row r="313">
      <c r="A313" s="85"/>
      <c r="B313" s="86"/>
      <c r="C313" s="87"/>
      <c r="D313" s="86"/>
      <c r="E313" s="86"/>
      <c r="F313" s="86"/>
      <c r="G313" s="86"/>
      <c r="H313" s="86"/>
      <c r="I313" s="86"/>
    </row>
    <row r="314">
      <c r="A314" s="85"/>
      <c r="B314" s="86"/>
      <c r="C314" s="87"/>
      <c r="D314" s="86"/>
      <c r="E314" s="86"/>
      <c r="F314" s="86"/>
      <c r="G314" s="86"/>
      <c r="H314" s="86"/>
      <c r="I314" s="86"/>
    </row>
    <row r="315">
      <c r="A315" s="85"/>
      <c r="B315" s="86"/>
      <c r="C315" s="87"/>
      <c r="D315" s="86"/>
      <c r="E315" s="86"/>
      <c r="F315" s="86"/>
      <c r="G315" s="86"/>
      <c r="H315" s="86"/>
      <c r="I315" s="86"/>
    </row>
    <row r="316">
      <c r="A316" s="85"/>
      <c r="B316" s="86"/>
      <c r="C316" s="87"/>
      <c r="D316" s="86"/>
      <c r="E316" s="86"/>
      <c r="F316" s="86"/>
      <c r="G316" s="86"/>
      <c r="H316" s="86"/>
      <c r="I316" s="86"/>
    </row>
    <row r="317">
      <c r="A317" s="85"/>
      <c r="B317" s="86"/>
      <c r="C317" s="87"/>
      <c r="D317" s="86"/>
      <c r="E317" s="86"/>
      <c r="F317" s="86"/>
      <c r="G317" s="86"/>
      <c r="H317" s="86"/>
      <c r="I317" s="86"/>
    </row>
    <row r="318">
      <c r="A318" s="85"/>
      <c r="B318" s="86"/>
      <c r="C318" s="87"/>
      <c r="D318" s="86"/>
      <c r="E318" s="86"/>
      <c r="F318" s="86"/>
      <c r="G318" s="86"/>
      <c r="H318" s="86"/>
      <c r="I318" s="86"/>
    </row>
    <row r="319">
      <c r="A319" s="85"/>
      <c r="B319" s="86"/>
      <c r="C319" s="87"/>
      <c r="D319" s="86"/>
      <c r="E319" s="86"/>
      <c r="F319" s="86"/>
      <c r="G319" s="86"/>
      <c r="H319" s="86"/>
      <c r="I319" s="86"/>
    </row>
    <row r="320">
      <c r="A320" s="85"/>
      <c r="B320" s="86"/>
      <c r="C320" s="87"/>
      <c r="D320" s="86"/>
      <c r="E320" s="86"/>
      <c r="F320" s="86"/>
      <c r="G320" s="86"/>
      <c r="H320" s="86"/>
      <c r="I320" s="86"/>
    </row>
    <row r="321">
      <c r="A321" s="85"/>
      <c r="B321" s="86"/>
      <c r="C321" s="87"/>
      <c r="D321" s="86"/>
      <c r="E321" s="86"/>
      <c r="F321" s="86"/>
      <c r="G321" s="86"/>
      <c r="H321" s="86"/>
      <c r="I321" s="86"/>
    </row>
    <row r="322">
      <c r="A322" s="85"/>
      <c r="B322" s="86"/>
      <c r="C322" s="87"/>
      <c r="D322" s="86"/>
      <c r="E322" s="86"/>
      <c r="F322" s="86"/>
      <c r="G322" s="86"/>
      <c r="H322" s="86"/>
      <c r="I322" s="86"/>
    </row>
    <row r="323">
      <c r="A323" s="85"/>
      <c r="B323" s="86"/>
      <c r="C323" s="87"/>
      <c r="D323" s="86"/>
      <c r="E323" s="86"/>
      <c r="F323" s="86"/>
      <c r="G323" s="86"/>
      <c r="H323" s="86"/>
      <c r="I323" s="86"/>
    </row>
    <row r="324">
      <c r="A324" s="85"/>
      <c r="B324" s="86"/>
      <c r="C324" s="87"/>
      <c r="D324" s="86"/>
      <c r="E324" s="86"/>
      <c r="F324" s="86"/>
      <c r="G324" s="86"/>
      <c r="H324" s="86"/>
      <c r="I324" s="86"/>
    </row>
    <row r="325">
      <c r="A325" s="85"/>
      <c r="B325" s="86"/>
      <c r="C325" s="87"/>
      <c r="D325" s="86"/>
      <c r="E325" s="86"/>
      <c r="F325" s="86"/>
      <c r="G325" s="86"/>
      <c r="H325" s="86"/>
      <c r="I325" s="86"/>
    </row>
    <row r="326">
      <c r="A326" s="85"/>
      <c r="B326" s="86"/>
      <c r="C326" s="87"/>
      <c r="D326" s="86"/>
      <c r="E326" s="86"/>
      <c r="F326" s="86"/>
      <c r="G326" s="86"/>
      <c r="H326" s="86"/>
      <c r="I326" s="86"/>
    </row>
    <row r="327">
      <c r="A327" s="85"/>
      <c r="B327" s="86"/>
      <c r="C327" s="87"/>
      <c r="D327" s="86"/>
      <c r="E327" s="86"/>
      <c r="F327" s="86"/>
      <c r="G327" s="86"/>
      <c r="H327" s="86"/>
      <c r="I327" s="86"/>
    </row>
    <row r="328">
      <c r="A328" s="85"/>
      <c r="B328" s="86"/>
      <c r="C328" s="87"/>
      <c r="D328" s="86"/>
      <c r="E328" s="86"/>
      <c r="F328" s="86"/>
      <c r="G328" s="86"/>
      <c r="H328" s="86"/>
      <c r="I328" s="86"/>
    </row>
    <row r="329">
      <c r="A329" s="85"/>
      <c r="B329" s="86"/>
      <c r="C329" s="87"/>
      <c r="D329" s="86"/>
      <c r="E329" s="86"/>
      <c r="F329" s="86"/>
      <c r="G329" s="86"/>
      <c r="H329" s="86"/>
      <c r="I329" s="86"/>
    </row>
    <row r="330">
      <c r="A330" s="85"/>
      <c r="B330" s="86"/>
      <c r="C330" s="87"/>
      <c r="D330" s="86"/>
      <c r="E330" s="86"/>
      <c r="F330" s="86"/>
      <c r="G330" s="86"/>
      <c r="H330" s="86"/>
      <c r="I330" s="86"/>
    </row>
    <row r="331">
      <c r="A331" s="85"/>
      <c r="B331" s="86"/>
      <c r="C331" s="87"/>
      <c r="D331" s="86"/>
      <c r="E331" s="86"/>
      <c r="F331" s="86"/>
      <c r="G331" s="86"/>
      <c r="H331" s="86"/>
      <c r="I331" s="86"/>
    </row>
    <row r="332">
      <c r="A332" s="85"/>
      <c r="B332" s="86"/>
      <c r="C332" s="87"/>
      <c r="D332" s="86"/>
      <c r="E332" s="86"/>
      <c r="F332" s="86"/>
      <c r="G332" s="86"/>
      <c r="H332" s="86"/>
      <c r="I332" s="86"/>
    </row>
    <row r="333">
      <c r="A333" s="85"/>
      <c r="B333" s="86"/>
      <c r="C333" s="87"/>
      <c r="D333" s="86"/>
      <c r="E333" s="86"/>
      <c r="F333" s="86"/>
      <c r="G333" s="86"/>
      <c r="H333" s="86"/>
      <c r="I333" s="86"/>
    </row>
    <row r="334">
      <c r="A334" s="85"/>
      <c r="B334" s="86"/>
      <c r="C334" s="87"/>
      <c r="D334" s="86"/>
      <c r="E334" s="86"/>
      <c r="F334" s="86"/>
      <c r="G334" s="86"/>
      <c r="H334" s="86"/>
      <c r="I334" s="86"/>
    </row>
    <row r="335">
      <c r="A335" s="85"/>
      <c r="B335" s="86"/>
      <c r="C335" s="87"/>
      <c r="D335" s="86"/>
      <c r="E335" s="86"/>
      <c r="F335" s="86"/>
      <c r="G335" s="86"/>
      <c r="H335" s="86"/>
      <c r="I335" s="86"/>
    </row>
    <row r="336">
      <c r="A336" s="85"/>
      <c r="B336" s="86"/>
      <c r="C336" s="87"/>
      <c r="D336" s="86"/>
      <c r="E336" s="86"/>
      <c r="F336" s="86"/>
      <c r="G336" s="86"/>
      <c r="H336" s="86"/>
      <c r="I336" s="86"/>
    </row>
    <row r="337">
      <c r="A337" s="85"/>
      <c r="B337" s="86"/>
      <c r="C337" s="87"/>
      <c r="D337" s="86"/>
      <c r="E337" s="86"/>
      <c r="F337" s="86"/>
      <c r="G337" s="86"/>
      <c r="H337" s="86"/>
      <c r="I337" s="86"/>
    </row>
    <row r="338">
      <c r="A338" s="85"/>
      <c r="B338" s="86"/>
      <c r="C338" s="87"/>
      <c r="D338" s="86"/>
      <c r="E338" s="86"/>
      <c r="F338" s="86"/>
      <c r="G338" s="86"/>
      <c r="H338" s="86"/>
      <c r="I338" s="86"/>
    </row>
    <row r="339">
      <c r="A339" s="85"/>
      <c r="B339" s="86"/>
      <c r="C339" s="87"/>
      <c r="D339" s="86"/>
      <c r="E339" s="86"/>
      <c r="F339" s="86"/>
      <c r="G339" s="86"/>
      <c r="H339" s="86"/>
      <c r="I339" s="86"/>
    </row>
    <row r="340">
      <c r="A340" s="85"/>
      <c r="B340" s="86"/>
      <c r="C340" s="87"/>
      <c r="D340" s="86"/>
      <c r="E340" s="86"/>
      <c r="F340" s="86"/>
      <c r="G340" s="86"/>
      <c r="H340" s="86"/>
      <c r="I340" s="86"/>
    </row>
    <row r="341">
      <c r="A341" s="85"/>
      <c r="B341" s="86"/>
      <c r="C341" s="87"/>
      <c r="D341" s="86"/>
      <c r="E341" s="86"/>
      <c r="F341" s="86"/>
      <c r="G341" s="86"/>
      <c r="H341" s="86"/>
      <c r="I341" s="86"/>
    </row>
    <row r="342">
      <c r="A342" s="85"/>
      <c r="B342" s="86"/>
      <c r="C342" s="87"/>
      <c r="D342" s="86"/>
      <c r="E342" s="86"/>
      <c r="F342" s="86"/>
      <c r="G342" s="86"/>
      <c r="H342" s="86"/>
      <c r="I342" s="86"/>
    </row>
    <row r="343">
      <c r="A343" s="85"/>
      <c r="B343" s="86"/>
      <c r="C343" s="87"/>
      <c r="D343" s="86"/>
      <c r="E343" s="86"/>
      <c r="F343" s="86"/>
      <c r="G343" s="86"/>
      <c r="H343" s="86"/>
      <c r="I343" s="86"/>
    </row>
    <row r="344">
      <c r="A344" s="85"/>
      <c r="B344" s="86"/>
      <c r="C344" s="87"/>
      <c r="D344" s="86"/>
      <c r="E344" s="86"/>
      <c r="F344" s="86"/>
      <c r="G344" s="86"/>
      <c r="H344" s="86"/>
      <c r="I344" s="86"/>
    </row>
    <row r="345">
      <c r="A345" s="85"/>
      <c r="B345" s="86"/>
      <c r="C345" s="87"/>
      <c r="D345" s="86"/>
      <c r="E345" s="86"/>
      <c r="F345" s="86"/>
      <c r="G345" s="86"/>
      <c r="H345" s="86"/>
      <c r="I345" s="86"/>
    </row>
    <row r="346">
      <c r="A346" s="85"/>
      <c r="B346" s="86"/>
      <c r="C346" s="87"/>
      <c r="D346" s="86"/>
      <c r="E346" s="86"/>
      <c r="F346" s="86"/>
      <c r="G346" s="86"/>
      <c r="H346" s="86"/>
      <c r="I346" s="86"/>
    </row>
    <row r="347">
      <c r="A347" s="85"/>
      <c r="B347" s="86"/>
      <c r="C347" s="87"/>
      <c r="D347" s="86"/>
      <c r="E347" s="86"/>
      <c r="F347" s="86"/>
      <c r="G347" s="86"/>
      <c r="H347" s="86"/>
      <c r="I347" s="86"/>
    </row>
    <row r="348">
      <c r="A348" s="85"/>
      <c r="B348" s="86"/>
      <c r="C348" s="87"/>
      <c r="D348" s="86"/>
      <c r="E348" s="86"/>
      <c r="F348" s="86"/>
      <c r="G348" s="86"/>
      <c r="H348" s="86"/>
      <c r="I348" s="86"/>
    </row>
    <row r="349">
      <c r="A349" s="85"/>
      <c r="B349" s="86"/>
      <c r="C349" s="87"/>
      <c r="D349" s="86"/>
      <c r="E349" s="86"/>
      <c r="F349" s="86"/>
      <c r="G349" s="86"/>
      <c r="H349" s="86"/>
      <c r="I349" s="86"/>
    </row>
    <row r="350">
      <c r="A350" s="85"/>
      <c r="B350" s="86"/>
      <c r="C350" s="87"/>
      <c r="D350" s="86"/>
      <c r="E350" s="86"/>
      <c r="F350" s="86"/>
      <c r="G350" s="86"/>
      <c r="H350" s="86"/>
      <c r="I350" s="86"/>
    </row>
    <row r="351">
      <c r="A351" s="85"/>
      <c r="B351" s="86"/>
      <c r="C351" s="87"/>
      <c r="D351" s="86"/>
      <c r="E351" s="86"/>
      <c r="F351" s="86"/>
      <c r="G351" s="86"/>
      <c r="H351" s="86"/>
      <c r="I351" s="86"/>
    </row>
    <row r="352">
      <c r="A352" s="85"/>
      <c r="B352" s="86"/>
      <c r="C352" s="87"/>
      <c r="D352" s="86"/>
      <c r="E352" s="86"/>
      <c r="F352" s="86"/>
      <c r="G352" s="86"/>
      <c r="H352" s="86"/>
      <c r="I352" s="86"/>
    </row>
    <row r="353">
      <c r="A353" s="85"/>
      <c r="B353" s="86"/>
      <c r="C353" s="87"/>
      <c r="D353" s="86"/>
      <c r="E353" s="86"/>
      <c r="F353" s="86"/>
      <c r="G353" s="86"/>
      <c r="H353" s="86"/>
      <c r="I353" s="86"/>
    </row>
    <row r="354">
      <c r="A354" s="85"/>
      <c r="B354" s="86"/>
      <c r="C354" s="87"/>
      <c r="D354" s="86"/>
      <c r="E354" s="86"/>
      <c r="F354" s="86"/>
      <c r="G354" s="86"/>
      <c r="H354" s="86"/>
      <c r="I354" s="86"/>
    </row>
    <row r="355">
      <c r="A355" s="85"/>
      <c r="B355" s="86"/>
      <c r="C355" s="87"/>
      <c r="D355" s="86"/>
      <c r="E355" s="86"/>
      <c r="F355" s="86"/>
      <c r="G355" s="86"/>
      <c r="H355" s="86"/>
      <c r="I355" s="86"/>
    </row>
    <row r="356">
      <c r="A356" s="85"/>
      <c r="B356" s="86"/>
      <c r="C356" s="87"/>
      <c r="D356" s="86"/>
      <c r="E356" s="86"/>
      <c r="F356" s="86"/>
      <c r="G356" s="86"/>
      <c r="H356" s="86"/>
      <c r="I356" s="86"/>
    </row>
    <row r="357">
      <c r="A357" s="85"/>
      <c r="B357" s="86"/>
      <c r="C357" s="87"/>
      <c r="D357" s="86"/>
      <c r="E357" s="86"/>
      <c r="F357" s="86"/>
      <c r="G357" s="86"/>
      <c r="H357" s="86"/>
      <c r="I357" s="86"/>
    </row>
    <row r="358">
      <c r="A358" s="85"/>
      <c r="B358" s="86"/>
      <c r="C358" s="87"/>
      <c r="D358" s="86"/>
      <c r="E358" s="86"/>
      <c r="F358" s="86"/>
      <c r="G358" s="86"/>
      <c r="H358" s="86"/>
      <c r="I358" s="86"/>
    </row>
    <row r="359">
      <c r="A359" s="85"/>
      <c r="B359" s="86"/>
      <c r="C359" s="87"/>
      <c r="D359" s="86"/>
      <c r="E359" s="86"/>
      <c r="F359" s="86"/>
      <c r="G359" s="86"/>
      <c r="H359" s="86"/>
      <c r="I359" s="86"/>
    </row>
    <row r="360">
      <c r="A360" s="85"/>
      <c r="B360" s="86"/>
      <c r="C360" s="87"/>
      <c r="D360" s="86"/>
      <c r="E360" s="86"/>
      <c r="F360" s="86"/>
      <c r="G360" s="86"/>
      <c r="H360" s="86"/>
      <c r="I360" s="86"/>
    </row>
    <row r="361">
      <c r="A361" s="85"/>
      <c r="B361" s="86"/>
      <c r="C361" s="87"/>
      <c r="D361" s="86"/>
      <c r="E361" s="86"/>
      <c r="F361" s="86"/>
      <c r="G361" s="86"/>
      <c r="H361" s="86"/>
      <c r="I361" s="86"/>
    </row>
    <row r="362">
      <c r="A362" s="85"/>
      <c r="B362" s="86"/>
      <c r="C362" s="87"/>
      <c r="D362" s="86"/>
      <c r="E362" s="86"/>
      <c r="F362" s="86"/>
      <c r="G362" s="86"/>
      <c r="H362" s="86"/>
      <c r="I362" s="86"/>
    </row>
    <row r="363">
      <c r="A363" s="85"/>
      <c r="B363" s="86"/>
      <c r="C363" s="87"/>
      <c r="D363" s="86"/>
      <c r="E363" s="86"/>
      <c r="F363" s="86"/>
      <c r="G363" s="86"/>
      <c r="H363" s="86"/>
      <c r="I363" s="86"/>
    </row>
    <row r="364">
      <c r="A364" s="85"/>
      <c r="B364" s="86"/>
      <c r="C364" s="87"/>
      <c r="D364" s="86"/>
      <c r="E364" s="86"/>
      <c r="F364" s="86"/>
      <c r="G364" s="86"/>
      <c r="H364" s="86"/>
      <c r="I364" s="86"/>
    </row>
    <row r="365">
      <c r="A365" s="85"/>
      <c r="B365" s="86"/>
      <c r="C365" s="87"/>
      <c r="D365" s="86"/>
      <c r="E365" s="86"/>
      <c r="F365" s="86"/>
      <c r="G365" s="86"/>
      <c r="H365" s="86"/>
      <c r="I365" s="86"/>
    </row>
    <row r="366">
      <c r="A366" s="85"/>
      <c r="B366" s="86"/>
      <c r="C366" s="87"/>
      <c r="D366" s="86"/>
      <c r="E366" s="86"/>
      <c r="F366" s="86"/>
      <c r="G366" s="86"/>
      <c r="H366" s="86"/>
      <c r="I366" s="86"/>
    </row>
    <row r="367">
      <c r="A367" s="85"/>
      <c r="B367" s="86"/>
      <c r="C367" s="87"/>
      <c r="D367" s="86"/>
      <c r="E367" s="86"/>
      <c r="F367" s="86"/>
      <c r="G367" s="86"/>
      <c r="H367" s="86"/>
      <c r="I367" s="86"/>
    </row>
    <row r="368">
      <c r="A368" s="85"/>
      <c r="B368" s="86"/>
      <c r="C368" s="87"/>
      <c r="D368" s="86"/>
      <c r="E368" s="86"/>
      <c r="F368" s="86"/>
      <c r="G368" s="86"/>
      <c r="H368" s="86"/>
      <c r="I368" s="86"/>
    </row>
    <row r="369">
      <c r="A369" s="85"/>
      <c r="B369" s="86"/>
      <c r="C369" s="87"/>
      <c r="D369" s="86"/>
      <c r="E369" s="86"/>
      <c r="F369" s="86"/>
      <c r="G369" s="86"/>
      <c r="H369" s="86"/>
      <c r="I369" s="86"/>
    </row>
    <row r="370">
      <c r="A370" s="85"/>
      <c r="B370" s="86"/>
      <c r="C370" s="87"/>
      <c r="D370" s="86"/>
      <c r="E370" s="86"/>
      <c r="F370" s="86"/>
      <c r="G370" s="86"/>
      <c r="H370" s="86"/>
      <c r="I370" s="86"/>
    </row>
    <row r="371">
      <c r="A371" s="85"/>
      <c r="B371" s="86"/>
      <c r="C371" s="87"/>
      <c r="D371" s="86"/>
      <c r="E371" s="86"/>
      <c r="F371" s="86"/>
      <c r="G371" s="86"/>
      <c r="H371" s="86"/>
      <c r="I371" s="86"/>
    </row>
    <row r="372">
      <c r="A372" s="85"/>
      <c r="B372" s="86"/>
      <c r="C372" s="87"/>
      <c r="D372" s="86"/>
      <c r="E372" s="86"/>
      <c r="F372" s="86"/>
      <c r="G372" s="86"/>
      <c r="H372" s="86"/>
      <c r="I372" s="86"/>
    </row>
    <row r="373">
      <c r="A373" s="85"/>
      <c r="B373" s="86"/>
      <c r="C373" s="87"/>
      <c r="D373" s="86"/>
      <c r="E373" s="86"/>
      <c r="F373" s="86"/>
      <c r="G373" s="86"/>
      <c r="H373" s="86"/>
      <c r="I373" s="86"/>
    </row>
    <row r="374">
      <c r="A374" s="85"/>
      <c r="B374" s="86"/>
      <c r="C374" s="87"/>
      <c r="D374" s="86"/>
      <c r="E374" s="86"/>
      <c r="F374" s="86"/>
      <c r="G374" s="86"/>
      <c r="H374" s="86"/>
      <c r="I374" s="86"/>
    </row>
    <row r="375">
      <c r="A375" s="85"/>
      <c r="B375" s="86"/>
      <c r="C375" s="87"/>
      <c r="D375" s="86"/>
      <c r="E375" s="86"/>
      <c r="F375" s="86"/>
      <c r="G375" s="86"/>
      <c r="H375" s="86"/>
      <c r="I375" s="86"/>
    </row>
    <row r="376">
      <c r="A376" s="85"/>
      <c r="B376" s="86"/>
      <c r="C376" s="87"/>
      <c r="D376" s="86"/>
      <c r="E376" s="86"/>
      <c r="F376" s="86"/>
      <c r="G376" s="86"/>
      <c r="H376" s="86"/>
      <c r="I376" s="86"/>
    </row>
    <row r="377">
      <c r="A377" s="85"/>
      <c r="B377" s="86"/>
      <c r="C377" s="87"/>
      <c r="D377" s="86"/>
      <c r="E377" s="86"/>
      <c r="F377" s="86"/>
      <c r="G377" s="86"/>
      <c r="H377" s="86"/>
      <c r="I377" s="86"/>
    </row>
    <row r="378">
      <c r="A378" s="85"/>
      <c r="B378" s="86"/>
      <c r="C378" s="87"/>
      <c r="D378" s="86"/>
      <c r="E378" s="86"/>
      <c r="F378" s="86"/>
      <c r="G378" s="86"/>
      <c r="H378" s="86"/>
      <c r="I378" s="86"/>
    </row>
    <row r="379">
      <c r="A379" s="85"/>
      <c r="B379" s="86"/>
      <c r="C379" s="87"/>
      <c r="D379" s="86"/>
      <c r="E379" s="86"/>
      <c r="F379" s="86"/>
      <c r="G379" s="86"/>
      <c r="H379" s="86"/>
      <c r="I379" s="86"/>
    </row>
    <row r="380">
      <c r="A380" s="85"/>
      <c r="B380" s="86"/>
      <c r="C380" s="87"/>
      <c r="D380" s="86"/>
      <c r="E380" s="86"/>
      <c r="F380" s="86"/>
      <c r="G380" s="86"/>
      <c r="H380" s="86"/>
      <c r="I380" s="86"/>
    </row>
    <row r="381">
      <c r="A381" s="85"/>
      <c r="B381" s="86"/>
      <c r="C381" s="87"/>
      <c r="D381" s="86"/>
      <c r="E381" s="86"/>
      <c r="F381" s="86"/>
      <c r="G381" s="86"/>
      <c r="H381" s="86"/>
      <c r="I381" s="86"/>
    </row>
    <row r="382">
      <c r="A382" s="85"/>
      <c r="B382" s="86"/>
      <c r="C382" s="87"/>
      <c r="D382" s="86"/>
      <c r="E382" s="86"/>
      <c r="F382" s="86"/>
      <c r="G382" s="86"/>
      <c r="H382" s="86"/>
      <c r="I382" s="86"/>
    </row>
    <row r="383">
      <c r="A383" s="85"/>
      <c r="B383" s="86"/>
      <c r="C383" s="87"/>
      <c r="D383" s="86"/>
      <c r="E383" s="86"/>
      <c r="F383" s="86"/>
      <c r="G383" s="86"/>
      <c r="H383" s="86"/>
      <c r="I383" s="86"/>
    </row>
    <row r="384">
      <c r="A384" s="85"/>
      <c r="B384" s="86"/>
      <c r="C384" s="87"/>
      <c r="D384" s="86"/>
      <c r="E384" s="86"/>
      <c r="F384" s="86"/>
      <c r="G384" s="86"/>
      <c r="H384" s="86"/>
      <c r="I384" s="86"/>
    </row>
    <row r="385">
      <c r="A385" s="85"/>
      <c r="B385" s="86"/>
      <c r="C385" s="87"/>
      <c r="D385" s="86"/>
      <c r="E385" s="86"/>
      <c r="F385" s="86"/>
      <c r="G385" s="86"/>
      <c r="H385" s="86"/>
      <c r="I385" s="86"/>
    </row>
    <row r="386">
      <c r="A386" s="85"/>
      <c r="B386" s="86"/>
      <c r="C386" s="87"/>
      <c r="D386" s="86"/>
      <c r="E386" s="86"/>
      <c r="F386" s="86"/>
      <c r="G386" s="86"/>
      <c r="H386" s="86"/>
      <c r="I386" s="86"/>
    </row>
    <row r="387">
      <c r="A387" s="85"/>
      <c r="B387" s="86"/>
      <c r="C387" s="87"/>
      <c r="D387" s="86"/>
      <c r="E387" s="86"/>
      <c r="F387" s="86"/>
      <c r="G387" s="86"/>
      <c r="H387" s="86"/>
      <c r="I387" s="86"/>
    </row>
    <row r="388">
      <c r="A388" s="85"/>
      <c r="B388" s="86"/>
      <c r="C388" s="87"/>
      <c r="D388" s="86"/>
      <c r="E388" s="86"/>
      <c r="F388" s="86"/>
      <c r="G388" s="86"/>
      <c r="H388" s="86"/>
      <c r="I388" s="86"/>
    </row>
    <row r="389">
      <c r="A389" s="85"/>
      <c r="B389" s="86"/>
      <c r="C389" s="87"/>
      <c r="D389" s="86"/>
      <c r="E389" s="86"/>
      <c r="F389" s="86"/>
      <c r="G389" s="86"/>
      <c r="H389" s="86"/>
      <c r="I389" s="86"/>
    </row>
    <row r="390">
      <c r="A390" s="85"/>
      <c r="B390" s="86"/>
      <c r="C390" s="87"/>
      <c r="D390" s="86"/>
      <c r="E390" s="86"/>
      <c r="F390" s="86"/>
      <c r="G390" s="86"/>
      <c r="H390" s="86"/>
      <c r="I390" s="86"/>
    </row>
    <row r="391">
      <c r="A391" s="85"/>
      <c r="B391" s="86"/>
      <c r="C391" s="87"/>
      <c r="D391" s="86"/>
      <c r="E391" s="86"/>
      <c r="F391" s="86"/>
      <c r="G391" s="86"/>
      <c r="H391" s="86"/>
      <c r="I391" s="86"/>
    </row>
    <row r="392">
      <c r="A392" s="85"/>
      <c r="B392" s="86"/>
      <c r="C392" s="87"/>
      <c r="D392" s="86"/>
      <c r="E392" s="86"/>
      <c r="F392" s="86"/>
      <c r="G392" s="86"/>
      <c r="H392" s="86"/>
      <c r="I392" s="86"/>
    </row>
    <row r="393">
      <c r="A393" s="85"/>
      <c r="B393" s="86"/>
      <c r="C393" s="87"/>
      <c r="D393" s="86"/>
      <c r="E393" s="86"/>
      <c r="F393" s="86"/>
      <c r="G393" s="86"/>
      <c r="H393" s="86"/>
      <c r="I393" s="86"/>
    </row>
    <row r="394">
      <c r="A394" s="85"/>
      <c r="B394" s="86"/>
      <c r="C394" s="87"/>
      <c r="D394" s="86"/>
      <c r="E394" s="86"/>
      <c r="F394" s="86"/>
      <c r="G394" s="86"/>
      <c r="H394" s="86"/>
      <c r="I394" s="86"/>
    </row>
    <row r="395">
      <c r="A395" s="85"/>
      <c r="B395" s="86"/>
      <c r="C395" s="87"/>
      <c r="D395" s="86"/>
      <c r="E395" s="86"/>
      <c r="F395" s="86"/>
      <c r="G395" s="86"/>
      <c r="H395" s="86"/>
      <c r="I395" s="86"/>
    </row>
    <row r="396">
      <c r="A396" s="85"/>
      <c r="B396" s="86"/>
      <c r="C396" s="87"/>
      <c r="D396" s="86"/>
      <c r="E396" s="86"/>
      <c r="F396" s="86"/>
      <c r="G396" s="86"/>
      <c r="H396" s="86"/>
      <c r="I396" s="86"/>
    </row>
    <row r="397">
      <c r="A397" s="85"/>
      <c r="B397" s="86"/>
      <c r="C397" s="87"/>
      <c r="D397" s="86"/>
      <c r="E397" s="86"/>
      <c r="F397" s="86"/>
      <c r="G397" s="86"/>
      <c r="H397" s="86"/>
      <c r="I397" s="86"/>
    </row>
    <row r="398">
      <c r="A398" s="85"/>
      <c r="B398" s="86"/>
      <c r="C398" s="87"/>
      <c r="D398" s="86"/>
      <c r="E398" s="86"/>
      <c r="F398" s="86"/>
      <c r="G398" s="86"/>
      <c r="H398" s="86"/>
      <c r="I398" s="86"/>
    </row>
    <row r="399">
      <c r="A399" s="85"/>
      <c r="B399" s="86"/>
      <c r="C399" s="87"/>
      <c r="D399" s="86"/>
      <c r="E399" s="86"/>
      <c r="F399" s="86"/>
      <c r="G399" s="86"/>
      <c r="H399" s="86"/>
      <c r="I399" s="86"/>
    </row>
    <row r="400">
      <c r="A400" s="85"/>
      <c r="B400" s="86"/>
      <c r="C400" s="87"/>
      <c r="D400" s="86"/>
      <c r="E400" s="86"/>
      <c r="F400" s="86"/>
      <c r="G400" s="86"/>
      <c r="H400" s="86"/>
      <c r="I400" s="86"/>
    </row>
    <row r="401">
      <c r="A401" s="85"/>
      <c r="B401" s="86"/>
      <c r="C401" s="87"/>
      <c r="D401" s="86"/>
      <c r="E401" s="86"/>
      <c r="F401" s="86"/>
      <c r="G401" s="86"/>
      <c r="H401" s="86"/>
      <c r="I401" s="86"/>
    </row>
    <row r="402">
      <c r="A402" s="85"/>
      <c r="B402" s="86"/>
      <c r="C402" s="87"/>
      <c r="D402" s="86"/>
      <c r="E402" s="86"/>
      <c r="F402" s="86"/>
      <c r="G402" s="86"/>
      <c r="H402" s="86"/>
      <c r="I402" s="86"/>
    </row>
    <row r="403">
      <c r="A403" s="85"/>
      <c r="B403" s="86"/>
      <c r="C403" s="87"/>
      <c r="D403" s="86"/>
      <c r="E403" s="86"/>
      <c r="F403" s="86"/>
      <c r="G403" s="86"/>
      <c r="H403" s="86"/>
      <c r="I403" s="86"/>
    </row>
    <row r="404">
      <c r="A404" s="85"/>
      <c r="B404" s="86"/>
      <c r="C404" s="87"/>
      <c r="D404" s="86"/>
      <c r="E404" s="86"/>
      <c r="F404" s="86"/>
      <c r="G404" s="86"/>
      <c r="H404" s="86"/>
      <c r="I404" s="86"/>
    </row>
    <row r="405">
      <c r="A405" s="85"/>
      <c r="B405" s="86"/>
      <c r="C405" s="87"/>
      <c r="D405" s="86"/>
      <c r="E405" s="86"/>
      <c r="F405" s="86"/>
      <c r="G405" s="86"/>
      <c r="H405" s="86"/>
      <c r="I405" s="86"/>
    </row>
    <row r="406">
      <c r="A406" s="85"/>
      <c r="B406" s="86"/>
      <c r="C406" s="87"/>
      <c r="D406" s="86"/>
      <c r="E406" s="86"/>
      <c r="F406" s="86"/>
      <c r="G406" s="86"/>
      <c r="H406" s="86"/>
      <c r="I406" s="86"/>
    </row>
    <row r="407">
      <c r="A407" s="85"/>
      <c r="B407" s="86"/>
      <c r="C407" s="87"/>
      <c r="D407" s="86"/>
      <c r="E407" s="86"/>
      <c r="F407" s="86"/>
      <c r="G407" s="86"/>
      <c r="H407" s="86"/>
      <c r="I407" s="86"/>
    </row>
    <row r="408">
      <c r="A408" s="85"/>
      <c r="B408" s="86"/>
      <c r="C408" s="87"/>
      <c r="D408" s="86"/>
      <c r="E408" s="86"/>
      <c r="F408" s="86"/>
      <c r="G408" s="86"/>
      <c r="H408" s="86"/>
      <c r="I408" s="86"/>
    </row>
    <row r="409">
      <c r="A409" s="85"/>
      <c r="B409" s="86"/>
      <c r="C409" s="87"/>
      <c r="D409" s="86"/>
      <c r="E409" s="86"/>
      <c r="F409" s="86"/>
      <c r="G409" s="86"/>
      <c r="H409" s="86"/>
      <c r="I409" s="86"/>
    </row>
    <row r="410">
      <c r="A410" s="85"/>
      <c r="B410" s="86"/>
      <c r="C410" s="87"/>
      <c r="D410" s="86"/>
      <c r="E410" s="86"/>
      <c r="F410" s="86"/>
      <c r="G410" s="86"/>
      <c r="H410" s="86"/>
      <c r="I410" s="86"/>
    </row>
    <row r="411">
      <c r="A411" s="85"/>
      <c r="B411" s="86"/>
      <c r="C411" s="87"/>
      <c r="D411" s="86"/>
      <c r="E411" s="86"/>
      <c r="F411" s="86"/>
      <c r="G411" s="86"/>
      <c r="H411" s="86"/>
      <c r="I411" s="86"/>
    </row>
    <row r="412">
      <c r="A412" s="85"/>
      <c r="B412" s="86"/>
      <c r="C412" s="87"/>
      <c r="D412" s="86"/>
      <c r="E412" s="86"/>
      <c r="F412" s="86"/>
      <c r="G412" s="86"/>
      <c r="H412" s="86"/>
      <c r="I412" s="86"/>
    </row>
    <row r="413">
      <c r="A413" s="85"/>
      <c r="B413" s="86"/>
      <c r="C413" s="87"/>
      <c r="D413" s="86"/>
      <c r="E413" s="86"/>
      <c r="F413" s="86"/>
      <c r="G413" s="86"/>
      <c r="H413" s="86"/>
      <c r="I413" s="86"/>
    </row>
    <row r="414">
      <c r="A414" s="85"/>
      <c r="B414" s="86"/>
      <c r="C414" s="87"/>
      <c r="D414" s="86"/>
      <c r="E414" s="86"/>
      <c r="F414" s="86"/>
      <c r="G414" s="86"/>
      <c r="H414" s="86"/>
      <c r="I414" s="86"/>
    </row>
    <row r="415">
      <c r="A415" s="85"/>
      <c r="B415" s="86"/>
      <c r="C415" s="87"/>
      <c r="D415" s="86"/>
      <c r="E415" s="86"/>
      <c r="F415" s="86"/>
      <c r="G415" s="86"/>
      <c r="H415" s="86"/>
      <c r="I415" s="86"/>
    </row>
    <row r="416">
      <c r="A416" s="85"/>
      <c r="B416" s="86"/>
      <c r="C416" s="87"/>
      <c r="D416" s="86"/>
      <c r="E416" s="86"/>
      <c r="F416" s="86"/>
      <c r="G416" s="86"/>
      <c r="H416" s="86"/>
      <c r="I416" s="86"/>
    </row>
    <row r="417">
      <c r="A417" s="85"/>
      <c r="B417" s="86"/>
      <c r="C417" s="87"/>
      <c r="D417" s="86"/>
      <c r="E417" s="86"/>
      <c r="F417" s="86"/>
      <c r="G417" s="86"/>
      <c r="H417" s="86"/>
      <c r="I417" s="86"/>
    </row>
    <row r="418">
      <c r="A418" s="85"/>
      <c r="B418" s="86"/>
      <c r="C418" s="87"/>
      <c r="D418" s="86"/>
      <c r="E418" s="86"/>
      <c r="F418" s="86"/>
      <c r="G418" s="86"/>
      <c r="H418" s="86"/>
      <c r="I418" s="86"/>
    </row>
    <row r="419">
      <c r="A419" s="85"/>
      <c r="B419" s="86"/>
      <c r="C419" s="87"/>
      <c r="D419" s="86"/>
      <c r="E419" s="86"/>
      <c r="F419" s="86"/>
      <c r="G419" s="86"/>
      <c r="H419" s="86"/>
      <c r="I419" s="86"/>
    </row>
    <row r="420">
      <c r="A420" s="85"/>
      <c r="B420" s="86"/>
      <c r="C420" s="87"/>
      <c r="D420" s="86"/>
      <c r="E420" s="86"/>
      <c r="F420" s="86"/>
      <c r="G420" s="86"/>
      <c r="H420" s="86"/>
      <c r="I420" s="86"/>
    </row>
    <row r="421">
      <c r="A421" s="85"/>
      <c r="B421" s="86"/>
      <c r="C421" s="87"/>
      <c r="D421" s="86"/>
      <c r="E421" s="86"/>
      <c r="F421" s="86"/>
      <c r="G421" s="86"/>
      <c r="H421" s="86"/>
      <c r="I421" s="86"/>
    </row>
    <row r="422">
      <c r="A422" s="85"/>
      <c r="B422" s="86"/>
      <c r="C422" s="87"/>
      <c r="D422" s="86"/>
      <c r="E422" s="86"/>
      <c r="F422" s="86"/>
      <c r="G422" s="86"/>
      <c r="H422" s="86"/>
      <c r="I422" s="86"/>
    </row>
    <row r="423">
      <c r="A423" s="85"/>
      <c r="B423" s="86"/>
      <c r="C423" s="87"/>
      <c r="D423" s="86"/>
      <c r="E423" s="86"/>
      <c r="F423" s="86"/>
      <c r="G423" s="86"/>
      <c r="H423" s="86"/>
      <c r="I423" s="86"/>
    </row>
    <row r="424">
      <c r="A424" s="85"/>
      <c r="B424" s="86"/>
      <c r="C424" s="87"/>
      <c r="D424" s="86"/>
      <c r="E424" s="86"/>
      <c r="F424" s="86"/>
      <c r="G424" s="86"/>
      <c r="H424" s="86"/>
      <c r="I424" s="86"/>
    </row>
    <row r="425">
      <c r="A425" s="85"/>
      <c r="B425" s="86"/>
      <c r="C425" s="87"/>
      <c r="D425" s="86"/>
      <c r="E425" s="86"/>
      <c r="F425" s="86"/>
      <c r="G425" s="86"/>
      <c r="H425" s="86"/>
      <c r="I425" s="86"/>
    </row>
    <row r="426">
      <c r="A426" s="85"/>
      <c r="B426" s="86"/>
      <c r="C426" s="87"/>
      <c r="D426" s="86"/>
      <c r="E426" s="86"/>
      <c r="F426" s="86"/>
      <c r="G426" s="86"/>
      <c r="H426" s="86"/>
      <c r="I426" s="86"/>
    </row>
    <row r="427">
      <c r="A427" s="85"/>
      <c r="B427" s="86"/>
      <c r="C427" s="87"/>
      <c r="D427" s="86"/>
      <c r="E427" s="86"/>
      <c r="F427" s="86"/>
      <c r="G427" s="86"/>
      <c r="H427" s="86"/>
      <c r="I427" s="86"/>
    </row>
    <row r="428">
      <c r="A428" s="85"/>
      <c r="B428" s="86"/>
      <c r="C428" s="87"/>
      <c r="D428" s="86"/>
      <c r="E428" s="86"/>
      <c r="F428" s="86"/>
      <c r="G428" s="86"/>
      <c r="H428" s="86"/>
      <c r="I428" s="86"/>
    </row>
    <row r="429">
      <c r="A429" s="85"/>
      <c r="B429" s="86"/>
      <c r="C429" s="87"/>
      <c r="D429" s="86"/>
      <c r="E429" s="86"/>
      <c r="F429" s="86"/>
      <c r="G429" s="86"/>
      <c r="H429" s="86"/>
      <c r="I429" s="86"/>
    </row>
    <row r="430">
      <c r="A430" s="85"/>
      <c r="B430" s="86"/>
      <c r="C430" s="87"/>
      <c r="D430" s="86"/>
      <c r="E430" s="86"/>
      <c r="F430" s="86"/>
      <c r="G430" s="86"/>
      <c r="H430" s="86"/>
      <c r="I430" s="86"/>
    </row>
    <row r="431">
      <c r="A431" s="85"/>
      <c r="B431" s="86"/>
      <c r="C431" s="87"/>
      <c r="D431" s="86"/>
      <c r="E431" s="86"/>
      <c r="F431" s="86"/>
      <c r="G431" s="86"/>
      <c r="H431" s="86"/>
      <c r="I431" s="86"/>
    </row>
    <row r="432">
      <c r="A432" s="85"/>
      <c r="B432" s="86"/>
      <c r="C432" s="87"/>
      <c r="D432" s="86"/>
      <c r="E432" s="86"/>
      <c r="F432" s="86"/>
      <c r="G432" s="86"/>
      <c r="H432" s="86"/>
      <c r="I432" s="86"/>
    </row>
    <row r="433">
      <c r="A433" s="85"/>
      <c r="B433" s="86"/>
      <c r="C433" s="87"/>
      <c r="D433" s="86"/>
      <c r="E433" s="86"/>
      <c r="F433" s="86"/>
      <c r="G433" s="86"/>
      <c r="H433" s="86"/>
      <c r="I433" s="86"/>
    </row>
    <row r="434">
      <c r="A434" s="85"/>
      <c r="B434" s="86"/>
      <c r="C434" s="87"/>
      <c r="D434" s="86"/>
      <c r="E434" s="86"/>
      <c r="F434" s="86"/>
      <c r="G434" s="86"/>
      <c r="H434" s="86"/>
      <c r="I434" s="86"/>
    </row>
    <row r="435">
      <c r="A435" s="85"/>
      <c r="B435" s="86"/>
      <c r="C435" s="87"/>
      <c r="D435" s="86"/>
      <c r="E435" s="86"/>
      <c r="F435" s="86"/>
      <c r="G435" s="86"/>
      <c r="H435" s="86"/>
      <c r="I435" s="86"/>
    </row>
    <row r="436">
      <c r="A436" s="85"/>
      <c r="B436" s="86"/>
      <c r="C436" s="87"/>
      <c r="D436" s="86"/>
      <c r="E436" s="86"/>
      <c r="F436" s="86"/>
      <c r="G436" s="86"/>
      <c r="H436" s="86"/>
      <c r="I436" s="86"/>
    </row>
    <row r="437">
      <c r="A437" s="85"/>
      <c r="B437" s="86"/>
      <c r="C437" s="87"/>
      <c r="D437" s="86"/>
      <c r="E437" s="86"/>
      <c r="F437" s="86"/>
      <c r="G437" s="86"/>
      <c r="H437" s="86"/>
      <c r="I437" s="86"/>
    </row>
    <row r="438">
      <c r="A438" s="85"/>
      <c r="B438" s="86"/>
      <c r="C438" s="87"/>
      <c r="D438" s="86"/>
      <c r="E438" s="86"/>
      <c r="F438" s="86"/>
      <c r="G438" s="86"/>
      <c r="H438" s="86"/>
      <c r="I438" s="86"/>
    </row>
    <row r="439">
      <c r="A439" s="85"/>
      <c r="B439" s="86"/>
      <c r="C439" s="87"/>
      <c r="D439" s="86"/>
      <c r="E439" s="86"/>
      <c r="F439" s="86"/>
      <c r="G439" s="86"/>
      <c r="H439" s="86"/>
      <c r="I439" s="86"/>
    </row>
    <row r="440">
      <c r="A440" s="85"/>
      <c r="B440" s="86"/>
      <c r="C440" s="87"/>
      <c r="D440" s="86"/>
      <c r="E440" s="86"/>
      <c r="F440" s="86"/>
      <c r="G440" s="86"/>
      <c r="H440" s="86"/>
      <c r="I440" s="86"/>
    </row>
    <row r="441">
      <c r="A441" s="85"/>
      <c r="B441" s="86"/>
      <c r="C441" s="87"/>
      <c r="D441" s="86"/>
      <c r="E441" s="86"/>
      <c r="F441" s="86"/>
      <c r="G441" s="86"/>
      <c r="H441" s="86"/>
      <c r="I441" s="86"/>
    </row>
    <row r="442">
      <c r="A442" s="85"/>
      <c r="B442" s="86"/>
      <c r="C442" s="87"/>
      <c r="D442" s="86"/>
      <c r="E442" s="86"/>
      <c r="F442" s="86"/>
      <c r="G442" s="86"/>
      <c r="H442" s="86"/>
      <c r="I442" s="86"/>
    </row>
    <row r="443">
      <c r="A443" s="85"/>
      <c r="B443" s="86"/>
      <c r="C443" s="87"/>
      <c r="D443" s="86"/>
      <c r="E443" s="86"/>
      <c r="F443" s="86"/>
      <c r="G443" s="86"/>
      <c r="H443" s="86"/>
      <c r="I443" s="86"/>
    </row>
    <row r="444">
      <c r="A444" s="85"/>
      <c r="B444" s="86"/>
      <c r="C444" s="87"/>
      <c r="D444" s="86"/>
      <c r="E444" s="86"/>
      <c r="F444" s="86"/>
      <c r="G444" s="86"/>
      <c r="H444" s="86"/>
      <c r="I444" s="86"/>
    </row>
    <row r="445">
      <c r="A445" s="85"/>
      <c r="B445" s="86"/>
      <c r="C445" s="87"/>
      <c r="D445" s="86"/>
      <c r="E445" s="86"/>
      <c r="F445" s="86"/>
      <c r="G445" s="86"/>
      <c r="H445" s="86"/>
      <c r="I445" s="86"/>
    </row>
    <row r="446">
      <c r="A446" s="85"/>
      <c r="B446" s="86"/>
      <c r="C446" s="87"/>
      <c r="D446" s="86"/>
      <c r="E446" s="86"/>
      <c r="F446" s="86"/>
      <c r="G446" s="86"/>
      <c r="H446" s="86"/>
      <c r="I446" s="86"/>
    </row>
    <row r="447">
      <c r="A447" s="85"/>
      <c r="B447" s="86"/>
      <c r="C447" s="87"/>
      <c r="D447" s="86"/>
      <c r="E447" s="86"/>
      <c r="F447" s="86"/>
      <c r="G447" s="86"/>
      <c r="H447" s="86"/>
      <c r="I447" s="86"/>
    </row>
    <row r="448">
      <c r="A448" s="85"/>
      <c r="B448" s="86"/>
      <c r="C448" s="87"/>
      <c r="D448" s="86"/>
      <c r="E448" s="86"/>
      <c r="F448" s="86"/>
      <c r="G448" s="86"/>
      <c r="H448" s="86"/>
      <c r="I448" s="86"/>
    </row>
    <row r="449">
      <c r="A449" s="85"/>
      <c r="B449" s="86"/>
      <c r="C449" s="87"/>
      <c r="D449" s="86"/>
      <c r="E449" s="86"/>
      <c r="F449" s="86"/>
      <c r="G449" s="86"/>
      <c r="H449" s="86"/>
      <c r="I449" s="86"/>
    </row>
    <row r="450">
      <c r="A450" s="85"/>
      <c r="B450" s="86"/>
      <c r="C450" s="87"/>
      <c r="D450" s="86"/>
      <c r="E450" s="86"/>
      <c r="F450" s="86"/>
      <c r="G450" s="86"/>
      <c r="H450" s="86"/>
      <c r="I450" s="86"/>
    </row>
    <row r="451">
      <c r="A451" s="85"/>
      <c r="B451" s="86"/>
      <c r="C451" s="87"/>
      <c r="D451" s="86"/>
      <c r="E451" s="86"/>
      <c r="F451" s="86"/>
      <c r="G451" s="86"/>
      <c r="H451" s="86"/>
      <c r="I451" s="86"/>
    </row>
    <row r="452">
      <c r="A452" s="85"/>
      <c r="B452" s="86"/>
      <c r="C452" s="87"/>
      <c r="D452" s="86"/>
      <c r="E452" s="86"/>
      <c r="F452" s="86"/>
      <c r="G452" s="86"/>
      <c r="H452" s="86"/>
      <c r="I452" s="86"/>
    </row>
    <row r="453">
      <c r="A453" s="85"/>
      <c r="B453" s="86"/>
      <c r="C453" s="87"/>
      <c r="D453" s="86"/>
      <c r="E453" s="86"/>
      <c r="F453" s="86"/>
      <c r="G453" s="86"/>
      <c r="H453" s="86"/>
      <c r="I453" s="86"/>
    </row>
    <row r="454">
      <c r="A454" s="85"/>
      <c r="B454" s="86"/>
      <c r="C454" s="87"/>
      <c r="D454" s="86"/>
      <c r="E454" s="86"/>
      <c r="F454" s="86"/>
      <c r="G454" s="86"/>
      <c r="H454" s="86"/>
      <c r="I454" s="86"/>
    </row>
    <row r="455">
      <c r="A455" s="85"/>
      <c r="B455" s="86"/>
      <c r="C455" s="87"/>
      <c r="D455" s="86"/>
      <c r="E455" s="86"/>
      <c r="F455" s="86"/>
      <c r="G455" s="86"/>
      <c r="H455" s="86"/>
      <c r="I455" s="86"/>
    </row>
    <row r="456">
      <c r="A456" s="85"/>
      <c r="B456" s="86"/>
      <c r="C456" s="87"/>
      <c r="D456" s="86"/>
      <c r="E456" s="86"/>
      <c r="F456" s="86"/>
      <c r="G456" s="86"/>
      <c r="H456" s="86"/>
      <c r="I456" s="86"/>
    </row>
    <row r="457">
      <c r="A457" s="85"/>
      <c r="B457" s="86"/>
      <c r="C457" s="87"/>
      <c r="D457" s="86"/>
      <c r="E457" s="86"/>
      <c r="F457" s="86"/>
      <c r="G457" s="86"/>
      <c r="H457" s="86"/>
      <c r="I457" s="86"/>
    </row>
    <row r="458">
      <c r="A458" s="85"/>
      <c r="B458" s="86"/>
      <c r="C458" s="87"/>
      <c r="D458" s="86"/>
      <c r="E458" s="86"/>
      <c r="F458" s="86"/>
      <c r="G458" s="86"/>
      <c r="H458" s="86"/>
      <c r="I458" s="86"/>
    </row>
    <row r="459">
      <c r="A459" s="85"/>
      <c r="B459" s="86"/>
      <c r="C459" s="87"/>
      <c r="D459" s="86"/>
      <c r="E459" s="86"/>
      <c r="F459" s="86"/>
      <c r="G459" s="86"/>
      <c r="H459" s="86"/>
      <c r="I459" s="86"/>
    </row>
    <row r="460">
      <c r="A460" s="85"/>
      <c r="B460" s="86"/>
      <c r="C460" s="87"/>
      <c r="D460" s="86"/>
      <c r="E460" s="86"/>
      <c r="F460" s="86"/>
      <c r="G460" s="86"/>
      <c r="H460" s="86"/>
      <c r="I460" s="86"/>
    </row>
    <row r="461">
      <c r="A461" s="85"/>
      <c r="B461" s="86"/>
      <c r="C461" s="87"/>
      <c r="D461" s="86"/>
      <c r="E461" s="86"/>
      <c r="F461" s="86"/>
      <c r="G461" s="86"/>
      <c r="H461" s="86"/>
      <c r="I461" s="86"/>
    </row>
    <row r="462">
      <c r="A462" s="85"/>
      <c r="B462" s="86"/>
      <c r="C462" s="87"/>
      <c r="D462" s="86"/>
      <c r="E462" s="86"/>
      <c r="F462" s="86"/>
      <c r="G462" s="86"/>
      <c r="H462" s="86"/>
      <c r="I462" s="86"/>
    </row>
    <row r="463">
      <c r="A463" s="85"/>
      <c r="B463" s="86"/>
      <c r="C463" s="87"/>
      <c r="D463" s="86"/>
      <c r="E463" s="86"/>
      <c r="F463" s="86"/>
      <c r="G463" s="86"/>
      <c r="H463" s="86"/>
      <c r="I463" s="86"/>
    </row>
    <row r="464">
      <c r="A464" s="85"/>
      <c r="B464" s="86"/>
      <c r="C464" s="87"/>
      <c r="D464" s="86"/>
      <c r="E464" s="86"/>
      <c r="F464" s="86"/>
      <c r="G464" s="86"/>
      <c r="H464" s="86"/>
      <c r="I464" s="86"/>
    </row>
    <row r="465">
      <c r="A465" s="85"/>
      <c r="B465" s="86"/>
      <c r="C465" s="87"/>
      <c r="D465" s="86"/>
      <c r="E465" s="86"/>
      <c r="F465" s="86"/>
      <c r="G465" s="86"/>
      <c r="H465" s="86"/>
      <c r="I465" s="86"/>
    </row>
    <row r="466">
      <c r="A466" s="85"/>
      <c r="B466" s="86"/>
      <c r="C466" s="87"/>
      <c r="D466" s="86"/>
      <c r="E466" s="86"/>
      <c r="F466" s="86"/>
      <c r="G466" s="86"/>
      <c r="H466" s="86"/>
      <c r="I466" s="86"/>
    </row>
    <row r="467">
      <c r="A467" s="85"/>
      <c r="B467" s="86"/>
      <c r="C467" s="87"/>
      <c r="D467" s="86"/>
      <c r="E467" s="86"/>
      <c r="F467" s="86"/>
      <c r="G467" s="86"/>
      <c r="H467" s="86"/>
      <c r="I467" s="86"/>
    </row>
    <row r="468">
      <c r="A468" s="85"/>
      <c r="B468" s="86"/>
      <c r="C468" s="87"/>
      <c r="D468" s="86"/>
      <c r="E468" s="86"/>
      <c r="F468" s="86"/>
      <c r="G468" s="86"/>
      <c r="H468" s="86"/>
      <c r="I468" s="86"/>
    </row>
    <row r="469">
      <c r="A469" s="85"/>
      <c r="B469" s="86"/>
      <c r="C469" s="87"/>
      <c r="D469" s="86"/>
      <c r="E469" s="86"/>
      <c r="F469" s="86"/>
      <c r="G469" s="86"/>
      <c r="H469" s="86"/>
      <c r="I469" s="86"/>
    </row>
    <row r="470">
      <c r="A470" s="85"/>
      <c r="B470" s="86"/>
      <c r="C470" s="87"/>
      <c r="D470" s="86"/>
      <c r="E470" s="86"/>
      <c r="F470" s="86"/>
      <c r="G470" s="86"/>
      <c r="H470" s="86"/>
      <c r="I470" s="86"/>
    </row>
    <row r="471">
      <c r="A471" s="85"/>
      <c r="B471" s="86"/>
      <c r="C471" s="87"/>
      <c r="D471" s="86"/>
      <c r="E471" s="86"/>
      <c r="F471" s="86"/>
      <c r="G471" s="86"/>
      <c r="H471" s="86"/>
      <c r="I471" s="86"/>
    </row>
    <row r="472">
      <c r="A472" s="85"/>
      <c r="B472" s="86"/>
      <c r="C472" s="87"/>
      <c r="D472" s="86"/>
      <c r="E472" s="86"/>
      <c r="F472" s="86"/>
      <c r="G472" s="86"/>
      <c r="H472" s="86"/>
      <c r="I472" s="86"/>
    </row>
    <row r="473">
      <c r="A473" s="85"/>
      <c r="B473" s="86"/>
      <c r="C473" s="87"/>
      <c r="D473" s="86"/>
      <c r="E473" s="86"/>
      <c r="F473" s="86"/>
      <c r="G473" s="86"/>
      <c r="H473" s="86"/>
      <c r="I473" s="86"/>
    </row>
    <row r="474">
      <c r="A474" s="85"/>
      <c r="B474" s="86"/>
      <c r="C474" s="87"/>
      <c r="D474" s="86"/>
      <c r="E474" s="86"/>
      <c r="F474" s="86"/>
      <c r="G474" s="86"/>
      <c r="H474" s="86"/>
      <c r="I474" s="86"/>
    </row>
    <row r="475">
      <c r="A475" s="85"/>
      <c r="B475" s="86"/>
      <c r="C475" s="87"/>
      <c r="D475" s="86"/>
      <c r="E475" s="86"/>
      <c r="F475" s="86"/>
      <c r="G475" s="86"/>
      <c r="H475" s="86"/>
      <c r="I475" s="86"/>
    </row>
    <row r="476">
      <c r="A476" s="85"/>
      <c r="B476" s="86"/>
      <c r="C476" s="87"/>
      <c r="D476" s="86"/>
      <c r="E476" s="86"/>
      <c r="F476" s="86"/>
      <c r="G476" s="86"/>
      <c r="H476" s="86"/>
      <c r="I476" s="86"/>
    </row>
    <row r="477">
      <c r="A477" s="85"/>
      <c r="B477" s="86"/>
      <c r="C477" s="87"/>
      <c r="D477" s="86"/>
      <c r="E477" s="86"/>
      <c r="F477" s="86"/>
      <c r="G477" s="86"/>
      <c r="H477" s="86"/>
      <c r="I477" s="86"/>
    </row>
    <row r="478">
      <c r="A478" s="85"/>
      <c r="B478" s="86"/>
      <c r="C478" s="87"/>
      <c r="D478" s="86"/>
      <c r="E478" s="86"/>
      <c r="F478" s="86"/>
      <c r="G478" s="86"/>
      <c r="H478" s="86"/>
      <c r="I478" s="86"/>
    </row>
    <row r="479">
      <c r="A479" s="85"/>
      <c r="B479" s="86"/>
      <c r="C479" s="87"/>
      <c r="D479" s="86"/>
      <c r="E479" s="86"/>
      <c r="F479" s="86"/>
      <c r="G479" s="86"/>
      <c r="H479" s="86"/>
      <c r="I479" s="86"/>
    </row>
    <row r="480">
      <c r="A480" s="85"/>
      <c r="B480" s="86"/>
      <c r="C480" s="87"/>
      <c r="D480" s="86"/>
      <c r="E480" s="86"/>
      <c r="F480" s="86"/>
      <c r="G480" s="86"/>
      <c r="H480" s="86"/>
      <c r="I480" s="86"/>
    </row>
    <row r="481">
      <c r="A481" s="85"/>
      <c r="B481" s="86"/>
      <c r="C481" s="87"/>
      <c r="D481" s="86"/>
      <c r="E481" s="86"/>
      <c r="F481" s="86"/>
      <c r="G481" s="86"/>
      <c r="H481" s="86"/>
      <c r="I481" s="86"/>
    </row>
    <row r="482">
      <c r="A482" s="85"/>
      <c r="B482" s="86"/>
      <c r="C482" s="87"/>
      <c r="D482" s="86"/>
      <c r="E482" s="86"/>
      <c r="F482" s="86"/>
      <c r="G482" s="86"/>
      <c r="H482" s="86"/>
      <c r="I482" s="86"/>
    </row>
    <row r="483">
      <c r="A483" s="85"/>
      <c r="B483" s="86"/>
      <c r="C483" s="87"/>
      <c r="D483" s="86"/>
      <c r="E483" s="86"/>
      <c r="F483" s="86"/>
      <c r="G483" s="86"/>
      <c r="H483" s="86"/>
      <c r="I483" s="86"/>
    </row>
    <row r="484">
      <c r="A484" s="85"/>
      <c r="B484" s="86"/>
      <c r="C484" s="87"/>
      <c r="D484" s="86"/>
      <c r="E484" s="86"/>
      <c r="F484" s="86"/>
      <c r="G484" s="86"/>
      <c r="H484" s="86"/>
      <c r="I484" s="86"/>
    </row>
    <row r="485">
      <c r="A485" s="85"/>
      <c r="B485" s="86"/>
      <c r="C485" s="87"/>
      <c r="D485" s="86"/>
      <c r="E485" s="86"/>
      <c r="F485" s="86"/>
      <c r="G485" s="86"/>
      <c r="H485" s="86"/>
      <c r="I485" s="86"/>
    </row>
    <row r="486">
      <c r="A486" s="85"/>
      <c r="B486" s="86"/>
      <c r="C486" s="87"/>
      <c r="D486" s="86"/>
      <c r="E486" s="86"/>
      <c r="F486" s="86"/>
      <c r="G486" s="86"/>
      <c r="H486" s="86"/>
      <c r="I486" s="86"/>
    </row>
    <row r="487">
      <c r="A487" s="85"/>
      <c r="B487" s="86"/>
      <c r="C487" s="87"/>
      <c r="D487" s="86"/>
      <c r="E487" s="86"/>
      <c r="F487" s="86"/>
      <c r="G487" s="86"/>
      <c r="H487" s="86"/>
      <c r="I487" s="86"/>
    </row>
    <row r="488">
      <c r="A488" s="85"/>
      <c r="B488" s="86"/>
      <c r="C488" s="87"/>
      <c r="D488" s="86"/>
      <c r="E488" s="86"/>
      <c r="F488" s="86"/>
      <c r="G488" s="86"/>
      <c r="H488" s="86"/>
      <c r="I488" s="86"/>
    </row>
    <row r="489">
      <c r="A489" s="85"/>
      <c r="B489" s="86"/>
      <c r="C489" s="87"/>
      <c r="D489" s="86"/>
      <c r="E489" s="86"/>
      <c r="F489" s="86"/>
      <c r="G489" s="86"/>
      <c r="H489" s="86"/>
      <c r="I489" s="86"/>
    </row>
    <row r="490">
      <c r="A490" s="85"/>
      <c r="B490" s="86"/>
      <c r="C490" s="87"/>
      <c r="D490" s="86"/>
      <c r="E490" s="86"/>
      <c r="F490" s="86"/>
      <c r="G490" s="86"/>
      <c r="H490" s="86"/>
      <c r="I490" s="86"/>
    </row>
    <row r="491">
      <c r="A491" s="85"/>
      <c r="B491" s="86"/>
      <c r="C491" s="87"/>
      <c r="D491" s="86"/>
      <c r="E491" s="86"/>
      <c r="F491" s="86"/>
      <c r="G491" s="86"/>
      <c r="H491" s="86"/>
      <c r="I491" s="86"/>
    </row>
    <row r="492">
      <c r="A492" s="85"/>
      <c r="B492" s="86"/>
      <c r="C492" s="87"/>
      <c r="D492" s="86"/>
      <c r="E492" s="86"/>
      <c r="F492" s="86"/>
      <c r="G492" s="86"/>
      <c r="H492" s="86"/>
      <c r="I492" s="86"/>
    </row>
    <row r="493">
      <c r="A493" s="85"/>
      <c r="B493" s="86"/>
      <c r="C493" s="87"/>
      <c r="D493" s="86"/>
      <c r="E493" s="86"/>
      <c r="F493" s="86"/>
      <c r="G493" s="86"/>
      <c r="H493" s="86"/>
      <c r="I493" s="86"/>
    </row>
    <row r="494">
      <c r="A494" s="85"/>
      <c r="B494" s="86"/>
      <c r="C494" s="87"/>
      <c r="D494" s="86"/>
      <c r="E494" s="86"/>
      <c r="F494" s="86"/>
      <c r="G494" s="86"/>
      <c r="H494" s="86"/>
      <c r="I494" s="86"/>
    </row>
    <row r="495">
      <c r="A495" s="85"/>
      <c r="B495" s="86"/>
      <c r="C495" s="87"/>
      <c r="D495" s="86"/>
      <c r="E495" s="86"/>
      <c r="F495" s="86"/>
      <c r="G495" s="86"/>
      <c r="H495" s="86"/>
      <c r="I495" s="86"/>
    </row>
    <row r="496">
      <c r="A496" s="85"/>
      <c r="B496" s="86"/>
      <c r="C496" s="87"/>
      <c r="D496" s="86"/>
      <c r="E496" s="86"/>
      <c r="F496" s="86"/>
      <c r="G496" s="86"/>
      <c r="H496" s="86"/>
      <c r="I496" s="86"/>
    </row>
    <row r="497">
      <c r="A497" s="85"/>
      <c r="B497" s="86"/>
      <c r="C497" s="87"/>
      <c r="D497" s="86"/>
      <c r="E497" s="86"/>
      <c r="F497" s="86"/>
      <c r="G497" s="86"/>
      <c r="H497" s="86"/>
      <c r="I497" s="86"/>
    </row>
    <row r="498">
      <c r="A498" s="85"/>
      <c r="B498" s="86"/>
      <c r="C498" s="87"/>
      <c r="D498" s="86"/>
      <c r="E498" s="86"/>
      <c r="F498" s="86"/>
      <c r="G498" s="86"/>
      <c r="H498" s="86"/>
      <c r="I498" s="86"/>
    </row>
    <row r="499">
      <c r="A499" s="85"/>
      <c r="B499" s="86"/>
      <c r="C499" s="87"/>
      <c r="D499" s="86"/>
      <c r="E499" s="86"/>
      <c r="F499" s="86"/>
      <c r="G499" s="86"/>
      <c r="H499" s="86"/>
      <c r="I499" s="86"/>
    </row>
    <row r="500">
      <c r="A500" s="85"/>
      <c r="B500" s="86"/>
      <c r="C500" s="87"/>
      <c r="D500" s="86"/>
      <c r="E500" s="86"/>
      <c r="F500" s="86"/>
      <c r="G500" s="86"/>
      <c r="H500" s="86"/>
      <c r="I500" s="86"/>
    </row>
    <row r="501">
      <c r="A501" s="85"/>
      <c r="B501" s="86"/>
      <c r="C501" s="87"/>
      <c r="D501" s="86"/>
      <c r="E501" s="86"/>
      <c r="F501" s="86"/>
      <c r="G501" s="86"/>
      <c r="H501" s="86"/>
      <c r="I501" s="86"/>
    </row>
    <row r="502">
      <c r="A502" s="85"/>
      <c r="B502" s="86"/>
      <c r="C502" s="87"/>
      <c r="D502" s="86"/>
      <c r="E502" s="86"/>
      <c r="F502" s="86"/>
      <c r="G502" s="86"/>
      <c r="H502" s="86"/>
      <c r="I502" s="86"/>
    </row>
    <row r="503">
      <c r="A503" s="85"/>
      <c r="B503" s="86"/>
      <c r="C503" s="87"/>
      <c r="D503" s="86"/>
      <c r="E503" s="86"/>
      <c r="F503" s="86"/>
      <c r="G503" s="86"/>
      <c r="H503" s="86"/>
      <c r="I503" s="86"/>
    </row>
    <row r="504">
      <c r="A504" s="85"/>
      <c r="B504" s="86"/>
      <c r="C504" s="87"/>
      <c r="D504" s="86"/>
      <c r="E504" s="86"/>
      <c r="F504" s="86"/>
      <c r="G504" s="86"/>
      <c r="H504" s="86"/>
      <c r="I504" s="86"/>
    </row>
    <row r="505">
      <c r="A505" s="85"/>
      <c r="B505" s="86"/>
      <c r="C505" s="87"/>
      <c r="D505" s="86"/>
      <c r="E505" s="86"/>
      <c r="F505" s="86"/>
      <c r="G505" s="86"/>
      <c r="H505" s="86"/>
      <c r="I505" s="86"/>
    </row>
    <row r="506">
      <c r="A506" s="85"/>
      <c r="B506" s="86"/>
      <c r="C506" s="87"/>
      <c r="D506" s="86"/>
      <c r="E506" s="86"/>
      <c r="F506" s="86"/>
      <c r="G506" s="86"/>
      <c r="H506" s="86"/>
      <c r="I506" s="86"/>
    </row>
    <row r="507">
      <c r="A507" s="85"/>
      <c r="B507" s="86"/>
      <c r="C507" s="87"/>
      <c r="D507" s="86"/>
      <c r="E507" s="86"/>
      <c r="F507" s="86"/>
      <c r="G507" s="86"/>
      <c r="H507" s="86"/>
      <c r="I507" s="86"/>
    </row>
    <row r="508">
      <c r="A508" s="85"/>
      <c r="B508" s="86"/>
      <c r="C508" s="87"/>
      <c r="D508" s="86"/>
      <c r="E508" s="86"/>
      <c r="F508" s="86"/>
      <c r="G508" s="86"/>
      <c r="H508" s="86"/>
      <c r="I508" s="86"/>
    </row>
    <row r="509">
      <c r="A509" s="85"/>
      <c r="B509" s="86"/>
      <c r="C509" s="87"/>
      <c r="D509" s="86"/>
      <c r="E509" s="86"/>
      <c r="F509" s="86"/>
      <c r="G509" s="86"/>
      <c r="H509" s="86"/>
      <c r="I509" s="86"/>
    </row>
    <row r="510">
      <c r="A510" s="85"/>
      <c r="B510" s="86"/>
      <c r="C510" s="87"/>
      <c r="D510" s="86"/>
      <c r="E510" s="86"/>
      <c r="F510" s="86"/>
      <c r="G510" s="86"/>
      <c r="H510" s="86"/>
      <c r="I510" s="86"/>
    </row>
    <row r="511">
      <c r="A511" s="85"/>
      <c r="B511" s="86"/>
      <c r="C511" s="87"/>
      <c r="D511" s="86"/>
      <c r="E511" s="86"/>
      <c r="F511" s="86"/>
      <c r="G511" s="86"/>
      <c r="H511" s="86"/>
      <c r="I511" s="86"/>
    </row>
    <row r="512">
      <c r="A512" s="85"/>
      <c r="B512" s="86"/>
      <c r="C512" s="87"/>
      <c r="D512" s="86"/>
      <c r="E512" s="86"/>
      <c r="F512" s="86"/>
      <c r="G512" s="86"/>
      <c r="H512" s="86"/>
      <c r="I512" s="86"/>
    </row>
    <row r="513">
      <c r="A513" s="85"/>
      <c r="B513" s="86"/>
      <c r="C513" s="87"/>
      <c r="D513" s="86"/>
      <c r="E513" s="86"/>
      <c r="F513" s="86"/>
      <c r="G513" s="86"/>
      <c r="H513" s="86"/>
      <c r="I513" s="86"/>
    </row>
    <row r="514">
      <c r="A514" s="85"/>
      <c r="B514" s="86"/>
      <c r="C514" s="87"/>
      <c r="D514" s="86"/>
      <c r="E514" s="86"/>
      <c r="F514" s="86"/>
      <c r="G514" s="86"/>
      <c r="H514" s="86"/>
      <c r="I514" s="86"/>
    </row>
    <row r="515">
      <c r="A515" s="85"/>
      <c r="B515" s="86"/>
      <c r="C515" s="87"/>
      <c r="D515" s="86"/>
      <c r="E515" s="86"/>
      <c r="F515" s="86"/>
      <c r="G515" s="86"/>
      <c r="H515" s="86"/>
      <c r="I515" s="86"/>
    </row>
    <row r="516">
      <c r="A516" s="85"/>
      <c r="B516" s="86"/>
      <c r="C516" s="87"/>
      <c r="D516" s="86"/>
      <c r="E516" s="86"/>
      <c r="F516" s="86"/>
      <c r="G516" s="86"/>
      <c r="H516" s="86"/>
      <c r="I516" s="86"/>
    </row>
    <row r="517">
      <c r="A517" s="85"/>
      <c r="B517" s="86"/>
      <c r="C517" s="87"/>
      <c r="D517" s="86"/>
      <c r="E517" s="86"/>
      <c r="F517" s="86"/>
      <c r="G517" s="86"/>
      <c r="H517" s="86"/>
      <c r="I517" s="86"/>
    </row>
    <row r="518">
      <c r="A518" s="85"/>
      <c r="B518" s="86"/>
      <c r="C518" s="87"/>
      <c r="D518" s="86"/>
      <c r="E518" s="86"/>
      <c r="F518" s="86"/>
      <c r="G518" s="86"/>
      <c r="H518" s="86"/>
      <c r="I518" s="86"/>
    </row>
    <row r="519">
      <c r="A519" s="85"/>
      <c r="B519" s="86"/>
      <c r="C519" s="87"/>
      <c r="D519" s="86"/>
      <c r="E519" s="86"/>
      <c r="F519" s="86"/>
      <c r="G519" s="86"/>
      <c r="H519" s="86"/>
      <c r="I519" s="86"/>
    </row>
    <row r="520">
      <c r="A520" s="85"/>
      <c r="B520" s="86"/>
      <c r="C520" s="87"/>
      <c r="D520" s="86"/>
      <c r="E520" s="86"/>
      <c r="F520" s="86"/>
      <c r="G520" s="86"/>
      <c r="H520" s="86"/>
      <c r="I520" s="86"/>
    </row>
    <row r="521">
      <c r="A521" s="85"/>
      <c r="B521" s="86"/>
      <c r="C521" s="87"/>
      <c r="D521" s="86"/>
      <c r="E521" s="86"/>
      <c r="F521" s="86"/>
      <c r="G521" s="86"/>
      <c r="H521" s="86"/>
      <c r="I521" s="86"/>
    </row>
    <row r="522">
      <c r="A522" s="85"/>
      <c r="B522" s="86"/>
      <c r="C522" s="87"/>
      <c r="D522" s="86"/>
      <c r="E522" s="86"/>
      <c r="F522" s="86"/>
      <c r="G522" s="86"/>
      <c r="H522" s="86"/>
      <c r="I522" s="86"/>
    </row>
    <row r="523">
      <c r="A523" s="85"/>
      <c r="B523" s="86"/>
      <c r="C523" s="87"/>
      <c r="D523" s="86"/>
      <c r="E523" s="86"/>
      <c r="F523" s="86"/>
      <c r="G523" s="86"/>
      <c r="H523" s="86"/>
      <c r="I523" s="86"/>
    </row>
    <row r="524">
      <c r="A524" s="85"/>
      <c r="B524" s="86"/>
      <c r="C524" s="87"/>
      <c r="D524" s="86"/>
      <c r="E524" s="86"/>
      <c r="F524" s="86"/>
      <c r="G524" s="86"/>
      <c r="H524" s="86"/>
      <c r="I524" s="86"/>
    </row>
    <row r="525">
      <c r="A525" s="85"/>
      <c r="B525" s="86"/>
      <c r="C525" s="87"/>
      <c r="D525" s="86"/>
      <c r="E525" s="86"/>
      <c r="F525" s="86"/>
      <c r="G525" s="86"/>
      <c r="H525" s="86"/>
      <c r="I525" s="86"/>
    </row>
    <row r="526">
      <c r="A526" s="85"/>
      <c r="B526" s="86"/>
      <c r="C526" s="87"/>
      <c r="D526" s="86"/>
      <c r="E526" s="86"/>
      <c r="F526" s="86"/>
      <c r="G526" s="86"/>
      <c r="H526" s="86"/>
      <c r="I526" s="86"/>
    </row>
    <row r="527">
      <c r="A527" s="85"/>
      <c r="B527" s="86"/>
      <c r="C527" s="87"/>
      <c r="D527" s="86"/>
      <c r="E527" s="86"/>
      <c r="F527" s="86"/>
      <c r="G527" s="86"/>
      <c r="H527" s="86"/>
      <c r="I527" s="86"/>
    </row>
    <row r="528">
      <c r="A528" s="85"/>
      <c r="B528" s="86"/>
      <c r="C528" s="87"/>
      <c r="D528" s="86"/>
      <c r="E528" s="86"/>
      <c r="F528" s="86"/>
      <c r="G528" s="86"/>
      <c r="H528" s="86"/>
      <c r="I528" s="86"/>
    </row>
    <row r="529">
      <c r="A529" s="85"/>
      <c r="B529" s="86"/>
      <c r="C529" s="87"/>
      <c r="D529" s="86"/>
      <c r="E529" s="86"/>
      <c r="F529" s="86"/>
      <c r="G529" s="86"/>
      <c r="H529" s="86"/>
      <c r="I529" s="86"/>
    </row>
    <row r="530">
      <c r="A530" s="85"/>
      <c r="B530" s="86"/>
      <c r="C530" s="87"/>
      <c r="D530" s="86"/>
      <c r="E530" s="86"/>
      <c r="F530" s="86"/>
      <c r="G530" s="86"/>
      <c r="H530" s="86"/>
      <c r="I530" s="86"/>
    </row>
    <row r="531">
      <c r="A531" s="85"/>
      <c r="B531" s="86"/>
      <c r="C531" s="87"/>
      <c r="D531" s="86"/>
      <c r="E531" s="86"/>
      <c r="F531" s="86"/>
      <c r="G531" s="86"/>
      <c r="H531" s="86"/>
      <c r="I531" s="86"/>
    </row>
    <row r="532">
      <c r="A532" s="85"/>
      <c r="B532" s="86"/>
      <c r="C532" s="87"/>
      <c r="D532" s="86"/>
      <c r="E532" s="86"/>
      <c r="F532" s="86"/>
      <c r="G532" s="86"/>
      <c r="H532" s="86"/>
      <c r="I532" s="86"/>
    </row>
    <row r="533">
      <c r="A533" s="85"/>
      <c r="B533" s="86"/>
      <c r="C533" s="87"/>
      <c r="D533" s="86"/>
      <c r="E533" s="86"/>
      <c r="F533" s="86"/>
      <c r="G533" s="86"/>
      <c r="H533" s="86"/>
      <c r="I533" s="86"/>
    </row>
    <row r="534">
      <c r="A534" s="85"/>
      <c r="B534" s="86"/>
      <c r="C534" s="87"/>
      <c r="D534" s="86"/>
      <c r="E534" s="86"/>
      <c r="F534" s="86"/>
      <c r="G534" s="86"/>
      <c r="H534" s="86"/>
      <c r="I534" s="86"/>
    </row>
    <row r="535">
      <c r="A535" s="85"/>
      <c r="B535" s="86"/>
      <c r="C535" s="87"/>
      <c r="D535" s="86"/>
      <c r="E535" s="86"/>
      <c r="F535" s="86"/>
      <c r="G535" s="86"/>
      <c r="H535" s="86"/>
      <c r="I535" s="86"/>
    </row>
    <row r="536">
      <c r="A536" s="85"/>
      <c r="B536" s="86"/>
      <c r="C536" s="87"/>
      <c r="D536" s="86"/>
      <c r="E536" s="86"/>
      <c r="F536" s="86"/>
      <c r="G536" s="86"/>
      <c r="H536" s="86"/>
      <c r="I536" s="86"/>
    </row>
    <row r="537">
      <c r="A537" s="85"/>
      <c r="B537" s="86"/>
      <c r="C537" s="87"/>
      <c r="D537" s="86"/>
      <c r="E537" s="86"/>
      <c r="F537" s="86"/>
      <c r="G537" s="86"/>
      <c r="H537" s="86"/>
      <c r="I537" s="86"/>
    </row>
    <row r="538">
      <c r="A538" s="85"/>
      <c r="B538" s="86"/>
      <c r="C538" s="87"/>
      <c r="D538" s="86"/>
      <c r="E538" s="86"/>
      <c r="F538" s="86"/>
      <c r="G538" s="86"/>
      <c r="H538" s="86"/>
      <c r="I538" s="86"/>
    </row>
    <row r="539">
      <c r="A539" s="85"/>
      <c r="B539" s="86"/>
      <c r="C539" s="87"/>
      <c r="D539" s="86"/>
      <c r="E539" s="86"/>
      <c r="F539" s="86"/>
      <c r="G539" s="86"/>
      <c r="H539" s="86"/>
      <c r="I539" s="86"/>
    </row>
    <row r="540">
      <c r="A540" s="85"/>
      <c r="B540" s="86"/>
      <c r="C540" s="87"/>
      <c r="D540" s="86"/>
      <c r="E540" s="86"/>
      <c r="F540" s="86"/>
      <c r="G540" s="86"/>
      <c r="H540" s="86"/>
      <c r="I540" s="86"/>
    </row>
    <row r="541">
      <c r="A541" s="85"/>
      <c r="B541" s="86"/>
      <c r="C541" s="87"/>
      <c r="D541" s="86"/>
      <c r="E541" s="86"/>
      <c r="F541" s="86"/>
      <c r="G541" s="86"/>
      <c r="H541" s="86"/>
      <c r="I541" s="86"/>
    </row>
    <row r="542">
      <c r="A542" s="85"/>
      <c r="B542" s="86"/>
      <c r="C542" s="87"/>
      <c r="D542" s="86"/>
      <c r="E542" s="86"/>
      <c r="F542" s="86"/>
      <c r="G542" s="86"/>
      <c r="H542" s="86"/>
      <c r="I542" s="86"/>
    </row>
    <row r="543">
      <c r="A543" s="85"/>
      <c r="B543" s="86"/>
      <c r="C543" s="87"/>
      <c r="D543" s="86"/>
      <c r="E543" s="86"/>
      <c r="F543" s="86"/>
      <c r="G543" s="86"/>
      <c r="H543" s="86"/>
      <c r="I543" s="86"/>
    </row>
    <row r="544">
      <c r="A544" s="85"/>
      <c r="B544" s="86"/>
      <c r="C544" s="87"/>
      <c r="D544" s="86"/>
      <c r="E544" s="86"/>
      <c r="F544" s="86"/>
      <c r="G544" s="86"/>
      <c r="H544" s="86"/>
      <c r="I544" s="86"/>
    </row>
    <row r="545">
      <c r="A545" s="85"/>
      <c r="B545" s="86"/>
      <c r="C545" s="87"/>
      <c r="D545" s="86"/>
      <c r="E545" s="86"/>
      <c r="F545" s="86"/>
      <c r="G545" s="86"/>
      <c r="H545" s="86"/>
      <c r="I545" s="86"/>
    </row>
    <row r="546">
      <c r="A546" s="85"/>
      <c r="B546" s="86"/>
      <c r="C546" s="87"/>
      <c r="D546" s="86"/>
      <c r="E546" s="86"/>
      <c r="F546" s="86"/>
      <c r="G546" s="86"/>
      <c r="H546" s="86"/>
      <c r="I546" s="86"/>
    </row>
    <row r="547">
      <c r="A547" s="85"/>
      <c r="B547" s="86"/>
      <c r="C547" s="87"/>
      <c r="D547" s="86"/>
      <c r="E547" s="86"/>
      <c r="F547" s="86"/>
      <c r="G547" s="86"/>
      <c r="H547" s="86"/>
      <c r="I547" s="86"/>
    </row>
    <row r="548">
      <c r="A548" s="85"/>
      <c r="B548" s="86"/>
      <c r="C548" s="87"/>
      <c r="D548" s="86"/>
      <c r="E548" s="86"/>
      <c r="F548" s="86"/>
      <c r="G548" s="86"/>
      <c r="H548" s="86"/>
      <c r="I548" s="86"/>
    </row>
    <row r="549">
      <c r="A549" s="85"/>
      <c r="B549" s="86"/>
      <c r="C549" s="87"/>
      <c r="D549" s="86"/>
      <c r="E549" s="86"/>
      <c r="F549" s="86"/>
      <c r="G549" s="86"/>
      <c r="H549" s="86"/>
      <c r="I549" s="86"/>
    </row>
    <row r="550">
      <c r="A550" s="85"/>
      <c r="B550" s="86"/>
      <c r="C550" s="87"/>
      <c r="D550" s="86"/>
      <c r="E550" s="86"/>
      <c r="F550" s="86"/>
      <c r="G550" s="86"/>
      <c r="H550" s="86"/>
      <c r="I550" s="86"/>
    </row>
    <row r="551">
      <c r="A551" s="85"/>
      <c r="B551" s="86"/>
      <c r="C551" s="87"/>
      <c r="D551" s="86"/>
      <c r="E551" s="86"/>
      <c r="F551" s="86"/>
      <c r="G551" s="86"/>
      <c r="H551" s="86"/>
      <c r="I551" s="86"/>
    </row>
    <row r="552">
      <c r="A552" s="85"/>
      <c r="B552" s="86"/>
      <c r="C552" s="87"/>
      <c r="D552" s="86"/>
      <c r="E552" s="86"/>
      <c r="F552" s="86"/>
      <c r="G552" s="86"/>
      <c r="H552" s="86"/>
      <c r="I552" s="86"/>
    </row>
    <row r="553">
      <c r="A553" s="85"/>
      <c r="B553" s="86"/>
      <c r="C553" s="87"/>
      <c r="D553" s="86"/>
      <c r="E553" s="86"/>
      <c r="F553" s="86"/>
      <c r="G553" s="86"/>
      <c r="H553" s="86"/>
      <c r="I553" s="86"/>
    </row>
    <row r="554">
      <c r="A554" s="85"/>
      <c r="B554" s="86"/>
      <c r="C554" s="87"/>
      <c r="D554" s="86"/>
      <c r="E554" s="86"/>
      <c r="F554" s="86"/>
      <c r="G554" s="86"/>
      <c r="H554" s="86"/>
      <c r="I554" s="86"/>
    </row>
    <row r="555">
      <c r="A555" s="85"/>
      <c r="B555" s="86"/>
      <c r="C555" s="87"/>
      <c r="D555" s="86"/>
      <c r="E555" s="86"/>
      <c r="F555" s="86"/>
      <c r="G555" s="86"/>
      <c r="H555" s="86"/>
      <c r="I555" s="86"/>
    </row>
    <row r="556">
      <c r="A556" s="85"/>
      <c r="B556" s="86"/>
      <c r="C556" s="87"/>
      <c r="D556" s="86"/>
      <c r="E556" s="86"/>
      <c r="F556" s="86"/>
      <c r="G556" s="86"/>
      <c r="H556" s="86"/>
      <c r="I556" s="86"/>
    </row>
    <row r="557">
      <c r="A557" s="85"/>
      <c r="B557" s="86"/>
      <c r="C557" s="87"/>
      <c r="D557" s="86"/>
      <c r="E557" s="86"/>
      <c r="F557" s="86"/>
      <c r="G557" s="86"/>
      <c r="H557" s="86"/>
      <c r="I557" s="86"/>
    </row>
    <row r="558">
      <c r="A558" s="85"/>
      <c r="B558" s="86"/>
      <c r="C558" s="87"/>
      <c r="D558" s="86"/>
      <c r="E558" s="86"/>
      <c r="F558" s="86"/>
      <c r="G558" s="86"/>
      <c r="H558" s="86"/>
      <c r="I558" s="86"/>
    </row>
    <row r="559">
      <c r="A559" s="85"/>
      <c r="B559" s="86"/>
      <c r="C559" s="87"/>
      <c r="D559" s="86"/>
      <c r="E559" s="86"/>
      <c r="F559" s="86"/>
      <c r="G559" s="86"/>
      <c r="H559" s="86"/>
      <c r="I559" s="86"/>
    </row>
    <row r="560">
      <c r="A560" s="85"/>
      <c r="B560" s="86"/>
      <c r="C560" s="87"/>
      <c r="D560" s="86"/>
      <c r="E560" s="86"/>
      <c r="F560" s="86"/>
      <c r="G560" s="86"/>
      <c r="H560" s="86"/>
      <c r="I560" s="86"/>
    </row>
    <row r="561">
      <c r="A561" s="85"/>
      <c r="B561" s="86"/>
      <c r="C561" s="87"/>
      <c r="D561" s="86"/>
      <c r="E561" s="86"/>
      <c r="F561" s="86"/>
      <c r="G561" s="86"/>
      <c r="H561" s="86"/>
      <c r="I561" s="86"/>
    </row>
    <row r="562">
      <c r="A562" s="85"/>
      <c r="B562" s="86"/>
      <c r="C562" s="87"/>
      <c r="D562" s="86"/>
      <c r="E562" s="86"/>
      <c r="F562" s="86"/>
      <c r="G562" s="86"/>
      <c r="H562" s="86"/>
      <c r="I562" s="86"/>
    </row>
    <row r="563">
      <c r="A563" s="85"/>
      <c r="B563" s="86"/>
      <c r="C563" s="87"/>
      <c r="D563" s="86"/>
      <c r="E563" s="86"/>
      <c r="F563" s="86"/>
      <c r="G563" s="86"/>
      <c r="H563" s="86"/>
      <c r="I563" s="86"/>
    </row>
    <row r="564">
      <c r="A564" s="85"/>
      <c r="B564" s="86"/>
      <c r="C564" s="87"/>
      <c r="D564" s="86"/>
      <c r="E564" s="86"/>
      <c r="F564" s="86"/>
      <c r="G564" s="86"/>
      <c r="H564" s="86"/>
      <c r="I564" s="86"/>
    </row>
    <row r="565">
      <c r="A565" s="85"/>
      <c r="B565" s="86"/>
      <c r="C565" s="87"/>
      <c r="D565" s="86"/>
      <c r="E565" s="86"/>
      <c r="F565" s="86"/>
      <c r="G565" s="86"/>
      <c r="H565" s="86"/>
      <c r="I565" s="86"/>
    </row>
    <row r="566">
      <c r="A566" s="85"/>
      <c r="B566" s="86"/>
      <c r="C566" s="87"/>
      <c r="D566" s="86"/>
      <c r="E566" s="86"/>
      <c r="F566" s="86"/>
      <c r="G566" s="86"/>
      <c r="H566" s="86"/>
      <c r="I566" s="86"/>
    </row>
    <row r="567">
      <c r="A567" s="85"/>
      <c r="B567" s="86"/>
      <c r="C567" s="87"/>
      <c r="D567" s="86"/>
      <c r="E567" s="86"/>
      <c r="F567" s="86"/>
      <c r="G567" s="86"/>
      <c r="H567" s="86"/>
      <c r="I567" s="86"/>
    </row>
    <row r="568">
      <c r="A568" s="85"/>
      <c r="B568" s="86"/>
      <c r="C568" s="87"/>
      <c r="D568" s="86"/>
      <c r="E568" s="86"/>
      <c r="F568" s="86"/>
      <c r="G568" s="86"/>
      <c r="H568" s="86"/>
      <c r="I568" s="86"/>
    </row>
    <row r="569">
      <c r="A569" s="85"/>
      <c r="B569" s="86"/>
      <c r="C569" s="87"/>
      <c r="D569" s="86"/>
      <c r="E569" s="86"/>
      <c r="F569" s="86"/>
      <c r="G569" s="86"/>
      <c r="H569" s="86"/>
      <c r="I569" s="86"/>
    </row>
    <row r="570">
      <c r="A570" s="85"/>
      <c r="B570" s="86"/>
      <c r="C570" s="87"/>
      <c r="D570" s="86"/>
      <c r="E570" s="86"/>
      <c r="F570" s="86"/>
      <c r="G570" s="86"/>
      <c r="H570" s="86"/>
      <c r="I570" s="86"/>
    </row>
    <row r="571">
      <c r="A571" s="85"/>
      <c r="B571" s="86"/>
      <c r="C571" s="87"/>
      <c r="D571" s="86"/>
      <c r="E571" s="86"/>
      <c r="F571" s="86"/>
      <c r="G571" s="86"/>
      <c r="H571" s="86"/>
      <c r="I571" s="86"/>
    </row>
    <row r="572">
      <c r="A572" s="85"/>
      <c r="B572" s="86"/>
      <c r="C572" s="87"/>
      <c r="D572" s="86"/>
      <c r="E572" s="86"/>
      <c r="F572" s="86"/>
      <c r="G572" s="86"/>
      <c r="H572" s="86"/>
      <c r="I572" s="86"/>
    </row>
    <row r="573">
      <c r="A573" s="85"/>
      <c r="B573" s="86"/>
      <c r="C573" s="87"/>
      <c r="D573" s="86"/>
      <c r="E573" s="86"/>
      <c r="F573" s="86"/>
      <c r="G573" s="86"/>
      <c r="H573" s="86"/>
      <c r="I573" s="86"/>
    </row>
    <row r="574">
      <c r="A574" s="85"/>
      <c r="B574" s="86"/>
      <c r="C574" s="87"/>
      <c r="D574" s="86"/>
      <c r="E574" s="86"/>
      <c r="F574" s="86"/>
      <c r="G574" s="86"/>
      <c r="H574" s="86"/>
      <c r="I574" s="86"/>
    </row>
    <row r="575">
      <c r="A575" s="85"/>
      <c r="B575" s="86"/>
      <c r="C575" s="87"/>
      <c r="D575" s="86"/>
      <c r="E575" s="86"/>
      <c r="F575" s="86"/>
      <c r="G575" s="86"/>
      <c r="H575" s="86"/>
      <c r="I575" s="86"/>
    </row>
    <row r="576">
      <c r="A576" s="85"/>
      <c r="B576" s="86"/>
      <c r="C576" s="87"/>
      <c r="D576" s="86"/>
      <c r="E576" s="86"/>
      <c r="F576" s="86"/>
      <c r="G576" s="86"/>
      <c r="H576" s="86"/>
      <c r="I576" s="86"/>
    </row>
    <row r="577">
      <c r="A577" s="85"/>
      <c r="B577" s="86"/>
      <c r="C577" s="87"/>
      <c r="D577" s="86"/>
      <c r="E577" s="86"/>
      <c r="F577" s="86"/>
      <c r="G577" s="86"/>
      <c r="H577" s="86"/>
      <c r="I577" s="86"/>
    </row>
    <row r="578">
      <c r="A578" s="85"/>
      <c r="B578" s="86"/>
      <c r="C578" s="87"/>
      <c r="D578" s="86"/>
      <c r="E578" s="86"/>
      <c r="F578" s="86"/>
      <c r="G578" s="86"/>
      <c r="H578" s="86"/>
      <c r="I578" s="86"/>
    </row>
    <row r="579">
      <c r="A579" s="85"/>
      <c r="B579" s="86"/>
      <c r="C579" s="87"/>
      <c r="D579" s="86"/>
      <c r="E579" s="86"/>
      <c r="F579" s="86"/>
      <c r="G579" s="86"/>
      <c r="H579" s="86"/>
      <c r="I579" s="86"/>
    </row>
    <row r="580">
      <c r="A580" s="85"/>
      <c r="B580" s="86"/>
      <c r="C580" s="87"/>
      <c r="D580" s="86"/>
      <c r="E580" s="86"/>
      <c r="F580" s="86"/>
      <c r="G580" s="86"/>
      <c r="H580" s="86"/>
      <c r="I580" s="86"/>
    </row>
    <row r="581">
      <c r="A581" s="85"/>
      <c r="B581" s="86"/>
      <c r="C581" s="87"/>
      <c r="D581" s="86"/>
      <c r="E581" s="86"/>
      <c r="F581" s="86"/>
      <c r="G581" s="86"/>
      <c r="H581" s="86"/>
      <c r="I581" s="86"/>
    </row>
    <row r="582">
      <c r="A582" s="85"/>
      <c r="B582" s="86"/>
      <c r="C582" s="87"/>
      <c r="D582" s="86"/>
      <c r="E582" s="86"/>
      <c r="F582" s="86"/>
      <c r="G582" s="86"/>
      <c r="H582" s="86"/>
      <c r="I582" s="86"/>
    </row>
    <row r="583">
      <c r="A583" s="85"/>
      <c r="B583" s="86"/>
      <c r="C583" s="87"/>
      <c r="D583" s="86"/>
      <c r="E583" s="86"/>
      <c r="F583" s="86"/>
      <c r="G583" s="86"/>
      <c r="H583" s="86"/>
      <c r="I583" s="86"/>
    </row>
    <row r="584">
      <c r="A584" s="85"/>
      <c r="B584" s="86"/>
      <c r="C584" s="87"/>
      <c r="D584" s="86"/>
      <c r="E584" s="86"/>
      <c r="F584" s="86"/>
      <c r="G584" s="86"/>
      <c r="H584" s="86"/>
      <c r="I584" s="86"/>
    </row>
    <row r="585">
      <c r="A585" s="85"/>
      <c r="B585" s="86"/>
      <c r="C585" s="87"/>
      <c r="D585" s="86"/>
      <c r="E585" s="86"/>
      <c r="F585" s="86"/>
      <c r="G585" s="86"/>
      <c r="H585" s="86"/>
      <c r="I585" s="86"/>
    </row>
    <row r="586">
      <c r="A586" s="85"/>
      <c r="B586" s="86"/>
      <c r="C586" s="87"/>
      <c r="D586" s="86"/>
      <c r="E586" s="86"/>
      <c r="F586" s="86"/>
      <c r="G586" s="86"/>
      <c r="H586" s="86"/>
      <c r="I586" s="86"/>
    </row>
    <row r="587">
      <c r="A587" s="85"/>
      <c r="B587" s="86"/>
      <c r="C587" s="87"/>
      <c r="D587" s="86"/>
      <c r="E587" s="86"/>
      <c r="F587" s="86"/>
      <c r="G587" s="86"/>
      <c r="H587" s="86"/>
      <c r="I587" s="86"/>
    </row>
    <row r="588">
      <c r="A588" s="85"/>
      <c r="B588" s="86"/>
      <c r="C588" s="87"/>
      <c r="D588" s="86"/>
      <c r="E588" s="86"/>
      <c r="F588" s="86"/>
      <c r="G588" s="86"/>
      <c r="H588" s="86"/>
      <c r="I588" s="86"/>
    </row>
    <row r="589">
      <c r="A589" s="85"/>
      <c r="B589" s="86"/>
      <c r="C589" s="87"/>
      <c r="D589" s="86"/>
      <c r="E589" s="86"/>
      <c r="F589" s="86"/>
      <c r="G589" s="86"/>
      <c r="H589" s="86"/>
      <c r="I589" s="86"/>
    </row>
    <row r="590">
      <c r="A590" s="85"/>
      <c r="B590" s="86"/>
      <c r="C590" s="87"/>
      <c r="D590" s="86"/>
      <c r="E590" s="86"/>
      <c r="F590" s="86"/>
      <c r="G590" s="86"/>
      <c r="H590" s="86"/>
      <c r="I590" s="86"/>
    </row>
    <row r="591">
      <c r="A591" s="85"/>
      <c r="B591" s="86"/>
      <c r="C591" s="87"/>
      <c r="D591" s="86"/>
      <c r="E591" s="86"/>
      <c r="F591" s="86"/>
      <c r="G591" s="86"/>
      <c r="H591" s="86"/>
      <c r="I591" s="86"/>
    </row>
    <row r="592">
      <c r="A592" s="85"/>
      <c r="B592" s="86"/>
      <c r="C592" s="87"/>
      <c r="D592" s="86"/>
      <c r="E592" s="86"/>
      <c r="F592" s="86"/>
      <c r="G592" s="86"/>
      <c r="H592" s="86"/>
      <c r="I592" s="86"/>
    </row>
    <row r="593">
      <c r="A593" s="85"/>
      <c r="B593" s="86"/>
      <c r="C593" s="87"/>
      <c r="D593" s="86"/>
      <c r="E593" s="86"/>
      <c r="F593" s="86"/>
      <c r="G593" s="86"/>
      <c r="H593" s="86"/>
      <c r="I593" s="86"/>
    </row>
    <row r="594">
      <c r="A594" s="85"/>
      <c r="B594" s="86"/>
      <c r="C594" s="87"/>
      <c r="D594" s="86"/>
      <c r="E594" s="86"/>
      <c r="F594" s="86"/>
      <c r="G594" s="86"/>
      <c r="H594" s="86"/>
      <c r="I594" s="86"/>
    </row>
    <row r="595">
      <c r="A595" s="85"/>
      <c r="B595" s="86"/>
      <c r="C595" s="87"/>
      <c r="D595" s="86"/>
      <c r="E595" s="86"/>
      <c r="F595" s="86"/>
      <c r="G595" s="86"/>
      <c r="H595" s="86"/>
      <c r="I595" s="86"/>
    </row>
    <row r="596">
      <c r="A596" s="85"/>
      <c r="B596" s="86"/>
      <c r="C596" s="87"/>
      <c r="D596" s="86"/>
      <c r="E596" s="86"/>
      <c r="F596" s="86"/>
      <c r="G596" s="86"/>
      <c r="H596" s="86"/>
      <c r="I596" s="86"/>
    </row>
    <row r="597">
      <c r="A597" s="85"/>
      <c r="B597" s="86"/>
      <c r="C597" s="87"/>
      <c r="D597" s="86"/>
      <c r="E597" s="86"/>
      <c r="F597" s="86"/>
      <c r="G597" s="86"/>
      <c r="H597" s="86"/>
      <c r="I597" s="86"/>
    </row>
    <row r="598">
      <c r="A598" s="85"/>
      <c r="B598" s="86"/>
      <c r="C598" s="87"/>
      <c r="D598" s="86"/>
      <c r="E598" s="86"/>
      <c r="F598" s="86"/>
      <c r="G598" s="86"/>
      <c r="H598" s="86"/>
      <c r="I598" s="86"/>
    </row>
    <row r="599">
      <c r="A599" s="85"/>
      <c r="B599" s="86"/>
      <c r="C599" s="87"/>
      <c r="D599" s="86"/>
      <c r="E599" s="86"/>
      <c r="F599" s="86"/>
      <c r="G599" s="86"/>
      <c r="H599" s="86"/>
      <c r="I599" s="86"/>
    </row>
    <row r="600">
      <c r="A600" s="85"/>
      <c r="B600" s="86"/>
      <c r="C600" s="87"/>
      <c r="D600" s="86"/>
      <c r="E600" s="86"/>
      <c r="F600" s="86"/>
      <c r="G600" s="86"/>
      <c r="H600" s="86"/>
      <c r="I600" s="86"/>
    </row>
    <row r="601">
      <c r="A601" s="85"/>
      <c r="B601" s="86"/>
      <c r="C601" s="87"/>
      <c r="D601" s="86"/>
      <c r="E601" s="86"/>
      <c r="F601" s="86"/>
      <c r="G601" s="86"/>
      <c r="H601" s="86"/>
      <c r="I601" s="86"/>
    </row>
    <row r="602">
      <c r="A602" s="85"/>
      <c r="B602" s="86"/>
      <c r="C602" s="87"/>
      <c r="D602" s="86"/>
      <c r="E602" s="86"/>
      <c r="F602" s="86"/>
      <c r="G602" s="86"/>
      <c r="H602" s="86"/>
      <c r="I602" s="86"/>
    </row>
    <row r="603">
      <c r="A603" s="85"/>
      <c r="B603" s="86"/>
      <c r="C603" s="87"/>
      <c r="D603" s="86"/>
      <c r="E603" s="86"/>
      <c r="F603" s="86"/>
      <c r="G603" s="86"/>
      <c r="H603" s="86"/>
      <c r="I603" s="86"/>
    </row>
    <row r="604">
      <c r="A604" s="85"/>
      <c r="B604" s="86"/>
      <c r="C604" s="87"/>
      <c r="D604" s="86"/>
      <c r="E604" s="86"/>
      <c r="F604" s="86"/>
      <c r="G604" s="86"/>
      <c r="H604" s="86"/>
      <c r="I604" s="86"/>
    </row>
    <row r="605">
      <c r="A605" s="85"/>
      <c r="B605" s="86"/>
      <c r="C605" s="87"/>
      <c r="D605" s="86"/>
      <c r="E605" s="86"/>
      <c r="F605" s="86"/>
      <c r="G605" s="86"/>
      <c r="H605" s="86"/>
      <c r="I605" s="86"/>
    </row>
    <row r="606">
      <c r="A606" s="85"/>
      <c r="B606" s="86"/>
      <c r="C606" s="87"/>
      <c r="D606" s="86"/>
      <c r="E606" s="86"/>
      <c r="F606" s="86"/>
      <c r="G606" s="86"/>
      <c r="H606" s="86"/>
      <c r="I606" s="86"/>
    </row>
    <row r="607">
      <c r="A607" s="85"/>
      <c r="B607" s="86"/>
      <c r="C607" s="87"/>
      <c r="D607" s="86"/>
      <c r="E607" s="86"/>
      <c r="F607" s="86"/>
      <c r="G607" s="86"/>
      <c r="H607" s="86"/>
      <c r="I607" s="86"/>
    </row>
    <row r="608">
      <c r="A608" s="85"/>
      <c r="B608" s="86"/>
      <c r="C608" s="87"/>
      <c r="D608" s="86"/>
      <c r="E608" s="86"/>
      <c r="F608" s="86"/>
      <c r="G608" s="86"/>
      <c r="H608" s="86"/>
      <c r="I608" s="86"/>
    </row>
    <row r="609">
      <c r="A609" s="85"/>
      <c r="B609" s="86"/>
      <c r="C609" s="87"/>
      <c r="D609" s="86"/>
      <c r="E609" s="86"/>
      <c r="F609" s="86"/>
      <c r="G609" s="86"/>
      <c r="H609" s="86"/>
      <c r="I609" s="86"/>
    </row>
    <row r="610">
      <c r="A610" s="85"/>
      <c r="B610" s="86"/>
      <c r="C610" s="87"/>
      <c r="D610" s="86"/>
      <c r="E610" s="86"/>
      <c r="F610" s="86"/>
      <c r="G610" s="86"/>
      <c r="H610" s="86"/>
      <c r="I610" s="86"/>
    </row>
    <row r="611">
      <c r="A611" s="85"/>
      <c r="B611" s="86"/>
      <c r="C611" s="87"/>
      <c r="D611" s="86"/>
      <c r="E611" s="86"/>
      <c r="F611" s="86"/>
      <c r="G611" s="86"/>
      <c r="H611" s="86"/>
      <c r="I611" s="86"/>
    </row>
    <row r="612">
      <c r="A612" s="85"/>
      <c r="B612" s="86"/>
      <c r="C612" s="87"/>
      <c r="D612" s="86"/>
      <c r="E612" s="86"/>
      <c r="F612" s="86"/>
      <c r="G612" s="86"/>
      <c r="H612" s="86"/>
      <c r="I612" s="86"/>
    </row>
    <row r="613">
      <c r="A613" s="85"/>
      <c r="B613" s="86"/>
      <c r="C613" s="87"/>
      <c r="D613" s="86"/>
      <c r="E613" s="86"/>
      <c r="F613" s="86"/>
      <c r="G613" s="86"/>
      <c r="H613" s="86"/>
      <c r="I613" s="86"/>
    </row>
    <row r="614">
      <c r="A614" s="85"/>
      <c r="B614" s="86"/>
      <c r="C614" s="87"/>
      <c r="D614" s="86"/>
      <c r="E614" s="86"/>
      <c r="F614" s="86"/>
      <c r="G614" s="86"/>
      <c r="H614" s="86"/>
      <c r="I614" s="86"/>
    </row>
    <row r="615">
      <c r="A615" s="85"/>
      <c r="B615" s="86"/>
      <c r="C615" s="87"/>
      <c r="D615" s="86"/>
      <c r="E615" s="86"/>
      <c r="F615" s="86"/>
      <c r="G615" s="86"/>
      <c r="H615" s="86"/>
      <c r="I615" s="86"/>
    </row>
    <row r="616">
      <c r="A616" s="85"/>
      <c r="B616" s="86"/>
      <c r="C616" s="87"/>
      <c r="D616" s="86"/>
      <c r="E616" s="86"/>
      <c r="F616" s="86"/>
      <c r="G616" s="86"/>
      <c r="H616" s="86"/>
      <c r="I616" s="86"/>
    </row>
    <row r="617">
      <c r="A617" s="85"/>
      <c r="B617" s="86"/>
      <c r="C617" s="87"/>
      <c r="D617" s="86"/>
      <c r="E617" s="86"/>
      <c r="F617" s="86"/>
      <c r="G617" s="86"/>
      <c r="H617" s="86"/>
      <c r="I617" s="86"/>
    </row>
    <row r="618">
      <c r="A618" s="85"/>
      <c r="B618" s="86"/>
      <c r="C618" s="87"/>
      <c r="D618" s="86"/>
      <c r="E618" s="86"/>
      <c r="F618" s="86"/>
      <c r="G618" s="86"/>
      <c r="H618" s="86"/>
      <c r="I618" s="86"/>
    </row>
    <row r="619">
      <c r="A619" s="85"/>
      <c r="B619" s="86"/>
      <c r="C619" s="87"/>
      <c r="D619" s="86"/>
      <c r="E619" s="86"/>
      <c r="F619" s="86"/>
      <c r="G619" s="86"/>
      <c r="H619" s="86"/>
      <c r="I619" s="86"/>
    </row>
    <row r="620">
      <c r="A620" s="85"/>
      <c r="B620" s="86"/>
      <c r="C620" s="87"/>
      <c r="D620" s="86"/>
      <c r="E620" s="86"/>
      <c r="F620" s="86"/>
      <c r="G620" s="86"/>
      <c r="H620" s="86"/>
      <c r="I620" s="86"/>
    </row>
    <row r="621">
      <c r="A621" s="85"/>
      <c r="B621" s="86"/>
      <c r="C621" s="87"/>
      <c r="D621" s="86"/>
      <c r="E621" s="86"/>
      <c r="F621" s="86"/>
      <c r="G621" s="86"/>
      <c r="H621" s="86"/>
      <c r="I621" s="86"/>
    </row>
    <row r="622">
      <c r="A622" s="85"/>
      <c r="B622" s="86"/>
      <c r="C622" s="87"/>
      <c r="D622" s="86"/>
      <c r="E622" s="86"/>
      <c r="F622" s="86"/>
      <c r="G622" s="86"/>
      <c r="H622" s="86"/>
      <c r="I622" s="86"/>
    </row>
    <row r="623">
      <c r="A623" s="85"/>
      <c r="B623" s="86"/>
      <c r="C623" s="87"/>
      <c r="D623" s="86"/>
      <c r="E623" s="86"/>
      <c r="F623" s="86"/>
      <c r="G623" s="86"/>
      <c r="H623" s="86"/>
      <c r="I623" s="86"/>
    </row>
    <row r="624">
      <c r="A624" s="85"/>
      <c r="B624" s="86"/>
      <c r="C624" s="87"/>
      <c r="D624" s="86"/>
      <c r="E624" s="86"/>
      <c r="F624" s="86"/>
      <c r="G624" s="86"/>
      <c r="H624" s="86"/>
      <c r="I624" s="86"/>
    </row>
    <row r="625">
      <c r="A625" s="85"/>
      <c r="B625" s="86"/>
      <c r="C625" s="87"/>
      <c r="D625" s="86"/>
      <c r="E625" s="86"/>
      <c r="F625" s="86"/>
      <c r="G625" s="86"/>
      <c r="H625" s="86"/>
      <c r="I625" s="86"/>
    </row>
    <row r="626">
      <c r="A626" s="85"/>
      <c r="B626" s="86"/>
      <c r="C626" s="87"/>
      <c r="D626" s="86"/>
      <c r="E626" s="86"/>
      <c r="F626" s="86"/>
      <c r="G626" s="86"/>
      <c r="H626" s="86"/>
      <c r="I626" s="86"/>
    </row>
    <row r="627">
      <c r="A627" s="85"/>
      <c r="B627" s="86"/>
      <c r="C627" s="87"/>
      <c r="D627" s="86"/>
      <c r="E627" s="86"/>
      <c r="F627" s="86"/>
      <c r="G627" s="86"/>
      <c r="H627" s="86"/>
      <c r="I627" s="86"/>
    </row>
    <row r="628">
      <c r="A628" s="85"/>
      <c r="B628" s="86"/>
      <c r="C628" s="87"/>
      <c r="D628" s="86"/>
      <c r="E628" s="86"/>
      <c r="F628" s="86"/>
      <c r="G628" s="86"/>
      <c r="H628" s="86"/>
      <c r="I628" s="86"/>
    </row>
    <row r="629">
      <c r="A629" s="85"/>
      <c r="B629" s="86"/>
      <c r="C629" s="87"/>
      <c r="D629" s="86"/>
      <c r="E629" s="86"/>
      <c r="F629" s="86"/>
      <c r="G629" s="86"/>
      <c r="H629" s="86"/>
      <c r="I629" s="86"/>
    </row>
    <row r="630">
      <c r="A630" s="85"/>
      <c r="B630" s="86"/>
      <c r="C630" s="87"/>
      <c r="D630" s="86"/>
      <c r="E630" s="86"/>
      <c r="F630" s="86"/>
      <c r="G630" s="86"/>
      <c r="H630" s="86"/>
      <c r="I630" s="86"/>
    </row>
    <row r="631">
      <c r="A631" s="85"/>
      <c r="B631" s="86"/>
      <c r="C631" s="87"/>
      <c r="D631" s="86"/>
      <c r="E631" s="86"/>
      <c r="F631" s="86"/>
      <c r="G631" s="86"/>
      <c r="H631" s="86"/>
      <c r="I631" s="86"/>
    </row>
    <row r="632">
      <c r="A632" s="85"/>
      <c r="B632" s="86"/>
      <c r="C632" s="87"/>
      <c r="D632" s="86"/>
      <c r="E632" s="86"/>
      <c r="F632" s="86"/>
      <c r="G632" s="86"/>
      <c r="H632" s="86"/>
      <c r="I632" s="86"/>
    </row>
    <row r="633">
      <c r="A633" s="85"/>
      <c r="B633" s="86"/>
      <c r="C633" s="87"/>
      <c r="D633" s="86"/>
      <c r="E633" s="86"/>
      <c r="F633" s="86"/>
      <c r="G633" s="86"/>
      <c r="H633" s="86"/>
      <c r="I633" s="86"/>
    </row>
    <row r="634">
      <c r="A634" s="85"/>
      <c r="B634" s="86"/>
      <c r="C634" s="87"/>
      <c r="D634" s="86"/>
      <c r="E634" s="86"/>
      <c r="F634" s="86"/>
      <c r="G634" s="86"/>
      <c r="H634" s="86"/>
      <c r="I634" s="86"/>
    </row>
    <row r="635">
      <c r="A635" s="85"/>
      <c r="B635" s="86"/>
      <c r="C635" s="87"/>
      <c r="D635" s="86"/>
      <c r="E635" s="86"/>
      <c r="F635" s="86"/>
      <c r="G635" s="86"/>
      <c r="H635" s="86"/>
      <c r="I635" s="86"/>
    </row>
    <row r="636">
      <c r="A636" s="85"/>
      <c r="B636" s="86"/>
      <c r="C636" s="87"/>
      <c r="D636" s="86"/>
      <c r="E636" s="86"/>
      <c r="F636" s="86"/>
      <c r="G636" s="86"/>
      <c r="H636" s="86"/>
      <c r="I636" s="86"/>
    </row>
    <row r="637">
      <c r="A637" s="85"/>
      <c r="B637" s="86"/>
      <c r="C637" s="87"/>
      <c r="D637" s="86"/>
      <c r="E637" s="86"/>
      <c r="F637" s="86"/>
      <c r="G637" s="86"/>
      <c r="H637" s="86"/>
      <c r="I637" s="86"/>
    </row>
    <row r="638">
      <c r="A638" s="85"/>
      <c r="B638" s="86"/>
      <c r="C638" s="87"/>
      <c r="D638" s="86"/>
      <c r="E638" s="86"/>
      <c r="F638" s="86"/>
      <c r="G638" s="86"/>
      <c r="H638" s="86"/>
      <c r="I638" s="86"/>
    </row>
    <row r="639">
      <c r="A639" s="85"/>
      <c r="B639" s="86"/>
      <c r="C639" s="87"/>
      <c r="D639" s="86"/>
      <c r="E639" s="86"/>
      <c r="F639" s="86"/>
      <c r="G639" s="86"/>
      <c r="H639" s="86"/>
      <c r="I639" s="86"/>
    </row>
    <row r="640">
      <c r="A640" s="85"/>
      <c r="B640" s="86"/>
      <c r="C640" s="87"/>
      <c r="D640" s="86"/>
      <c r="E640" s="86"/>
      <c r="F640" s="86"/>
      <c r="G640" s="86"/>
      <c r="H640" s="86"/>
      <c r="I640" s="86"/>
    </row>
    <row r="641">
      <c r="A641" s="85"/>
      <c r="B641" s="86"/>
      <c r="C641" s="87"/>
      <c r="D641" s="86"/>
      <c r="E641" s="86"/>
      <c r="F641" s="86"/>
      <c r="G641" s="86"/>
      <c r="H641" s="86"/>
      <c r="I641" s="86"/>
    </row>
    <row r="642">
      <c r="A642" s="85"/>
      <c r="B642" s="86"/>
      <c r="C642" s="87"/>
      <c r="D642" s="86"/>
      <c r="E642" s="86"/>
      <c r="F642" s="86"/>
      <c r="G642" s="86"/>
      <c r="H642" s="86"/>
      <c r="I642" s="86"/>
    </row>
    <row r="643">
      <c r="A643" s="85"/>
      <c r="B643" s="86"/>
      <c r="C643" s="87"/>
      <c r="D643" s="86"/>
      <c r="E643" s="86"/>
      <c r="F643" s="86"/>
      <c r="G643" s="86"/>
      <c r="H643" s="86"/>
      <c r="I643" s="86"/>
    </row>
    <row r="644">
      <c r="A644" s="85"/>
      <c r="B644" s="86"/>
      <c r="C644" s="87"/>
      <c r="D644" s="86"/>
      <c r="E644" s="86"/>
      <c r="F644" s="86"/>
      <c r="G644" s="86"/>
      <c r="H644" s="86"/>
      <c r="I644" s="86"/>
    </row>
    <row r="645">
      <c r="A645" s="85"/>
      <c r="B645" s="86"/>
      <c r="C645" s="87"/>
      <c r="D645" s="86"/>
      <c r="E645" s="86"/>
      <c r="F645" s="86"/>
      <c r="G645" s="86"/>
      <c r="H645" s="86"/>
      <c r="I645" s="86"/>
    </row>
    <row r="646">
      <c r="A646" s="85"/>
      <c r="B646" s="86"/>
      <c r="C646" s="87"/>
      <c r="D646" s="86"/>
      <c r="E646" s="86"/>
      <c r="F646" s="86"/>
      <c r="G646" s="86"/>
      <c r="H646" s="86"/>
      <c r="I646" s="86"/>
    </row>
    <row r="647">
      <c r="A647" s="85"/>
      <c r="B647" s="86"/>
      <c r="C647" s="87"/>
      <c r="D647" s="86"/>
      <c r="E647" s="86"/>
      <c r="F647" s="86"/>
      <c r="G647" s="86"/>
      <c r="H647" s="86"/>
      <c r="I647" s="86"/>
    </row>
    <row r="648">
      <c r="A648" s="85"/>
      <c r="B648" s="86"/>
      <c r="C648" s="87"/>
      <c r="D648" s="86"/>
      <c r="E648" s="86"/>
      <c r="F648" s="86"/>
      <c r="G648" s="86"/>
      <c r="H648" s="86"/>
      <c r="I648" s="86"/>
    </row>
    <row r="649">
      <c r="A649" s="85"/>
      <c r="B649" s="86"/>
      <c r="C649" s="87"/>
      <c r="D649" s="86"/>
      <c r="E649" s="86"/>
      <c r="F649" s="86"/>
      <c r="G649" s="86"/>
      <c r="H649" s="86"/>
      <c r="I649" s="86"/>
    </row>
    <row r="650">
      <c r="A650" s="85"/>
      <c r="B650" s="86"/>
      <c r="C650" s="87"/>
      <c r="D650" s="86"/>
      <c r="E650" s="86"/>
      <c r="F650" s="86"/>
      <c r="G650" s="86"/>
      <c r="H650" s="86"/>
      <c r="I650" s="86"/>
    </row>
    <row r="651">
      <c r="A651" s="85"/>
      <c r="B651" s="86"/>
      <c r="C651" s="87"/>
      <c r="D651" s="86"/>
      <c r="E651" s="86"/>
      <c r="F651" s="86"/>
      <c r="G651" s="86"/>
      <c r="H651" s="86"/>
      <c r="I651" s="86"/>
    </row>
    <row r="652">
      <c r="A652" s="85"/>
      <c r="B652" s="86"/>
      <c r="C652" s="87"/>
      <c r="D652" s="86"/>
      <c r="E652" s="86"/>
      <c r="F652" s="86"/>
      <c r="G652" s="86"/>
      <c r="H652" s="86"/>
      <c r="I652" s="86"/>
    </row>
    <row r="653">
      <c r="A653" s="85"/>
      <c r="B653" s="86"/>
      <c r="C653" s="87"/>
      <c r="D653" s="86"/>
      <c r="E653" s="86"/>
      <c r="F653" s="86"/>
      <c r="G653" s="86"/>
      <c r="H653" s="86"/>
      <c r="I653" s="86"/>
    </row>
    <row r="654">
      <c r="A654" s="85"/>
      <c r="B654" s="86"/>
      <c r="C654" s="87"/>
      <c r="D654" s="86"/>
      <c r="E654" s="86"/>
      <c r="F654" s="86"/>
      <c r="G654" s="86"/>
      <c r="H654" s="86"/>
      <c r="I654" s="86"/>
    </row>
    <row r="655">
      <c r="A655" s="85"/>
      <c r="B655" s="86"/>
      <c r="C655" s="87"/>
      <c r="D655" s="86"/>
      <c r="E655" s="86"/>
      <c r="F655" s="86"/>
      <c r="G655" s="86"/>
      <c r="H655" s="86"/>
      <c r="I655" s="86"/>
    </row>
    <row r="656">
      <c r="A656" s="85"/>
      <c r="B656" s="86"/>
      <c r="C656" s="87"/>
      <c r="D656" s="86"/>
      <c r="E656" s="86"/>
      <c r="F656" s="86"/>
      <c r="G656" s="86"/>
      <c r="H656" s="86"/>
      <c r="I656" s="86"/>
    </row>
    <row r="657">
      <c r="A657" s="85"/>
      <c r="B657" s="86"/>
      <c r="C657" s="87"/>
      <c r="D657" s="86"/>
      <c r="E657" s="86"/>
      <c r="F657" s="86"/>
      <c r="G657" s="86"/>
      <c r="H657" s="86"/>
      <c r="I657" s="86"/>
    </row>
    <row r="658">
      <c r="A658" s="85"/>
      <c r="B658" s="86"/>
      <c r="C658" s="87"/>
      <c r="D658" s="86"/>
      <c r="E658" s="86"/>
      <c r="F658" s="86"/>
      <c r="G658" s="86"/>
      <c r="H658" s="86"/>
      <c r="I658" s="86"/>
    </row>
    <row r="659">
      <c r="A659" s="85"/>
      <c r="B659" s="86"/>
      <c r="C659" s="87"/>
      <c r="D659" s="86"/>
      <c r="E659" s="86"/>
      <c r="F659" s="86"/>
      <c r="G659" s="86"/>
      <c r="H659" s="86"/>
      <c r="I659" s="86"/>
    </row>
    <row r="660">
      <c r="A660" s="85"/>
      <c r="B660" s="86"/>
      <c r="C660" s="87"/>
      <c r="D660" s="86"/>
      <c r="E660" s="86"/>
      <c r="F660" s="86"/>
      <c r="G660" s="86"/>
      <c r="H660" s="86"/>
      <c r="I660" s="86"/>
    </row>
    <row r="661">
      <c r="A661" s="85"/>
      <c r="B661" s="86"/>
      <c r="C661" s="87"/>
      <c r="D661" s="86"/>
      <c r="E661" s="86"/>
      <c r="F661" s="86"/>
      <c r="G661" s="86"/>
      <c r="H661" s="86"/>
      <c r="I661" s="86"/>
    </row>
    <row r="662">
      <c r="A662" s="85"/>
      <c r="B662" s="86"/>
      <c r="C662" s="87"/>
      <c r="D662" s="86"/>
      <c r="E662" s="86"/>
      <c r="F662" s="86"/>
      <c r="G662" s="86"/>
      <c r="H662" s="86"/>
      <c r="I662" s="86"/>
    </row>
    <row r="663">
      <c r="A663" s="85"/>
      <c r="B663" s="86"/>
      <c r="C663" s="87"/>
      <c r="D663" s="86"/>
      <c r="E663" s="86"/>
      <c r="F663" s="86"/>
      <c r="G663" s="86"/>
      <c r="H663" s="86"/>
      <c r="I663" s="86"/>
    </row>
    <row r="664">
      <c r="A664" s="85"/>
      <c r="B664" s="86"/>
      <c r="C664" s="87"/>
      <c r="D664" s="86"/>
      <c r="E664" s="86"/>
      <c r="F664" s="86"/>
      <c r="G664" s="86"/>
      <c r="H664" s="86"/>
      <c r="I664" s="86"/>
    </row>
    <row r="665">
      <c r="A665" s="85"/>
      <c r="B665" s="86"/>
      <c r="C665" s="87"/>
      <c r="D665" s="86"/>
      <c r="E665" s="86"/>
      <c r="F665" s="86"/>
      <c r="G665" s="86"/>
      <c r="H665" s="86"/>
      <c r="I665" s="86"/>
    </row>
    <row r="666">
      <c r="A666" s="85"/>
      <c r="B666" s="86"/>
      <c r="C666" s="87"/>
      <c r="D666" s="86"/>
      <c r="E666" s="86"/>
      <c r="F666" s="86"/>
      <c r="G666" s="86"/>
      <c r="H666" s="86"/>
      <c r="I666" s="86"/>
    </row>
    <row r="667">
      <c r="A667" s="85"/>
      <c r="B667" s="86"/>
      <c r="C667" s="87"/>
      <c r="D667" s="86"/>
      <c r="E667" s="86"/>
      <c r="F667" s="86"/>
      <c r="G667" s="86"/>
      <c r="H667" s="86"/>
      <c r="I667" s="86"/>
    </row>
    <row r="668">
      <c r="A668" s="85"/>
      <c r="B668" s="86"/>
      <c r="C668" s="87"/>
      <c r="D668" s="86"/>
      <c r="E668" s="86"/>
      <c r="F668" s="86"/>
      <c r="G668" s="86"/>
      <c r="H668" s="86"/>
      <c r="I668" s="86"/>
    </row>
    <row r="669">
      <c r="A669" s="85"/>
      <c r="B669" s="86"/>
      <c r="C669" s="87"/>
      <c r="D669" s="86"/>
      <c r="E669" s="86"/>
      <c r="F669" s="86"/>
      <c r="G669" s="86"/>
      <c r="H669" s="86"/>
      <c r="I669" s="86"/>
    </row>
    <row r="670">
      <c r="A670" s="85"/>
      <c r="B670" s="86"/>
      <c r="C670" s="87"/>
      <c r="D670" s="86"/>
      <c r="E670" s="86"/>
      <c r="F670" s="86"/>
      <c r="G670" s="86"/>
      <c r="H670" s="86"/>
      <c r="I670" s="86"/>
    </row>
    <row r="671">
      <c r="A671" s="85"/>
      <c r="B671" s="86"/>
      <c r="C671" s="87"/>
      <c r="D671" s="86"/>
      <c r="E671" s="86"/>
      <c r="F671" s="86"/>
      <c r="G671" s="86"/>
      <c r="H671" s="86"/>
      <c r="I671" s="86"/>
    </row>
    <row r="672">
      <c r="A672" s="85"/>
      <c r="B672" s="86"/>
      <c r="C672" s="87"/>
      <c r="D672" s="86"/>
      <c r="E672" s="86"/>
      <c r="F672" s="86"/>
      <c r="G672" s="86"/>
      <c r="H672" s="86"/>
      <c r="I672" s="86"/>
    </row>
    <row r="673">
      <c r="A673" s="85"/>
      <c r="B673" s="86"/>
      <c r="C673" s="87"/>
      <c r="D673" s="86"/>
      <c r="E673" s="86"/>
      <c r="F673" s="86"/>
      <c r="G673" s="86"/>
      <c r="H673" s="86"/>
      <c r="I673" s="86"/>
    </row>
    <row r="674">
      <c r="A674" s="85"/>
      <c r="B674" s="86"/>
      <c r="C674" s="87"/>
      <c r="D674" s="86"/>
      <c r="E674" s="86"/>
      <c r="F674" s="86"/>
      <c r="G674" s="86"/>
      <c r="H674" s="86"/>
      <c r="I674" s="86"/>
    </row>
    <row r="675">
      <c r="A675" s="85"/>
      <c r="B675" s="86"/>
      <c r="C675" s="87"/>
      <c r="D675" s="86"/>
      <c r="E675" s="86"/>
      <c r="F675" s="86"/>
      <c r="G675" s="86"/>
      <c r="H675" s="86"/>
      <c r="I675" s="86"/>
    </row>
    <row r="676">
      <c r="A676" s="85"/>
      <c r="B676" s="86"/>
      <c r="C676" s="87"/>
      <c r="D676" s="86"/>
      <c r="E676" s="86"/>
      <c r="F676" s="86"/>
      <c r="G676" s="86"/>
      <c r="H676" s="86"/>
      <c r="I676" s="86"/>
    </row>
    <row r="677">
      <c r="A677" s="85"/>
      <c r="B677" s="86"/>
      <c r="C677" s="87"/>
      <c r="D677" s="86"/>
      <c r="E677" s="86"/>
      <c r="F677" s="86"/>
      <c r="G677" s="86"/>
      <c r="H677" s="86"/>
      <c r="I677" s="86"/>
    </row>
    <row r="678">
      <c r="A678" s="85"/>
      <c r="B678" s="86"/>
      <c r="C678" s="87"/>
      <c r="D678" s="86"/>
      <c r="E678" s="86"/>
      <c r="F678" s="86"/>
      <c r="G678" s="86"/>
      <c r="H678" s="86"/>
      <c r="I678" s="86"/>
    </row>
    <row r="679">
      <c r="A679" s="85"/>
      <c r="B679" s="86"/>
      <c r="C679" s="87"/>
      <c r="D679" s="86"/>
      <c r="E679" s="86"/>
      <c r="F679" s="86"/>
      <c r="G679" s="86"/>
      <c r="H679" s="86"/>
      <c r="I679" s="86"/>
    </row>
    <row r="680">
      <c r="A680" s="85"/>
      <c r="B680" s="86"/>
      <c r="C680" s="87"/>
      <c r="D680" s="86"/>
      <c r="E680" s="86"/>
      <c r="F680" s="86"/>
      <c r="G680" s="86"/>
      <c r="H680" s="86"/>
      <c r="I680" s="86"/>
    </row>
    <row r="681">
      <c r="A681" s="85"/>
      <c r="B681" s="86"/>
      <c r="C681" s="87"/>
      <c r="D681" s="86"/>
      <c r="E681" s="86"/>
      <c r="F681" s="86"/>
      <c r="G681" s="86"/>
      <c r="H681" s="86"/>
      <c r="I681" s="86"/>
    </row>
    <row r="682">
      <c r="A682" s="85"/>
      <c r="B682" s="86"/>
      <c r="C682" s="87"/>
      <c r="D682" s="86"/>
      <c r="E682" s="86"/>
      <c r="F682" s="86"/>
      <c r="G682" s="86"/>
      <c r="H682" s="86"/>
      <c r="I682" s="86"/>
    </row>
    <row r="683">
      <c r="A683" s="85"/>
      <c r="B683" s="86"/>
      <c r="C683" s="87"/>
      <c r="D683" s="86"/>
      <c r="E683" s="86"/>
      <c r="F683" s="86"/>
      <c r="G683" s="86"/>
      <c r="H683" s="86"/>
      <c r="I683" s="86"/>
    </row>
    <row r="684">
      <c r="A684" s="85"/>
      <c r="B684" s="86"/>
      <c r="C684" s="87"/>
      <c r="D684" s="86"/>
      <c r="E684" s="86"/>
      <c r="F684" s="86"/>
      <c r="G684" s="86"/>
      <c r="H684" s="86"/>
      <c r="I684" s="86"/>
    </row>
    <row r="685">
      <c r="A685" s="85"/>
      <c r="B685" s="86"/>
      <c r="C685" s="87"/>
      <c r="D685" s="86"/>
      <c r="E685" s="86"/>
      <c r="F685" s="86"/>
      <c r="G685" s="86"/>
      <c r="H685" s="86"/>
      <c r="I685" s="86"/>
    </row>
    <row r="686">
      <c r="A686" s="85"/>
      <c r="B686" s="86"/>
      <c r="C686" s="87"/>
      <c r="D686" s="86"/>
      <c r="E686" s="86"/>
      <c r="F686" s="86"/>
      <c r="G686" s="86"/>
      <c r="H686" s="86"/>
      <c r="I686" s="86"/>
    </row>
    <row r="687">
      <c r="A687" s="85"/>
      <c r="B687" s="86"/>
      <c r="C687" s="87"/>
      <c r="D687" s="86"/>
      <c r="E687" s="86"/>
      <c r="F687" s="86"/>
      <c r="G687" s="86"/>
      <c r="H687" s="86"/>
      <c r="I687" s="86"/>
    </row>
    <row r="688">
      <c r="A688" s="85"/>
      <c r="B688" s="86"/>
      <c r="C688" s="87"/>
      <c r="D688" s="86"/>
      <c r="E688" s="86"/>
      <c r="F688" s="86"/>
      <c r="G688" s="86"/>
      <c r="H688" s="86"/>
      <c r="I688" s="86"/>
    </row>
    <row r="689">
      <c r="A689" s="85"/>
      <c r="B689" s="86"/>
      <c r="C689" s="87"/>
      <c r="D689" s="86"/>
      <c r="E689" s="86"/>
      <c r="F689" s="86"/>
      <c r="G689" s="86"/>
      <c r="H689" s="86"/>
      <c r="I689" s="86"/>
    </row>
    <row r="690">
      <c r="A690" s="85"/>
      <c r="B690" s="86"/>
      <c r="C690" s="87"/>
      <c r="D690" s="86"/>
      <c r="E690" s="86"/>
      <c r="F690" s="86"/>
      <c r="G690" s="86"/>
      <c r="H690" s="86"/>
      <c r="I690" s="86"/>
    </row>
    <row r="691">
      <c r="A691" s="85"/>
      <c r="B691" s="86"/>
      <c r="C691" s="87"/>
      <c r="D691" s="86"/>
      <c r="E691" s="86"/>
      <c r="F691" s="86"/>
      <c r="G691" s="86"/>
      <c r="H691" s="86"/>
      <c r="I691" s="86"/>
    </row>
    <row r="692">
      <c r="A692" s="85"/>
      <c r="B692" s="86"/>
      <c r="C692" s="87"/>
      <c r="D692" s="86"/>
      <c r="E692" s="86"/>
      <c r="F692" s="86"/>
      <c r="G692" s="86"/>
      <c r="H692" s="86"/>
      <c r="I692" s="86"/>
    </row>
    <row r="693">
      <c r="A693" s="85"/>
      <c r="B693" s="86"/>
      <c r="C693" s="87"/>
      <c r="D693" s="86"/>
      <c r="E693" s="86"/>
      <c r="F693" s="86"/>
      <c r="G693" s="86"/>
      <c r="H693" s="86"/>
      <c r="I693" s="86"/>
    </row>
    <row r="694">
      <c r="A694" s="85"/>
      <c r="B694" s="86"/>
      <c r="C694" s="87"/>
      <c r="D694" s="86"/>
      <c r="E694" s="86"/>
      <c r="F694" s="86"/>
      <c r="G694" s="86"/>
      <c r="H694" s="86"/>
      <c r="I694" s="86"/>
    </row>
    <row r="695">
      <c r="A695" s="85"/>
      <c r="B695" s="86"/>
      <c r="C695" s="87"/>
      <c r="D695" s="86"/>
      <c r="E695" s="86"/>
      <c r="F695" s="86"/>
      <c r="G695" s="86"/>
      <c r="H695" s="86"/>
      <c r="I695" s="86"/>
    </row>
    <row r="696">
      <c r="A696" s="85"/>
      <c r="B696" s="86"/>
      <c r="C696" s="87"/>
      <c r="D696" s="86"/>
      <c r="E696" s="86"/>
      <c r="F696" s="86"/>
      <c r="G696" s="86"/>
      <c r="H696" s="86"/>
      <c r="I696" s="86"/>
    </row>
    <row r="697">
      <c r="A697" s="85"/>
      <c r="B697" s="86"/>
      <c r="C697" s="87"/>
      <c r="D697" s="86"/>
      <c r="E697" s="86"/>
      <c r="F697" s="86"/>
      <c r="G697" s="86"/>
      <c r="H697" s="86"/>
      <c r="I697" s="86"/>
    </row>
    <row r="698">
      <c r="A698" s="85"/>
      <c r="B698" s="86"/>
      <c r="C698" s="87"/>
      <c r="D698" s="86"/>
      <c r="E698" s="86"/>
      <c r="F698" s="86"/>
      <c r="G698" s="86"/>
      <c r="H698" s="86"/>
      <c r="I698" s="86"/>
    </row>
    <row r="699">
      <c r="A699" s="85"/>
      <c r="B699" s="86"/>
      <c r="C699" s="87"/>
      <c r="D699" s="86"/>
      <c r="E699" s="86"/>
      <c r="F699" s="86"/>
      <c r="G699" s="86"/>
      <c r="H699" s="86"/>
      <c r="I699" s="86"/>
    </row>
    <row r="700">
      <c r="A700" s="85"/>
      <c r="B700" s="86"/>
      <c r="C700" s="87"/>
      <c r="D700" s="86"/>
      <c r="E700" s="86"/>
      <c r="F700" s="86"/>
      <c r="G700" s="86"/>
      <c r="H700" s="86"/>
      <c r="I700" s="86"/>
    </row>
    <row r="701">
      <c r="A701" s="85"/>
      <c r="B701" s="86"/>
      <c r="C701" s="87"/>
      <c r="D701" s="86"/>
      <c r="E701" s="86"/>
      <c r="F701" s="86"/>
      <c r="G701" s="86"/>
      <c r="H701" s="86"/>
      <c r="I701" s="86"/>
    </row>
    <row r="702">
      <c r="A702" s="85"/>
      <c r="B702" s="86"/>
      <c r="C702" s="87"/>
      <c r="D702" s="86"/>
      <c r="E702" s="86"/>
      <c r="F702" s="86"/>
      <c r="G702" s="86"/>
      <c r="H702" s="86"/>
      <c r="I702" s="86"/>
    </row>
    <row r="703">
      <c r="A703" s="85"/>
      <c r="B703" s="86"/>
      <c r="C703" s="87"/>
      <c r="D703" s="86"/>
      <c r="E703" s="86"/>
      <c r="F703" s="86"/>
      <c r="G703" s="86"/>
      <c r="H703" s="86"/>
      <c r="I703" s="86"/>
    </row>
    <row r="704">
      <c r="A704" s="85"/>
      <c r="B704" s="86"/>
      <c r="C704" s="87"/>
      <c r="D704" s="86"/>
      <c r="E704" s="86"/>
      <c r="F704" s="86"/>
      <c r="G704" s="86"/>
      <c r="H704" s="86"/>
      <c r="I704" s="86"/>
    </row>
    <row r="705">
      <c r="A705" s="85"/>
      <c r="B705" s="86"/>
      <c r="C705" s="87"/>
      <c r="D705" s="86"/>
      <c r="E705" s="86"/>
      <c r="F705" s="86"/>
      <c r="G705" s="86"/>
      <c r="H705" s="86"/>
      <c r="I705" s="86"/>
    </row>
    <row r="706">
      <c r="A706" s="85"/>
      <c r="B706" s="86"/>
      <c r="C706" s="87"/>
      <c r="D706" s="86"/>
      <c r="E706" s="86"/>
      <c r="F706" s="86"/>
      <c r="G706" s="86"/>
      <c r="H706" s="86"/>
      <c r="I706" s="86"/>
    </row>
    <row r="707">
      <c r="A707" s="85"/>
      <c r="B707" s="86"/>
      <c r="C707" s="87"/>
      <c r="D707" s="86"/>
      <c r="E707" s="86"/>
      <c r="F707" s="86"/>
      <c r="G707" s="86"/>
      <c r="H707" s="86"/>
      <c r="I707" s="86"/>
    </row>
    <row r="708">
      <c r="A708" s="85"/>
      <c r="B708" s="86"/>
      <c r="C708" s="87"/>
      <c r="D708" s="86"/>
      <c r="E708" s="86"/>
      <c r="F708" s="86"/>
      <c r="G708" s="86"/>
      <c r="H708" s="86"/>
      <c r="I708" s="86"/>
    </row>
    <row r="709">
      <c r="A709" s="85"/>
      <c r="B709" s="86"/>
      <c r="C709" s="87"/>
      <c r="D709" s="86"/>
      <c r="E709" s="86"/>
      <c r="F709" s="86"/>
      <c r="G709" s="86"/>
      <c r="H709" s="86"/>
      <c r="I709" s="86"/>
    </row>
    <row r="710">
      <c r="A710" s="85"/>
      <c r="B710" s="86"/>
      <c r="C710" s="87"/>
      <c r="D710" s="86"/>
      <c r="E710" s="86"/>
      <c r="F710" s="86"/>
      <c r="G710" s="86"/>
      <c r="H710" s="86"/>
      <c r="I710" s="86"/>
    </row>
    <row r="711">
      <c r="A711" s="85"/>
      <c r="B711" s="86"/>
      <c r="C711" s="87"/>
      <c r="D711" s="86"/>
      <c r="E711" s="86"/>
      <c r="F711" s="86"/>
      <c r="G711" s="86"/>
      <c r="H711" s="86"/>
      <c r="I711" s="86"/>
    </row>
    <row r="712">
      <c r="A712" s="85"/>
      <c r="B712" s="86"/>
      <c r="C712" s="87"/>
      <c r="D712" s="86"/>
      <c r="E712" s="86"/>
      <c r="F712" s="86"/>
      <c r="G712" s="86"/>
      <c r="H712" s="86"/>
      <c r="I712" s="86"/>
    </row>
    <row r="713">
      <c r="A713" s="85"/>
      <c r="B713" s="86"/>
      <c r="C713" s="87"/>
      <c r="D713" s="86"/>
      <c r="E713" s="86"/>
      <c r="F713" s="86"/>
      <c r="G713" s="86"/>
      <c r="H713" s="86"/>
      <c r="I713" s="86"/>
    </row>
    <row r="714">
      <c r="A714" s="85"/>
      <c r="B714" s="86"/>
      <c r="C714" s="87"/>
      <c r="D714" s="86"/>
      <c r="E714" s="86"/>
      <c r="F714" s="86"/>
      <c r="G714" s="86"/>
      <c r="H714" s="86"/>
      <c r="I714" s="86"/>
    </row>
    <row r="715">
      <c r="A715" s="85"/>
      <c r="B715" s="86"/>
      <c r="C715" s="87"/>
      <c r="D715" s="86"/>
      <c r="E715" s="86"/>
      <c r="F715" s="86"/>
      <c r="G715" s="86"/>
      <c r="H715" s="86"/>
      <c r="I715" s="86"/>
    </row>
    <row r="716">
      <c r="A716" s="85"/>
      <c r="B716" s="86"/>
      <c r="C716" s="87"/>
      <c r="D716" s="86"/>
      <c r="E716" s="86"/>
      <c r="F716" s="86"/>
      <c r="G716" s="86"/>
      <c r="H716" s="86"/>
      <c r="I716" s="86"/>
    </row>
    <row r="717">
      <c r="A717" s="85"/>
      <c r="B717" s="86"/>
      <c r="C717" s="87"/>
      <c r="D717" s="86"/>
      <c r="E717" s="86"/>
      <c r="F717" s="86"/>
      <c r="G717" s="86"/>
      <c r="H717" s="86"/>
      <c r="I717" s="86"/>
    </row>
    <row r="718">
      <c r="A718" s="85"/>
      <c r="B718" s="86"/>
      <c r="C718" s="87"/>
      <c r="D718" s="86"/>
      <c r="E718" s="86"/>
      <c r="F718" s="86"/>
      <c r="G718" s="86"/>
      <c r="H718" s="86"/>
      <c r="I718" s="86"/>
    </row>
    <row r="719">
      <c r="A719" s="85"/>
      <c r="B719" s="86"/>
      <c r="C719" s="87"/>
      <c r="D719" s="86"/>
      <c r="E719" s="86"/>
      <c r="F719" s="86"/>
      <c r="G719" s="86"/>
      <c r="H719" s="86"/>
      <c r="I719" s="86"/>
    </row>
    <row r="720">
      <c r="A720" s="85"/>
      <c r="B720" s="86"/>
      <c r="C720" s="87"/>
      <c r="D720" s="86"/>
      <c r="E720" s="86"/>
      <c r="F720" s="86"/>
      <c r="G720" s="86"/>
      <c r="H720" s="86"/>
      <c r="I720" s="86"/>
    </row>
    <row r="721">
      <c r="A721" s="85"/>
      <c r="B721" s="86"/>
      <c r="C721" s="87"/>
      <c r="D721" s="86"/>
      <c r="E721" s="86"/>
      <c r="F721" s="86"/>
      <c r="G721" s="86"/>
      <c r="H721" s="86"/>
      <c r="I721" s="86"/>
    </row>
    <row r="722">
      <c r="A722" s="85"/>
      <c r="B722" s="86"/>
      <c r="C722" s="87"/>
      <c r="D722" s="86"/>
      <c r="E722" s="86"/>
      <c r="F722" s="86"/>
      <c r="G722" s="86"/>
      <c r="H722" s="86"/>
      <c r="I722" s="86"/>
    </row>
    <row r="723">
      <c r="A723" s="85"/>
      <c r="B723" s="86"/>
      <c r="C723" s="87"/>
      <c r="D723" s="86"/>
      <c r="E723" s="86"/>
      <c r="F723" s="86"/>
      <c r="G723" s="86"/>
      <c r="H723" s="86"/>
      <c r="I723" s="86"/>
    </row>
    <row r="724">
      <c r="A724" s="85"/>
      <c r="B724" s="86"/>
      <c r="C724" s="87"/>
      <c r="D724" s="86"/>
      <c r="E724" s="86"/>
      <c r="F724" s="86"/>
      <c r="G724" s="86"/>
      <c r="H724" s="86"/>
      <c r="I724" s="86"/>
    </row>
    <row r="725">
      <c r="A725" s="85"/>
      <c r="B725" s="86"/>
      <c r="C725" s="87"/>
      <c r="D725" s="86"/>
      <c r="E725" s="86"/>
      <c r="F725" s="86"/>
      <c r="G725" s="86"/>
      <c r="H725" s="86"/>
      <c r="I725" s="86"/>
    </row>
    <row r="726">
      <c r="A726" s="85"/>
      <c r="B726" s="86"/>
      <c r="C726" s="87"/>
      <c r="D726" s="86"/>
      <c r="E726" s="86"/>
      <c r="F726" s="86"/>
      <c r="G726" s="86"/>
      <c r="H726" s="86"/>
      <c r="I726" s="86"/>
    </row>
    <row r="727">
      <c r="A727" s="85"/>
      <c r="B727" s="86"/>
      <c r="C727" s="87"/>
      <c r="D727" s="86"/>
      <c r="E727" s="86"/>
      <c r="F727" s="86"/>
      <c r="G727" s="86"/>
      <c r="H727" s="86"/>
      <c r="I727" s="86"/>
    </row>
    <row r="728">
      <c r="A728" s="85"/>
      <c r="B728" s="86"/>
      <c r="C728" s="87"/>
      <c r="D728" s="86"/>
      <c r="E728" s="86"/>
      <c r="F728" s="86"/>
      <c r="G728" s="86"/>
      <c r="H728" s="86"/>
      <c r="I728" s="86"/>
    </row>
    <row r="729">
      <c r="A729" s="85"/>
      <c r="B729" s="86"/>
      <c r="C729" s="87"/>
      <c r="D729" s="86"/>
      <c r="E729" s="86"/>
      <c r="F729" s="86"/>
      <c r="G729" s="86"/>
      <c r="H729" s="86"/>
      <c r="I729" s="86"/>
    </row>
    <row r="730">
      <c r="A730" s="85"/>
      <c r="B730" s="86"/>
      <c r="C730" s="87"/>
      <c r="D730" s="86"/>
      <c r="E730" s="86"/>
      <c r="F730" s="86"/>
      <c r="G730" s="86"/>
      <c r="H730" s="86"/>
      <c r="I730" s="86"/>
    </row>
    <row r="731">
      <c r="A731" s="85"/>
      <c r="B731" s="86"/>
      <c r="C731" s="87"/>
      <c r="D731" s="86"/>
      <c r="E731" s="86"/>
      <c r="F731" s="86"/>
      <c r="G731" s="86"/>
      <c r="H731" s="86"/>
      <c r="I731" s="86"/>
    </row>
    <row r="732">
      <c r="A732" s="85"/>
      <c r="B732" s="86"/>
      <c r="C732" s="87"/>
      <c r="D732" s="86"/>
      <c r="E732" s="86"/>
      <c r="F732" s="86"/>
      <c r="G732" s="86"/>
      <c r="H732" s="86"/>
      <c r="I732" s="86"/>
    </row>
    <row r="733">
      <c r="A733" s="85"/>
      <c r="B733" s="86"/>
      <c r="C733" s="87"/>
      <c r="D733" s="86"/>
      <c r="E733" s="86"/>
      <c r="F733" s="86"/>
      <c r="G733" s="86"/>
      <c r="H733" s="86"/>
      <c r="I733" s="86"/>
    </row>
    <row r="734">
      <c r="A734" s="85"/>
      <c r="B734" s="86"/>
      <c r="C734" s="87"/>
      <c r="D734" s="86"/>
      <c r="E734" s="86"/>
      <c r="F734" s="86"/>
      <c r="G734" s="86"/>
      <c r="H734" s="86"/>
      <c r="I734" s="86"/>
    </row>
    <row r="735">
      <c r="A735" s="85"/>
      <c r="B735" s="86"/>
      <c r="C735" s="87"/>
      <c r="D735" s="86"/>
      <c r="E735" s="86"/>
      <c r="F735" s="86"/>
      <c r="G735" s="86"/>
      <c r="H735" s="86"/>
      <c r="I735" s="86"/>
    </row>
    <row r="736">
      <c r="A736" s="85"/>
      <c r="B736" s="86"/>
      <c r="C736" s="87"/>
      <c r="D736" s="86"/>
      <c r="E736" s="86"/>
      <c r="F736" s="86"/>
      <c r="G736" s="86"/>
      <c r="H736" s="86"/>
      <c r="I736" s="86"/>
    </row>
    <row r="737">
      <c r="A737" s="85"/>
      <c r="B737" s="86"/>
      <c r="C737" s="87"/>
      <c r="D737" s="86"/>
      <c r="E737" s="86"/>
      <c r="F737" s="86"/>
      <c r="G737" s="86"/>
      <c r="H737" s="86"/>
      <c r="I737" s="86"/>
    </row>
    <row r="738">
      <c r="A738" s="85"/>
      <c r="B738" s="86"/>
      <c r="C738" s="87"/>
      <c r="D738" s="86"/>
      <c r="E738" s="86"/>
      <c r="F738" s="86"/>
      <c r="G738" s="86"/>
      <c r="H738" s="86"/>
      <c r="I738" s="86"/>
    </row>
    <row r="739">
      <c r="A739" s="85"/>
      <c r="B739" s="86"/>
      <c r="C739" s="87"/>
      <c r="D739" s="86"/>
      <c r="E739" s="86"/>
      <c r="F739" s="86"/>
      <c r="G739" s="86"/>
      <c r="H739" s="86"/>
      <c r="I739" s="86"/>
    </row>
    <row r="740">
      <c r="A740" s="85"/>
      <c r="B740" s="86"/>
      <c r="C740" s="87"/>
      <c r="D740" s="86"/>
      <c r="E740" s="86"/>
      <c r="F740" s="86"/>
      <c r="G740" s="86"/>
      <c r="H740" s="86"/>
      <c r="I740" s="86"/>
    </row>
    <row r="741">
      <c r="A741" s="85"/>
      <c r="B741" s="86"/>
      <c r="C741" s="87"/>
      <c r="D741" s="86"/>
      <c r="E741" s="86"/>
      <c r="F741" s="86"/>
      <c r="G741" s="86"/>
      <c r="H741" s="86"/>
      <c r="I741" s="86"/>
    </row>
    <row r="742">
      <c r="A742" s="85"/>
      <c r="B742" s="86"/>
      <c r="C742" s="87"/>
      <c r="D742" s="86"/>
      <c r="E742" s="86"/>
      <c r="F742" s="86"/>
      <c r="G742" s="86"/>
      <c r="H742" s="86"/>
      <c r="I742" s="86"/>
    </row>
    <row r="743">
      <c r="A743" s="85"/>
      <c r="B743" s="86"/>
      <c r="C743" s="87"/>
      <c r="D743" s="86"/>
      <c r="E743" s="86"/>
      <c r="F743" s="86"/>
      <c r="G743" s="86"/>
      <c r="H743" s="86"/>
      <c r="I743" s="86"/>
    </row>
    <row r="744">
      <c r="A744" s="85"/>
      <c r="B744" s="86"/>
      <c r="C744" s="87"/>
      <c r="D744" s="86"/>
      <c r="E744" s="86"/>
      <c r="F744" s="86"/>
      <c r="G744" s="86"/>
      <c r="H744" s="86"/>
      <c r="I744" s="86"/>
    </row>
    <row r="745">
      <c r="A745" s="85"/>
      <c r="B745" s="86"/>
      <c r="C745" s="87"/>
      <c r="D745" s="86"/>
      <c r="E745" s="86"/>
      <c r="F745" s="86"/>
      <c r="G745" s="86"/>
      <c r="H745" s="86"/>
      <c r="I745" s="86"/>
    </row>
    <row r="746">
      <c r="A746" s="85"/>
      <c r="B746" s="86"/>
      <c r="C746" s="87"/>
      <c r="D746" s="86"/>
      <c r="E746" s="86"/>
      <c r="F746" s="86"/>
      <c r="G746" s="86"/>
      <c r="H746" s="86"/>
      <c r="I746" s="86"/>
    </row>
    <row r="747">
      <c r="A747" s="85"/>
      <c r="B747" s="86"/>
      <c r="C747" s="87"/>
      <c r="D747" s="86"/>
      <c r="E747" s="86"/>
      <c r="F747" s="86"/>
      <c r="G747" s="86"/>
      <c r="H747" s="86"/>
      <c r="I747" s="86"/>
    </row>
    <row r="748">
      <c r="A748" s="85"/>
      <c r="B748" s="86"/>
      <c r="C748" s="87"/>
      <c r="D748" s="86"/>
      <c r="E748" s="86"/>
      <c r="F748" s="86"/>
      <c r="G748" s="86"/>
      <c r="H748" s="86"/>
      <c r="I748" s="86"/>
    </row>
    <row r="749">
      <c r="A749" s="85"/>
      <c r="B749" s="86"/>
      <c r="C749" s="87"/>
      <c r="D749" s="86"/>
      <c r="E749" s="86"/>
      <c r="F749" s="86"/>
      <c r="G749" s="86"/>
      <c r="H749" s="86"/>
      <c r="I749" s="86"/>
    </row>
    <row r="750">
      <c r="A750" s="85"/>
      <c r="B750" s="86"/>
      <c r="C750" s="87"/>
      <c r="D750" s="86"/>
      <c r="E750" s="86"/>
      <c r="F750" s="86"/>
      <c r="G750" s="86"/>
      <c r="H750" s="86"/>
      <c r="I750" s="86"/>
    </row>
    <row r="751">
      <c r="A751" s="85"/>
      <c r="B751" s="86"/>
      <c r="C751" s="87"/>
      <c r="D751" s="86"/>
      <c r="E751" s="86"/>
      <c r="F751" s="86"/>
      <c r="G751" s="86"/>
      <c r="H751" s="86"/>
      <c r="I751" s="86"/>
    </row>
    <row r="752">
      <c r="A752" s="85"/>
      <c r="B752" s="86"/>
      <c r="C752" s="87"/>
      <c r="D752" s="86"/>
      <c r="E752" s="86"/>
      <c r="F752" s="86"/>
      <c r="G752" s="86"/>
      <c r="H752" s="86"/>
      <c r="I752" s="86"/>
    </row>
    <row r="753">
      <c r="A753" s="85"/>
      <c r="B753" s="86"/>
      <c r="C753" s="87"/>
      <c r="D753" s="86"/>
      <c r="E753" s="86"/>
      <c r="F753" s="86"/>
      <c r="G753" s="86"/>
      <c r="H753" s="86"/>
      <c r="I753" s="86"/>
    </row>
    <row r="754">
      <c r="A754" s="85"/>
      <c r="B754" s="86"/>
      <c r="C754" s="87"/>
      <c r="D754" s="86"/>
      <c r="E754" s="86"/>
      <c r="F754" s="86"/>
      <c r="G754" s="86"/>
      <c r="H754" s="86"/>
      <c r="I754" s="86"/>
    </row>
    <row r="755">
      <c r="A755" s="85"/>
      <c r="B755" s="86"/>
      <c r="C755" s="87"/>
      <c r="D755" s="86"/>
      <c r="E755" s="86"/>
      <c r="F755" s="86"/>
      <c r="G755" s="86"/>
      <c r="H755" s="86"/>
      <c r="I755" s="86"/>
    </row>
    <row r="756">
      <c r="A756" s="85"/>
      <c r="B756" s="86"/>
      <c r="C756" s="87"/>
      <c r="D756" s="86"/>
      <c r="E756" s="86"/>
      <c r="F756" s="86"/>
      <c r="G756" s="86"/>
      <c r="H756" s="86"/>
      <c r="I756" s="86"/>
    </row>
    <row r="757">
      <c r="A757" s="85"/>
      <c r="B757" s="86"/>
      <c r="C757" s="87"/>
      <c r="D757" s="86"/>
      <c r="E757" s="86"/>
      <c r="F757" s="86"/>
      <c r="G757" s="86"/>
      <c r="H757" s="86"/>
      <c r="I757" s="86"/>
    </row>
    <row r="758">
      <c r="A758" s="85"/>
      <c r="B758" s="86"/>
      <c r="C758" s="87"/>
      <c r="D758" s="86"/>
      <c r="E758" s="86"/>
      <c r="F758" s="86"/>
      <c r="G758" s="86"/>
      <c r="H758" s="86"/>
      <c r="I758" s="86"/>
    </row>
    <row r="759">
      <c r="A759" s="85"/>
      <c r="B759" s="86"/>
      <c r="C759" s="87"/>
      <c r="D759" s="86"/>
      <c r="E759" s="86"/>
      <c r="F759" s="86"/>
      <c r="G759" s="86"/>
      <c r="H759" s="86"/>
      <c r="I759" s="86"/>
    </row>
    <row r="760">
      <c r="A760" s="85"/>
      <c r="B760" s="86"/>
      <c r="C760" s="87"/>
      <c r="D760" s="86"/>
      <c r="E760" s="86"/>
      <c r="F760" s="86"/>
      <c r="G760" s="86"/>
      <c r="H760" s="86"/>
      <c r="I760" s="86"/>
    </row>
    <row r="761">
      <c r="A761" s="85"/>
      <c r="B761" s="86"/>
      <c r="C761" s="87"/>
      <c r="D761" s="86"/>
      <c r="E761" s="86"/>
      <c r="F761" s="86"/>
      <c r="G761" s="86"/>
      <c r="H761" s="86"/>
      <c r="I761" s="86"/>
    </row>
    <row r="762">
      <c r="A762" s="85"/>
      <c r="B762" s="86"/>
      <c r="C762" s="87"/>
      <c r="D762" s="86"/>
      <c r="E762" s="86"/>
      <c r="F762" s="86"/>
      <c r="G762" s="86"/>
      <c r="H762" s="86"/>
      <c r="I762" s="86"/>
    </row>
    <row r="763">
      <c r="A763" s="85"/>
      <c r="B763" s="86"/>
      <c r="C763" s="87"/>
      <c r="D763" s="86"/>
      <c r="E763" s="86"/>
      <c r="F763" s="86"/>
      <c r="G763" s="86"/>
      <c r="H763" s="86"/>
      <c r="I763" s="86"/>
    </row>
    <row r="764">
      <c r="A764" s="85"/>
      <c r="B764" s="86"/>
      <c r="C764" s="87"/>
      <c r="D764" s="86"/>
      <c r="E764" s="86"/>
      <c r="F764" s="86"/>
      <c r="G764" s="86"/>
      <c r="H764" s="86"/>
      <c r="I764" s="86"/>
    </row>
    <row r="765">
      <c r="A765" s="85"/>
      <c r="B765" s="86"/>
      <c r="C765" s="87"/>
      <c r="D765" s="86"/>
      <c r="E765" s="86"/>
      <c r="F765" s="86"/>
      <c r="G765" s="86"/>
      <c r="H765" s="86"/>
      <c r="I765" s="86"/>
    </row>
    <row r="766">
      <c r="A766" s="85"/>
      <c r="B766" s="86"/>
      <c r="C766" s="87"/>
      <c r="D766" s="86"/>
      <c r="E766" s="86"/>
      <c r="F766" s="86"/>
      <c r="G766" s="86"/>
      <c r="H766" s="86"/>
      <c r="I766" s="86"/>
    </row>
    <row r="767">
      <c r="A767" s="85"/>
      <c r="B767" s="86"/>
      <c r="C767" s="87"/>
      <c r="D767" s="86"/>
      <c r="E767" s="86"/>
      <c r="F767" s="86"/>
      <c r="G767" s="86"/>
      <c r="H767" s="86"/>
      <c r="I767" s="86"/>
    </row>
    <row r="768">
      <c r="A768" s="85"/>
      <c r="B768" s="86"/>
      <c r="C768" s="87"/>
      <c r="D768" s="86"/>
      <c r="E768" s="86"/>
      <c r="F768" s="86"/>
      <c r="G768" s="86"/>
      <c r="H768" s="86"/>
      <c r="I768" s="86"/>
    </row>
    <row r="769">
      <c r="A769" s="85"/>
      <c r="B769" s="86"/>
      <c r="C769" s="87"/>
      <c r="D769" s="86"/>
      <c r="E769" s="86"/>
      <c r="F769" s="86"/>
      <c r="G769" s="86"/>
      <c r="H769" s="86"/>
      <c r="I769" s="86"/>
    </row>
    <row r="770">
      <c r="A770" s="85"/>
      <c r="B770" s="86"/>
      <c r="C770" s="87"/>
      <c r="D770" s="86"/>
      <c r="E770" s="86"/>
      <c r="F770" s="86"/>
      <c r="G770" s="86"/>
      <c r="H770" s="86"/>
      <c r="I770" s="86"/>
    </row>
    <row r="771">
      <c r="A771" s="85"/>
      <c r="B771" s="86"/>
      <c r="C771" s="87"/>
      <c r="D771" s="86"/>
      <c r="E771" s="86"/>
      <c r="F771" s="86"/>
      <c r="G771" s="86"/>
      <c r="H771" s="86"/>
      <c r="I771" s="86"/>
    </row>
    <row r="772">
      <c r="A772" s="85"/>
      <c r="B772" s="86"/>
      <c r="C772" s="87"/>
      <c r="D772" s="86"/>
      <c r="E772" s="86"/>
      <c r="F772" s="86"/>
      <c r="G772" s="86"/>
      <c r="H772" s="86"/>
      <c r="I772" s="86"/>
    </row>
    <row r="773">
      <c r="A773" s="85"/>
      <c r="B773" s="86"/>
      <c r="C773" s="87"/>
      <c r="D773" s="86"/>
      <c r="E773" s="86"/>
      <c r="F773" s="86"/>
      <c r="G773" s="86"/>
      <c r="H773" s="86"/>
      <c r="I773" s="86"/>
    </row>
    <row r="774">
      <c r="A774" s="85"/>
      <c r="B774" s="86"/>
      <c r="C774" s="87"/>
      <c r="D774" s="86"/>
      <c r="E774" s="86"/>
      <c r="F774" s="86"/>
      <c r="G774" s="86"/>
      <c r="H774" s="86"/>
      <c r="I774" s="86"/>
    </row>
    <row r="775">
      <c r="A775" s="85"/>
      <c r="B775" s="86"/>
      <c r="C775" s="87"/>
      <c r="D775" s="86"/>
      <c r="E775" s="86"/>
      <c r="F775" s="86"/>
      <c r="G775" s="86"/>
      <c r="H775" s="86"/>
      <c r="I775" s="86"/>
    </row>
    <row r="776">
      <c r="A776" s="85"/>
      <c r="B776" s="86"/>
      <c r="C776" s="87"/>
      <c r="D776" s="86"/>
      <c r="E776" s="86"/>
      <c r="F776" s="86"/>
      <c r="G776" s="86"/>
      <c r="H776" s="86"/>
      <c r="I776" s="86"/>
    </row>
    <row r="777">
      <c r="A777" s="85"/>
      <c r="B777" s="86"/>
      <c r="C777" s="87"/>
      <c r="D777" s="86"/>
      <c r="E777" s="86"/>
      <c r="F777" s="86"/>
      <c r="G777" s="86"/>
      <c r="H777" s="86"/>
      <c r="I777" s="86"/>
    </row>
    <row r="778">
      <c r="A778" s="85"/>
      <c r="B778" s="86"/>
      <c r="C778" s="87"/>
      <c r="D778" s="86"/>
      <c r="E778" s="86"/>
      <c r="F778" s="86"/>
      <c r="G778" s="86"/>
      <c r="H778" s="86"/>
      <c r="I778" s="86"/>
    </row>
    <row r="779">
      <c r="A779" s="85"/>
      <c r="B779" s="86"/>
      <c r="C779" s="87"/>
      <c r="D779" s="86"/>
      <c r="E779" s="86"/>
      <c r="F779" s="86"/>
      <c r="G779" s="86"/>
      <c r="H779" s="86"/>
      <c r="I779" s="86"/>
    </row>
    <row r="780">
      <c r="A780" s="85"/>
      <c r="B780" s="86"/>
      <c r="C780" s="87"/>
      <c r="D780" s="86"/>
      <c r="E780" s="86"/>
      <c r="F780" s="86"/>
      <c r="G780" s="86"/>
      <c r="H780" s="86"/>
      <c r="I780" s="86"/>
    </row>
    <row r="781">
      <c r="A781" s="85"/>
      <c r="B781" s="86"/>
      <c r="C781" s="87"/>
      <c r="D781" s="86"/>
      <c r="E781" s="86"/>
      <c r="F781" s="86"/>
      <c r="G781" s="86"/>
      <c r="H781" s="86"/>
      <c r="I781" s="86"/>
    </row>
    <row r="782">
      <c r="A782" s="85"/>
      <c r="B782" s="86"/>
      <c r="C782" s="87"/>
      <c r="D782" s="86"/>
      <c r="E782" s="86"/>
      <c r="F782" s="86"/>
      <c r="G782" s="86"/>
      <c r="H782" s="86"/>
      <c r="I782" s="86"/>
    </row>
    <row r="783">
      <c r="A783" s="85"/>
      <c r="B783" s="86"/>
      <c r="C783" s="87"/>
      <c r="D783" s="86"/>
      <c r="E783" s="86"/>
      <c r="F783" s="86"/>
      <c r="G783" s="86"/>
      <c r="H783" s="86"/>
      <c r="I783" s="86"/>
    </row>
    <row r="784">
      <c r="A784" s="85"/>
      <c r="B784" s="86"/>
      <c r="C784" s="87"/>
      <c r="D784" s="86"/>
      <c r="E784" s="86"/>
      <c r="F784" s="86"/>
      <c r="G784" s="86"/>
      <c r="H784" s="86"/>
      <c r="I784" s="86"/>
    </row>
    <row r="785">
      <c r="A785" s="85"/>
      <c r="B785" s="86"/>
      <c r="C785" s="87"/>
      <c r="D785" s="86"/>
      <c r="E785" s="86"/>
      <c r="F785" s="86"/>
      <c r="G785" s="86"/>
      <c r="H785" s="86"/>
      <c r="I785" s="86"/>
    </row>
    <row r="786">
      <c r="A786" s="85"/>
      <c r="B786" s="86"/>
      <c r="C786" s="87"/>
      <c r="D786" s="86"/>
      <c r="E786" s="86"/>
      <c r="F786" s="86"/>
      <c r="G786" s="86"/>
      <c r="H786" s="86"/>
      <c r="I786" s="86"/>
    </row>
    <row r="787">
      <c r="A787" s="85"/>
      <c r="B787" s="86"/>
      <c r="C787" s="87"/>
      <c r="D787" s="86"/>
      <c r="E787" s="86"/>
      <c r="F787" s="86"/>
      <c r="G787" s="86"/>
      <c r="H787" s="86"/>
      <c r="I787" s="86"/>
    </row>
    <row r="788">
      <c r="A788" s="85"/>
      <c r="B788" s="86"/>
      <c r="C788" s="87"/>
      <c r="D788" s="86"/>
      <c r="E788" s="86"/>
      <c r="F788" s="86"/>
      <c r="G788" s="86"/>
      <c r="H788" s="86"/>
      <c r="I788" s="86"/>
    </row>
    <row r="789">
      <c r="A789" s="85"/>
      <c r="B789" s="86"/>
      <c r="C789" s="87"/>
      <c r="D789" s="86"/>
      <c r="E789" s="86"/>
      <c r="F789" s="86"/>
      <c r="G789" s="86"/>
      <c r="H789" s="86"/>
      <c r="I789" s="86"/>
    </row>
    <row r="790">
      <c r="A790" s="85"/>
      <c r="B790" s="86"/>
      <c r="C790" s="87"/>
      <c r="D790" s="86"/>
      <c r="E790" s="86"/>
      <c r="F790" s="86"/>
      <c r="G790" s="86"/>
      <c r="H790" s="86"/>
      <c r="I790" s="86"/>
    </row>
    <row r="791">
      <c r="A791" s="85"/>
      <c r="B791" s="86"/>
      <c r="C791" s="87"/>
      <c r="D791" s="86"/>
      <c r="E791" s="86"/>
      <c r="F791" s="86"/>
      <c r="G791" s="86"/>
      <c r="H791" s="86"/>
      <c r="I791" s="86"/>
    </row>
    <row r="792">
      <c r="A792" s="85"/>
      <c r="B792" s="86"/>
      <c r="C792" s="87"/>
      <c r="D792" s="86"/>
      <c r="E792" s="86"/>
      <c r="F792" s="86"/>
      <c r="G792" s="86"/>
      <c r="H792" s="86"/>
      <c r="I792" s="86"/>
    </row>
    <row r="793">
      <c r="A793" s="85"/>
      <c r="B793" s="86"/>
      <c r="C793" s="87"/>
      <c r="D793" s="86"/>
      <c r="E793" s="86"/>
      <c r="F793" s="86"/>
      <c r="G793" s="86"/>
      <c r="H793" s="86"/>
      <c r="I793" s="86"/>
    </row>
    <row r="794">
      <c r="A794" s="85"/>
      <c r="B794" s="86"/>
      <c r="C794" s="87"/>
      <c r="D794" s="86"/>
      <c r="E794" s="86"/>
      <c r="F794" s="86"/>
      <c r="G794" s="86"/>
      <c r="H794" s="86"/>
      <c r="I794" s="86"/>
    </row>
    <row r="795">
      <c r="A795" s="85"/>
      <c r="B795" s="86"/>
      <c r="C795" s="87"/>
      <c r="D795" s="86"/>
      <c r="E795" s="86"/>
      <c r="F795" s="86"/>
      <c r="G795" s="86"/>
      <c r="H795" s="86"/>
      <c r="I795" s="86"/>
    </row>
    <row r="796">
      <c r="A796" s="85"/>
      <c r="B796" s="86"/>
      <c r="C796" s="87"/>
      <c r="D796" s="86"/>
      <c r="E796" s="86"/>
      <c r="F796" s="86"/>
      <c r="G796" s="86"/>
      <c r="H796" s="86"/>
      <c r="I796" s="86"/>
    </row>
    <row r="797">
      <c r="A797" s="85"/>
      <c r="B797" s="86"/>
      <c r="C797" s="87"/>
      <c r="D797" s="86"/>
      <c r="E797" s="86"/>
      <c r="F797" s="86"/>
      <c r="G797" s="86"/>
      <c r="H797" s="86"/>
      <c r="I797" s="86"/>
    </row>
    <row r="798">
      <c r="A798" s="85"/>
      <c r="B798" s="86"/>
      <c r="C798" s="87"/>
      <c r="D798" s="86"/>
      <c r="E798" s="86"/>
      <c r="F798" s="86"/>
      <c r="G798" s="86"/>
      <c r="H798" s="86"/>
      <c r="I798" s="86"/>
    </row>
    <row r="799">
      <c r="A799" s="85"/>
      <c r="B799" s="86"/>
      <c r="C799" s="87"/>
      <c r="D799" s="86"/>
      <c r="E799" s="86"/>
      <c r="F799" s="86"/>
      <c r="G799" s="86"/>
      <c r="H799" s="86"/>
      <c r="I799" s="86"/>
    </row>
    <row r="800">
      <c r="A800" s="85"/>
      <c r="B800" s="86"/>
      <c r="C800" s="87"/>
      <c r="D800" s="86"/>
      <c r="E800" s="86"/>
      <c r="F800" s="86"/>
      <c r="G800" s="86"/>
      <c r="H800" s="86"/>
      <c r="I800" s="86"/>
    </row>
    <row r="801">
      <c r="A801" s="85"/>
      <c r="B801" s="86"/>
      <c r="C801" s="87"/>
      <c r="D801" s="86"/>
      <c r="E801" s="86"/>
      <c r="F801" s="86"/>
      <c r="G801" s="86"/>
      <c r="H801" s="86"/>
      <c r="I801" s="86"/>
    </row>
    <row r="802">
      <c r="A802" s="85"/>
      <c r="B802" s="86"/>
      <c r="C802" s="87"/>
      <c r="D802" s="86"/>
      <c r="E802" s="86"/>
      <c r="F802" s="86"/>
      <c r="G802" s="86"/>
      <c r="H802" s="86"/>
      <c r="I802" s="86"/>
    </row>
    <row r="803">
      <c r="A803" s="85"/>
      <c r="B803" s="86"/>
      <c r="C803" s="87"/>
      <c r="D803" s="86"/>
      <c r="E803" s="86"/>
      <c r="F803" s="86"/>
      <c r="G803" s="86"/>
      <c r="H803" s="86"/>
      <c r="I803" s="86"/>
    </row>
    <row r="804">
      <c r="A804" s="85"/>
      <c r="B804" s="86"/>
      <c r="C804" s="87"/>
      <c r="D804" s="86"/>
      <c r="E804" s="86"/>
      <c r="F804" s="86"/>
      <c r="G804" s="86"/>
      <c r="H804" s="86"/>
      <c r="I804" s="86"/>
    </row>
    <row r="805">
      <c r="A805" s="85"/>
      <c r="B805" s="86"/>
      <c r="C805" s="87"/>
      <c r="D805" s="86"/>
      <c r="E805" s="86"/>
      <c r="F805" s="86"/>
      <c r="G805" s="86"/>
      <c r="H805" s="86"/>
      <c r="I805" s="86"/>
    </row>
    <row r="806">
      <c r="A806" s="85"/>
      <c r="B806" s="86"/>
      <c r="C806" s="87"/>
      <c r="D806" s="86"/>
      <c r="E806" s="86"/>
      <c r="F806" s="86"/>
      <c r="G806" s="86"/>
      <c r="H806" s="86"/>
      <c r="I806" s="86"/>
    </row>
    <row r="807">
      <c r="A807" s="85"/>
      <c r="B807" s="86"/>
      <c r="C807" s="87"/>
      <c r="D807" s="86"/>
      <c r="E807" s="86"/>
      <c r="F807" s="86"/>
      <c r="G807" s="86"/>
      <c r="H807" s="86"/>
      <c r="I807" s="86"/>
    </row>
    <row r="808">
      <c r="A808" s="85"/>
      <c r="B808" s="86"/>
      <c r="C808" s="87"/>
      <c r="D808" s="86"/>
      <c r="E808" s="86"/>
      <c r="F808" s="86"/>
      <c r="G808" s="86"/>
      <c r="H808" s="86"/>
      <c r="I808" s="86"/>
    </row>
    <row r="809">
      <c r="A809" s="85"/>
      <c r="B809" s="86"/>
      <c r="C809" s="87"/>
      <c r="D809" s="86"/>
      <c r="E809" s="86"/>
      <c r="F809" s="86"/>
      <c r="G809" s="86"/>
      <c r="H809" s="86"/>
      <c r="I809" s="86"/>
    </row>
    <row r="810">
      <c r="A810" s="85"/>
      <c r="B810" s="86"/>
      <c r="C810" s="87"/>
      <c r="D810" s="86"/>
      <c r="E810" s="86"/>
      <c r="F810" s="86"/>
      <c r="G810" s="86"/>
      <c r="H810" s="86"/>
      <c r="I810" s="86"/>
    </row>
    <row r="811">
      <c r="A811" s="85"/>
      <c r="B811" s="86"/>
      <c r="C811" s="87"/>
      <c r="D811" s="86"/>
      <c r="E811" s="86"/>
      <c r="F811" s="86"/>
      <c r="G811" s="86"/>
      <c r="H811" s="86"/>
      <c r="I811" s="86"/>
    </row>
    <row r="812">
      <c r="A812" s="85"/>
      <c r="B812" s="86"/>
      <c r="C812" s="87"/>
      <c r="D812" s="86"/>
      <c r="E812" s="86"/>
      <c r="F812" s="86"/>
      <c r="G812" s="86"/>
      <c r="H812" s="86"/>
      <c r="I812" s="86"/>
    </row>
    <row r="813">
      <c r="A813" s="85"/>
      <c r="B813" s="86"/>
      <c r="C813" s="87"/>
      <c r="D813" s="86"/>
      <c r="E813" s="86"/>
      <c r="F813" s="86"/>
      <c r="G813" s="86"/>
      <c r="H813" s="86"/>
      <c r="I813" s="86"/>
    </row>
    <row r="814">
      <c r="A814" s="85"/>
      <c r="B814" s="86"/>
      <c r="C814" s="87"/>
      <c r="D814" s="86"/>
      <c r="E814" s="86"/>
      <c r="F814" s="86"/>
      <c r="G814" s="86"/>
      <c r="H814" s="86"/>
      <c r="I814" s="86"/>
    </row>
    <row r="815">
      <c r="A815" s="85"/>
      <c r="B815" s="86"/>
      <c r="C815" s="87"/>
      <c r="D815" s="86"/>
      <c r="E815" s="86"/>
      <c r="F815" s="86"/>
      <c r="G815" s="86"/>
      <c r="H815" s="86"/>
      <c r="I815" s="86"/>
    </row>
    <row r="816">
      <c r="A816" s="85"/>
      <c r="B816" s="86"/>
      <c r="C816" s="87"/>
      <c r="D816" s="86"/>
      <c r="E816" s="86"/>
      <c r="F816" s="86"/>
      <c r="G816" s="86"/>
      <c r="H816" s="86"/>
      <c r="I816" s="86"/>
    </row>
    <row r="817">
      <c r="A817" s="85"/>
      <c r="B817" s="86"/>
      <c r="C817" s="87"/>
      <c r="D817" s="86"/>
      <c r="E817" s="86"/>
      <c r="F817" s="86"/>
      <c r="G817" s="86"/>
      <c r="H817" s="86"/>
      <c r="I817" s="86"/>
    </row>
    <row r="818">
      <c r="A818" s="85"/>
      <c r="B818" s="86"/>
      <c r="C818" s="87"/>
      <c r="D818" s="86"/>
      <c r="E818" s="86"/>
      <c r="F818" s="86"/>
      <c r="G818" s="86"/>
      <c r="H818" s="86"/>
      <c r="I818" s="86"/>
    </row>
    <row r="819">
      <c r="A819" s="85"/>
      <c r="B819" s="86"/>
      <c r="C819" s="87"/>
      <c r="D819" s="86"/>
      <c r="E819" s="86"/>
      <c r="F819" s="86"/>
      <c r="G819" s="86"/>
      <c r="H819" s="86"/>
      <c r="I819" s="86"/>
    </row>
    <row r="820">
      <c r="A820" s="85"/>
      <c r="B820" s="86"/>
      <c r="C820" s="87"/>
      <c r="D820" s="86"/>
      <c r="E820" s="86"/>
      <c r="F820" s="86"/>
      <c r="G820" s="86"/>
      <c r="H820" s="86"/>
      <c r="I820" s="86"/>
    </row>
    <row r="821">
      <c r="A821" s="85"/>
      <c r="B821" s="86"/>
      <c r="C821" s="87"/>
      <c r="D821" s="86"/>
      <c r="E821" s="86"/>
      <c r="F821" s="86"/>
      <c r="G821" s="86"/>
      <c r="H821" s="86"/>
      <c r="I821" s="86"/>
    </row>
    <row r="822">
      <c r="A822" s="85"/>
      <c r="B822" s="86"/>
      <c r="C822" s="87"/>
      <c r="D822" s="86"/>
      <c r="E822" s="86"/>
      <c r="F822" s="86"/>
      <c r="G822" s="86"/>
      <c r="H822" s="86"/>
      <c r="I822" s="86"/>
    </row>
    <row r="823">
      <c r="A823" s="85"/>
      <c r="B823" s="86"/>
      <c r="C823" s="87"/>
      <c r="D823" s="86"/>
      <c r="E823" s="86"/>
      <c r="F823" s="86"/>
      <c r="G823" s="86"/>
      <c r="H823" s="86"/>
      <c r="I823" s="86"/>
    </row>
    <row r="824">
      <c r="A824" s="85"/>
      <c r="B824" s="86"/>
      <c r="C824" s="87"/>
      <c r="D824" s="86"/>
      <c r="E824" s="86"/>
      <c r="F824" s="86"/>
      <c r="G824" s="86"/>
      <c r="H824" s="86"/>
      <c r="I824" s="86"/>
    </row>
    <row r="825">
      <c r="A825" s="85"/>
      <c r="B825" s="86"/>
      <c r="C825" s="87"/>
      <c r="D825" s="86"/>
      <c r="E825" s="86"/>
      <c r="F825" s="86"/>
      <c r="G825" s="86"/>
      <c r="H825" s="86"/>
      <c r="I825" s="86"/>
    </row>
    <row r="826">
      <c r="A826" s="85"/>
      <c r="B826" s="86"/>
      <c r="C826" s="87"/>
      <c r="D826" s="86"/>
      <c r="E826" s="86"/>
      <c r="F826" s="86"/>
      <c r="G826" s="86"/>
      <c r="H826" s="86"/>
      <c r="I826" s="86"/>
    </row>
    <row r="827">
      <c r="A827" s="85"/>
      <c r="B827" s="86"/>
      <c r="C827" s="87"/>
      <c r="D827" s="86"/>
      <c r="E827" s="86"/>
      <c r="F827" s="86"/>
      <c r="G827" s="86"/>
      <c r="H827" s="86"/>
      <c r="I827" s="86"/>
    </row>
    <row r="828">
      <c r="A828" s="85"/>
      <c r="B828" s="86"/>
      <c r="C828" s="87"/>
      <c r="D828" s="86"/>
      <c r="E828" s="86"/>
      <c r="F828" s="86"/>
      <c r="G828" s="86"/>
      <c r="H828" s="86"/>
      <c r="I828" s="86"/>
    </row>
    <row r="829">
      <c r="A829" s="85"/>
      <c r="B829" s="86"/>
      <c r="C829" s="87"/>
      <c r="D829" s="86"/>
      <c r="E829" s="86"/>
      <c r="F829" s="86"/>
      <c r="G829" s="86"/>
      <c r="H829" s="86"/>
      <c r="I829" s="86"/>
    </row>
    <row r="830">
      <c r="A830" s="85"/>
      <c r="B830" s="86"/>
      <c r="C830" s="87"/>
      <c r="D830" s="86"/>
      <c r="E830" s="86"/>
      <c r="F830" s="86"/>
      <c r="G830" s="86"/>
      <c r="H830" s="86"/>
      <c r="I830" s="86"/>
    </row>
    <row r="831">
      <c r="A831" s="85"/>
      <c r="B831" s="86"/>
      <c r="C831" s="87"/>
      <c r="D831" s="86"/>
      <c r="E831" s="86"/>
      <c r="F831" s="86"/>
      <c r="G831" s="86"/>
      <c r="H831" s="86"/>
      <c r="I831" s="86"/>
    </row>
    <row r="832">
      <c r="A832" s="85"/>
      <c r="B832" s="86"/>
      <c r="C832" s="87"/>
      <c r="D832" s="86"/>
      <c r="E832" s="86"/>
      <c r="F832" s="86"/>
      <c r="G832" s="86"/>
      <c r="H832" s="86"/>
      <c r="I832" s="86"/>
    </row>
    <row r="833">
      <c r="A833" s="85"/>
      <c r="B833" s="86"/>
      <c r="C833" s="87"/>
      <c r="D833" s="86"/>
      <c r="E833" s="86"/>
      <c r="F833" s="86"/>
      <c r="G833" s="86"/>
      <c r="H833" s="86"/>
      <c r="I833" s="86"/>
    </row>
    <row r="834">
      <c r="A834" s="85"/>
      <c r="B834" s="86"/>
      <c r="C834" s="87"/>
      <c r="D834" s="86"/>
      <c r="E834" s="86"/>
      <c r="F834" s="86"/>
      <c r="G834" s="86"/>
      <c r="H834" s="86"/>
      <c r="I834" s="86"/>
    </row>
    <row r="835">
      <c r="A835" s="85"/>
      <c r="B835" s="86"/>
      <c r="C835" s="87"/>
      <c r="D835" s="86"/>
      <c r="E835" s="86"/>
      <c r="F835" s="86"/>
      <c r="G835" s="86"/>
      <c r="H835" s="86"/>
      <c r="I835" s="86"/>
    </row>
    <row r="836">
      <c r="A836" s="85"/>
      <c r="B836" s="86"/>
      <c r="C836" s="87"/>
      <c r="D836" s="86"/>
      <c r="E836" s="86"/>
      <c r="F836" s="86"/>
      <c r="G836" s="86"/>
      <c r="H836" s="86"/>
      <c r="I836" s="86"/>
    </row>
    <row r="837">
      <c r="A837" s="85"/>
      <c r="B837" s="86"/>
      <c r="C837" s="87"/>
      <c r="D837" s="86"/>
      <c r="E837" s="86"/>
      <c r="F837" s="86"/>
      <c r="G837" s="86"/>
      <c r="H837" s="86"/>
      <c r="I837" s="86"/>
    </row>
    <row r="838">
      <c r="A838" s="85"/>
      <c r="B838" s="86"/>
      <c r="C838" s="87"/>
      <c r="D838" s="86"/>
      <c r="E838" s="86"/>
      <c r="F838" s="86"/>
      <c r="G838" s="86"/>
      <c r="H838" s="86"/>
      <c r="I838" s="86"/>
    </row>
    <row r="839">
      <c r="A839" s="85"/>
      <c r="B839" s="86"/>
      <c r="C839" s="87"/>
      <c r="D839" s="86"/>
      <c r="E839" s="86"/>
      <c r="F839" s="86"/>
      <c r="G839" s="86"/>
      <c r="H839" s="86"/>
      <c r="I839" s="86"/>
    </row>
    <row r="840">
      <c r="A840" s="85"/>
      <c r="B840" s="86"/>
      <c r="C840" s="87"/>
      <c r="D840" s="86"/>
      <c r="E840" s="86"/>
      <c r="F840" s="86"/>
      <c r="G840" s="86"/>
      <c r="H840" s="86"/>
      <c r="I840" s="86"/>
    </row>
    <row r="841">
      <c r="A841" s="85"/>
      <c r="B841" s="86"/>
      <c r="C841" s="87"/>
      <c r="D841" s="86"/>
      <c r="E841" s="86"/>
      <c r="F841" s="86"/>
      <c r="G841" s="86"/>
      <c r="H841" s="86"/>
      <c r="I841" s="86"/>
    </row>
    <row r="842">
      <c r="A842" s="85"/>
      <c r="B842" s="86"/>
      <c r="C842" s="87"/>
      <c r="D842" s="86"/>
      <c r="E842" s="86"/>
      <c r="F842" s="86"/>
      <c r="G842" s="86"/>
      <c r="H842" s="86"/>
      <c r="I842" s="86"/>
    </row>
    <row r="843">
      <c r="A843" s="85"/>
      <c r="B843" s="86"/>
      <c r="C843" s="87"/>
      <c r="D843" s="86"/>
      <c r="E843" s="86"/>
      <c r="F843" s="86"/>
      <c r="G843" s="86"/>
      <c r="H843" s="86"/>
      <c r="I843" s="86"/>
    </row>
    <row r="844">
      <c r="A844" s="85"/>
      <c r="B844" s="86"/>
      <c r="C844" s="87"/>
      <c r="D844" s="86"/>
      <c r="E844" s="86"/>
      <c r="F844" s="86"/>
      <c r="G844" s="86"/>
      <c r="H844" s="86"/>
      <c r="I844" s="86"/>
    </row>
    <row r="845">
      <c r="A845" s="85"/>
      <c r="B845" s="86"/>
      <c r="C845" s="87"/>
      <c r="D845" s="86"/>
      <c r="E845" s="86"/>
      <c r="F845" s="86"/>
      <c r="G845" s="86"/>
      <c r="H845" s="86"/>
      <c r="I845" s="86"/>
    </row>
    <row r="846">
      <c r="A846" s="85"/>
      <c r="B846" s="86"/>
      <c r="C846" s="87"/>
      <c r="D846" s="86"/>
      <c r="E846" s="86"/>
      <c r="F846" s="86"/>
      <c r="G846" s="86"/>
      <c r="H846" s="86"/>
      <c r="I846" s="86"/>
    </row>
    <row r="847">
      <c r="A847" s="85"/>
      <c r="B847" s="86"/>
      <c r="C847" s="87"/>
      <c r="D847" s="86"/>
      <c r="E847" s="86"/>
      <c r="F847" s="86"/>
      <c r="G847" s="86"/>
      <c r="H847" s="86"/>
      <c r="I847" s="86"/>
    </row>
    <row r="848">
      <c r="A848" s="85"/>
      <c r="B848" s="86"/>
      <c r="C848" s="87"/>
      <c r="D848" s="86"/>
      <c r="E848" s="86"/>
      <c r="F848" s="86"/>
      <c r="G848" s="86"/>
      <c r="H848" s="86"/>
      <c r="I848" s="86"/>
    </row>
    <row r="849">
      <c r="A849" s="85"/>
      <c r="B849" s="86"/>
      <c r="C849" s="87"/>
      <c r="D849" s="86"/>
      <c r="E849" s="86"/>
      <c r="F849" s="86"/>
      <c r="G849" s="86"/>
      <c r="H849" s="86"/>
      <c r="I849" s="86"/>
    </row>
    <row r="850">
      <c r="A850" s="85"/>
      <c r="B850" s="86"/>
      <c r="C850" s="87"/>
      <c r="D850" s="86"/>
      <c r="E850" s="86"/>
      <c r="F850" s="86"/>
      <c r="G850" s="86"/>
      <c r="H850" s="86"/>
      <c r="I850" s="86"/>
    </row>
    <row r="851">
      <c r="A851" s="85"/>
      <c r="B851" s="86"/>
      <c r="C851" s="87"/>
      <c r="D851" s="86"/>
      <c r="E851" s="86"/>
      <c r="F851" s="86"/>
      <c r="G851" s="86"/>
      <c r="H851" s="86"/>
      <c r="I851" s="86"/>
    </row>
    <row r="852">
      <c r="A852" s="85"/>
      <c r="B852" s="86"/>
      <c r="C852" s="87"/>
      <c r="D852" s="86"/>
      <c r="E852" s="86"/>
      <c r="F852" s="86"/>
      <c r="G852" s="86"/>
      <c r="H852" s="86"/>
      <c r="I852" s="86"/>
    </row>
    <row r="853">
      <c r="A853" s="85"/>
      <c r="B853" s="86"/>
      <c r="C853" s="87"/>
      <c r="D853" s="86"/>
      <c r="E853" s="86"/>
      <c r="F853" s="86"/>
      <c r="G853" s="86"/>
      <c r="H853" s="86"/>
      <c r="I853" s="86"/>
    </row>
    <row r="854">
      <c r="A854" s="85"/>
      <c r="B854" s="86"/>
      <c r="C854" s="87"/>
      <c r="D854" s="86"/>
      <c r="E854" s="86"/>
      <c r="F854" s="86"/>
      <c r="G854" s="86"/>
      <c r="H854" s="86"/>
      <c r="I854" s="86"/>
    </row>
    <row r="855">
      <c r="A855" s="85"/>
      <c r="B855" s="86"/>
      <c r="C855" s="87"/>
      <c r="D855" s="86"/>
      <c r="E855" s="86"/>
      <c r="F855" s="86"/>
      <c r="G855" s="86"/>
      <c r="H855" s="86"/>
      <c r="I855" s="86"/>
    </row>
    <row r="856">
      <c r="A856" s="85"/>
      <c r="B856" s="86"/>
      <c r="C856" s="87"/>
      <c r="D856" s="86"/>
      <c r="E856" s="86"/>
      <c r="F856" s="86"/>
      <c r="G856" s="86"/>
      <c r="H856" s="86"/>
      <c r="I856" s="86"/>
    </row>
    <row r="857">
      <c r="A857" s="85"/>
      <c r="B857" s="86"/>
      <c r="C857" s="87"/>
      <c r="D857" s="86"/>
      <c r="E857" s="86"/>
      <c r="F857" s="86"/>
      <c r="G857" s="86"/>
      <c r="H857" s="86"/>
      <c r="I857" s="86"/>
    </row>
    <row r="858">
      <c r="A858" s="85"/>
      <c r="B858" s="86"/>
      <c r="C858" s="87"/>
      <c r="D858" s="86"/>
      <c r="E858" s="86"/>
      <c r="F858" s="86"/>
      <c r="G858" s="86"/>
      <c r="H858" s="86"/>
      <c r="I858" s="86"/>
    </row>
    <row r="859">
      <c r="A859" s="85"/>
      <c r="B859" s="86"/>
      <c r="C859" s="87"/>
      <c r="D859" s="86"/>
      <c r="E859" s="86"/>
      <c r="F859" s="86"/>
      <c r="G859" s="86"/>
      <c r="H859" s="86"/>
      <c r="I859" s="86"/>
    </row>
    <row r="860">
      <c r="A860" s="85"/>
      <c r="B860" s="86"/>
      <c r="C860" s="87"/>
      <c r="D860" s="86"/>
      <c r="E860" s="86"/>
      <c r="F860" s="86"/>
      <c r="G860" s="86"/>
      <c r="H860" s="86"/>
      <c r="I860" s="86"/>
    </row>
    <row r="861">
      <c r="A861" s="85"/>
      <c r="B861" s="86"/>
      <c r="C861" s="87"/>
      <c r="D861" s="86"/>
      <c r="E861" s="86"/>
      <c r="F861" s="86"/>
      <c r="G861" s="86"/>
      <c r="H861" s="86"/>
      <c r="I861" s="86"/>
    </row>
    <row r="862">
      <c r="A862" s="85"/>
      <c r="B862" s="86"/>
      <c r="C862" s="87"/>
      <c r="D862" s="86"/>
      <c r="E862" s="86"/>
      <c r="F862" s="86"/>
      <c r="G862" s="86"/>
      <c r="H862" s="86"/>
      <c r="I862" s="86"/>
    </row>
    <row r="863">
      <c r="A863" s="85"/>
      <c r="B863" s="86"/>
      <c r="C863" s="87"/>
      <c r="D863" s="86"/>
      <c r="E863" s="86"/>
      <c r="F863" s="86"/>
      <c r="G863" s="86"/>
      <c r="H863" s="86"/>
      <c r="I863" s="86"/>
    </row>
    <row r="864">
      <c r="A864" s="85"/>
      <c r="B864" s="86"/>
      <c r="C864" s="87"/>
      <c r="D864" s="86"/>
      <c r="E864" s="86"/>
      <c r="F864" s="86"/>
      <c r="G864" s="86"/>
      <c r="H864" s="86"/>
      <c r="I864" s="86"/>
    </row>
    <row r="865">
      <c r="A865" s="85"/>
      <c r="B865" s="86"/>
      <c r="C865" s="87"/>
      <c r="D865" s="86"/>
      <c r="E865" s="86"/>
      <c r="F865" s="86"/>
      <c r="G865" s="86"/>
      <c r="H865" s="86"/>
      <c r="I865" s="86"/>
    </row>
    <row r="866">
      <c r="A866" s="85"/>
      <c r="B866" s="86"/>
      <c r="C866" s="87"/>
      <c r="D866" s="86"/>
      <c r="E866" s="86"/>
      <c r="F866" s="86"/>
      <c r="G866" s="86"/>
      <c r="H866" s="86"/>
      <c r="I866" s="86"/>
    </row>
    <row r="867">
      <c r="A867" s="85"/>
      <c r="B867" s="86"/>
      <c r="C867" s="87"/>
      <c r="D867" s="86"/>
      <c r="E867" s="86"/>
      <c r="F867" s="86"/>
      <c r="G867" s="86"/>
      <c r="H867" s="86"/>
      <c r="I867" s="86"/>
    </row>
    <row r="868">
      <c r="A868" s="85"/>
      <c r="B868" s="86"/>
      <c r="C868" s="87"/>
      <c r="D868" s="86"/>
      <c r="E868" s="86"/>
      <c r="F868" s="86"/>
      <c r="G868" s="86"/>
      <c r="H868" s="86"/>
      <c r="I868" s="86"/>
    </row>
    <row r="869">
      <c r="A869" s="85"/>
      <c r="B869" s="86"/>
      <c r="C869" s="87"/>
      <c r="D869" s="86"/>
      <c r="E869" s="86"/>
      <c r="F869" s="86"/>
      <c r="G869" s="86"/>
      <c r="H869" s="86"/>
      <c r="I869" s="86"/>
    </row>
    <row r="870">
      <c r="A870" s="85"/>
      <c r="B870" s="86"/>
      <c r="C870" s="87"/>
      <c r="D870" s="86"/>
      <c r="E870" s="86"/>
      <c r="F870" s="86"/>
      <c r="G870" s="86"/>
      <c r="H870" s="86"/>
      <c r="I870" s="86"/>
    </row>
    <row r="871">
      <c r="A871" s="85"/>
      <c r="B871" s="86"/>
      <c r="C871" s="87"/>
      <c r="D871" s="86"/>
      <c r="E871" s="86"/>
      <c r="F871" s="86"/>
      <c r="G871" s="86"/>
      <c r="H871" s="86"/>
      <c r="I871" s="86"/>
    </row>
    <row r="872">
      <c r="A872" s="85"/>
      <c r="B872" s="86"/>
      <c r="C872" s="87"/>
      <c r="D872" s="86"/>
      <c r="E872" s="86"/>
      <c r="F872" s="86"/>
      <c r="G872" s="86"/>
      <c r="H872" s="86"/>
      <c r="I872" s="86"/>
    </row>
    <row r="873">
      <c r="A873" s="85"/>
      <c r="B873" s="86"/>
      <c r="C873" s="87"/>
      <c r="D873" s="86"/>
      <c r="E873" s="86"/>
      <c r="F873" s="86"/>
      <c r="G873" s="86"/>
      <c r="H873" s="86"/>
      <c r="I873" s="86"/>
    </row>
    <row r="874">
      <c r="A874" s="85"/>
      <c r="B874" s="86"/>
      <c r="C874" s="87"/>
      <c r="D874" s="86"/>
      <c r="E874" s="86"/>
      <c r="F874" s="86"/>
      <c r="G874" s="86"/>
      <c r="H874" s="86"/>
      <c r="I874" s="86"/>
    </row>
    <row r="875">
      <c r="A875" s="85"/>
      <c r="B875" s="86"/>
      <c r="C875" s="87"/>
      <c r="D875" s="86"/>
      <c r="E875" s="86"/>
      <c r="F875" s="86"/>
      <c r="G875" s="86"/>
      <c r="H875" s="86"/>
      <c r="I875" s="86"/>
    </row>
    <row r="876">
      <c r="A876" s="85"/>
      <c r="B876" s="86"/>
      <c r="C876" s="87"/>
      <c r="D876" s="86"/>
      <c r="E876" s="86"/>
      <c r="F876" s="86"/>
      <c r="G876" s="86"/>
      <c r="H876" s="86"/>
      <c r="I876" s="86"/>
    </row>
    <row r="877">
      <c r="A877" s="85"/>
      <c r="B877" s="86"/>
      <c r="C877" s="87"/>
      <c r="D877" s="86"/>
      <c r="E877" s="86"/>
      <c r="F877" s="86"/>
      <c r="G877" s="86"/>
      <c r="H877" s="86"/>
      <c r="I877" s="86"/>
    </row>
    <row r="878">
      <c r="A878" s="85"/>
      <c r="B878" s="86"/>
      <c r="C878" s="87"/>
      <c r="D878" s="86"/>
      <c r="E878" s="86"/>
      <c r="F878" s="86"/>
      <c r="G878" s="86"/>
      <c r="H878" s="86"/>
      <c r="I878" s="86"/>
    </row>
    <row r="879">
      <c r="A879" s="85"/>
      <c r="B879" s="86"/>
      <c r="C879" s="87"/>
      <c r="D879" s="86"/>
      <c r="E879" s="86"/>
      <c r="F879" s="86"/>
      <c r="G879" s="86"/>
      <c r="H879" s="86"/>
      <c r="I879" s="86"/>
    </row>
    <row r="880">
      <c r="A880" s="85"/>
      <c r="B880" s="86"/>
      <c r="C880" s="87"/>
      <c r="D880" s="86"/>
      <c r="E880" s="86"/>
      <c r="F880" s="86"/>
      <c r="G880" s="86"/>
      <c r="H880" s="86"/>
      <c r="I880" s="86"/>
    </row>
    <row r="881">
      <c r="A881" s="85"/>
      <c r="B881" s="86"/>
      <c r="C881" s="87"/>
      <c r="D881" s="86"/>
      <c r="E881" s="86"/>
      <c r="F881" s="86"/>
      <c r="G881" s="86"/>
      <c r="H881" s="86"/>
      <c r="I881" s="86"/>
    </row>
    <row r="882">
      <c r="A882" s="85"/>
      <c r="B882" s="86"/>
      <c r="C882" s="87"/>
      <c r="D882" s="86"/>
      <c r="E882" s="86"/>
      <c r="F882" s="86"/>
      <c r="G882" s="86"/>
      <c r="H882" s="86"/>
      <c r="I882" s="86"/>
    </row>
    <row r="883">
      <c r="A883" s="85"/>
      <c r="B883" s="86"/>
      <c r="C883" s="87"/>
      <c r="D883" s="86"/>
      <c r="E883" s="86"/>
      <c r="F883" s="86"/>
      <c r="G883" s="86"/>
      <c r="H883" s="86"/>
      <c r="I883" s="86"/>
    </row>
    <row r="884">
      <c r="A884" s="85"/>
      <c r="B884" s="86"/>
      <c r="C884" s="87"/>
      <c r="D884" s="86"/>
      <c r="E884" s="86"/>
      <c r="F884" s="86"/>
      <c r="G884" s="86"/>
      <c r="H884" s="86"/>
      <c r="I884" s="86"/>
    </row>
    <row r="885">
      <c r="A885" s="85"/>
      <c r="B885" s="86"/>
      <c r="C885" s="87"/>
      <c r="D885" s="86"/>
      <c r="E885" s="86"/>
      <c r="F885" s="86"/>
      <c r="G885" s="86"/>
      <c r="H885" s="86"/>
      <c r="I885" s="86"/>
    </row>
    <row r="886">
      <c r="A886" s="85"/>
      <c r="B886" s="86"/>
      <c r="C886" s="87"/>
      <c r="D886" s="86"/>
      <c r="E886" s="86"/>
      <c r="F886" s="86"/>
      <c r="G886" s="86"/>
      <c r="H886" s="86"/>
      <c r="I886" s="86"/>
    </row>
    <row r="887">
      <c r="A887" s="85"/>
      <c r="B887" s="86"/>
      <c r="C887" s="87"/>
      <c r="D887" s="86"/>
      <c r="E887" s="86"/>
      <c r="F887" s="86"/>
      <c r="G887" s="86"/>
      <c r="H887" s="86"/>
      <c r="I887" s="86"/>
    </row>
    <row r="888">
      <c r="A888" s="85"/>
      <c r="B888" s="86"/>
      <c r="C888" s="87"/>
      <c r="D888" s="86"/>
      <c r="E888" s="86"/>
      <c r="F888" s="86"/>
      <c r="G888" s="86"/>
      <c r="H888" s="86"/>
      <c r="I888" s="86"/>
    </row>
    <row r="889">
      <c r="A889" s="85"/>
      <c r="B889" s="86"/>
      <c r="C889" s="87"/>
      <c r="D889" s="86"/>
      <c r="E889" s="86"/>
      <c r="F889" s="86"/>
      <c r="G889" s="86"/>
      <c r="H889" s="86"/>
      <c r="I889" s="86"/>
    </row>
    <row r="890">
      <c r="A890" s="85"/>
      <c r="B890" s="86"/>
      <c r="C890" s="87"/>
      <c r="D890" s="86"/>
      <c r="E890" s="86"/>
      <c r="F890" s="86"/>
      <c r="G890" s="86"/>
      <c r="H890" s="86"/>
      <c r="I890" s="86"/>
    </row>
    <row r="891">
      <c r="A891" s="85"/>
      <c r="B891" s="86"/>
      <c r="C891" s="87"/>
      <c r="D891" s="86"/>
      <c r="E891" s="86"/>
      <c r="F891" s="86"/>
      <c r="G891" s="86"/>
      <c r="H891" s="86"/>
      <c r="I891" s="86"/>
    </row>
    <row r="892">
      <c r="A892" s="85"/>
      <c r="B892" s="86"/>
      <c r="C892" s="87"/>
      <c r="D892" s="86"/>
      <c r="E892" s="86"/>
      <c r="F892" s="86"/>
      <c r="G892" s="86"/>
      <c r="H892" s="86"/>
      <c r="I892" s="86"/>
    </row>
    <row r="893">
      <c r="A893" s="85"/>
      <c r="B893" s="86"/>
      <c r="C893" s="87"/>
      <c r="D893" s="86"/>
      <c r="E893" s="86"/>
      <c r="F893" s="86"/>
      <c r="G893" s="86"/>
      <c r="H893" s="86"/>
      <c r="I893" s="86"/>
    </row>
    <row r="894">
      <c r="A894" s="85"/>
      <c r="B894" s="86"/>
      <c r="C894" s="87"/>
      <c r="D894" s="86"/>
      <c r="E894" s="86"/>
      <c r="F894" s="86"/>
      <c r="G894" s="86"/>
      <c r="H894" s="86"/>
      <c r="I894" s="86"/>
    </row>
    <row r="895">
      <c r="A895" s="85"/>
      <c r="B895" s="86"/>
      <c r="C895" s="87"/>
      <c r="D895" s="86"/>
      <c r="E895" s="86"/>
      <c r="F895" s="86"/>
      <c r="G895" s="86"/>
      <c r="H895" s="86"/>
      <c r="I895" s="86"/>
    </row>
    <row r="896">
      <c r="A896" s="85"/>
      <c r="B896" s="86"/>
      <c r="C896" s="87"/>
      <c r="D896" s="86"/>
      <c r="E896" s="86"/>
      <c r="F896" s="86"/>
      <c r="G896" s="86"/>
      <c r="H896" s="86"/>
      <c r="I896" s="86"/>
    </row>
    <row r="897">
      <c r="A897" s="85"/>
      <c r="B897" s="86"/>
      <c r="C897" s="87"/>
      <c r="D897" s="86"/>
      <c r="E897" s="86"/>
      <c r="F897" s="86"/>
      <c r="G897" s="86"/>
      <c r="H897" s="86"/>
      <c r="I897" s="86"/>
    </row>
    <row r="898">
      <c r="A898" s="85"/>
      <c r="B898" s="86"/>
      <c r="C898" s="87"/>
      <c r="D898" s="86"/>
      <c r="E898" s="86"/>
      <c r="F898" s="86"/>
      <c r="G898" s="86"/>
      <c r="H898" s="86"/>
      <c r="I898" s="86"/>
    </row>
    <row r="899">
      <c r="A899" s="85"/>
      <c r="B899" s="86"/>
      <c r="C899" s="87"/>
      <c r="D899" s="86"/>
      <c r="E899" s="86"/>
      <c r="F899" s="86"/>
      <c r="G899" s="86"/>
      <c r="H899" s="86"/>
      <c r="I899" s="86"/>
    </row>
    <row r="900">
      <c r="A900" s="85"/>
      <c r="B900" s="86"/>
      <c r="C900" s="87"/>
      <c r="D900" s="86"/>
      <c r="E900" s="86"/>
      <c r="F900" s="86"/>
      <c r="G900" s="86"/>
      <c r="H900" s="86"/>
      <c r="I900" s="86"/>
    </row>
    <row r="901">
      <c r="A901" s="85"/>
      <c r="B901" s="86"/>
      <c r="C901" s="87"/>
      <c r="D901" s="86"/>
      <c r="E901" s="86"/>
      <c r="F901" s="86"/>
      <c r="G901" s="86"/>
      <c r="H901" s="86"/>
      <c r="I901" s="86"/>
    </row>
    <row r="902">
      <c r="A902" s="85"/>
      <c r="B902" s="86"/>
      <c r="C902" s="87"/>
      <c r="D902" s="86"/>
      <c r="E902" s="86"/>
      <c r="F902" s="86"/>
      <c r="G902" s="86"/>
      <c r="H902" s="86"/>
      <c r="I902" s="86"/>
    </row>
    <row r="903">
      <c r="A903" s="85"/>
      <c r="B903" s="86"/>
      <c r="C903" s="87"/>
      <c r="D903" s="86"/>
      <c r="E903" s="86"/>
      <c r="F903" s="86"/>
      <c r="G903" s="86"/>
      <c r="H903" s="86"/>
      <c r="I903" s="86"/>
    </row>
    <row r="904">
      <c r="A904" s="85"/>
      <c r="B904" s="86"/>
      <c r="C904" s="87"/>
      <c r="D904" s="86"/>
      <c r="E904" s="86"/>
      <c r="F904" s="86"/>
      <c r="G904" s="86"/>
      <c r="H904" s="86"/>
      <c r="I904" s="86"/>
    </row>
    <row r="905">
      <c r="A905" s="85"/>
      <c r="B905" s="86"/>
      <c r="C905" s="87"/>
      <c r="D905" s="86"/>
      <c r="E905" s="86"/>
      <c r="F905" s="86"/>
      <c r="G905" s="86"/>
      <c r="H905" s="86"/>
      <c r="I905" s="86"/>
    </row>
    <row r="906">
      <c r="A906" s="85"/>
      <c r="B906" s="86"/>
      <c r="C906" s="87"/>
      <c r="D906" s="86"/>
      <c r="E906" s="86"/>
      <c r="F906" s="86"/>
      <c r="G906" s="86"/>
      <c r="H906" s="86"/>
      <c r="I906" s="86"/>
    </row>
    <row r="907">
      <c r="A907" s="85"/>
      <c r="B907" s="86"/>
      <c r="C907" s="87"/>
      <c r="D907" s="86"/>
      <c r="E907" s="86"/>
      <c r="F907" s="86"/>
      <c r="G907" s="86"/>
      <c r="H907" s="86"/>
      <c r="I907" s="86"/>
    </row>
    <row r="908">
      <c r="A908" s="85"/>
      <c r="B908" s="86"/>
      <c r="C908" s="87"/>
      <c r="D908" s="86"/>
      <c r="E908" s="86"/>
      <c r="F908" s="86"/>
      <c r="G908" s="86"/>
      <c r="H908" s="86"/>
      <c r="I908" s="86"/>
    </row>
    <row r="909">
      <c r="A909" s="85"/>
      <c r="B909" s="86"/>
      <c r="C909" s="87"/>
      <c r="D909" s="86"/>
      <c r="E909" s="86"/>
      <c r="F909" s="86"/>
      <c r="G909" s="86"/>
      <c r="H909" s="86"/>
      <c r="I909" s="86"/>
    </row>
    <row r="910">
      <c r="A910" s="85"/>
      <c r="B910" s="86"/>
      <c r="C910" s="87"/>
      <c r="D910" s="86"/>
      <c r="E910" s="86"/>
      <c r="F910" s="86"/>
      <c r="G910" s="86"/>
      <c r="H910" s="86"/>
      <c r="I910" s="86"/>
    </row>
    <row r="911">
      <c r="A911" s="85"/>
      <c r="B911" s="86"/>
      <c r="C911" s="87"/>
      <c r="D911" s="86"/>
      <c r="E911" s="86"/>
      <c r="F911" s="86"/>
      <c r="G911" s="86"/>
      <c r="H911" s="86"/>
      <c r="I911" s="86"/>
    </row>
    <row r="912">
      <c r="A912" s="85"/>
      <c r="B912" s="86"/>
      <c r="C912" s="87"/>
      <c r="D912" s="86"/>
      <c r="E912" s="86"/>
      <c r="F912" s="86"/>
      <c r="G912" s="86"/>
      <c r="H912" s="86"/>
      <c r="I912" s="86"/>
    </row>
    <row r="913">
      <c r="A913" s="85"/>
      <c r="B913" s="86"/>
      <c r="C913" s="87"/>
      <c r="D913" s="86"/>
      <c r="E913" s="86"/>
      <c r="F913" s="86"/>
      <c r="G913" s="86"/>
      <c r="H913" s="86"/>
      <c r="I913" s="86"/>
    </row>
    <row r="914">
      <c r="A914" s="85"/>
      <c r="B914" s="86"/>
      <c r="C914" s="87"/>
      <c r="D914" s="86"/>
      <c r="E914" s="86"/>
      <c r="F914" s="86"/>
      <c r="G914" s="86"/>
      <c r="H914" s="86"/>
      <c r="I914" s="86"/>
    </row>
    <row r="915">
      <c r="A915" s="85"/>
      <c r="B915" s="86"/>
      <c r="C915" s="87"/>
      <c r="D915" s="86"/>
      <c r="E915" s="86"/>
      <c r="F915" s="86"/>
      <c r="G915" s="86"/>
      <c r="H915" s="86"/>
      <c r="I915" s="86"/>
    </row>
    <row r="916">
      <c r="A916" s="85"/>
      <c r="B916" s="86"/>
      <c r="C916" s="87"/>
      <c r="D916" s="86"/>
      <c r="E916" s="86"/>
      <c r="F916" s="86"/>
      <c r="G916" s="86"/>
      <c r="H916" s="86"/>
      <c r="I916" s="86"/>
    </row>
    <row r="917">
      <c r="A917" s="85"/>
      <c r="B917" s="86"/>
      <c r="C917" s="87"/>
      <c r="D917" s="86"/>
      <c r="E917" s="86"/>
      <c r="F917" s="86"/>
      <c r="G917" s="86"/>
      <c r="H917" s="86"/>
      <c r="I917" s="86"/>
    </row>
    <row r="918">
      <c r="A918" s="85"/>
      <c r="B918" s="86"/>
      <c r="C918" s="87"/>
      <c r="D918" s="86"/>
      <c r="E918" s="86"/>
      <c r="F918" s="86"/>
      <c r="G918" s="86"/>
      <c r="H918" s="86"/>
      <c r="I918" s="86"/>
    </row>
    <row r="919">
      <c r="A919" s="85"/>
      <c r="B919" s="86"/>
      <c r="C919" s="87"/>
      <c r="D919" s="86"/>
      <c r="E919" s="86"/>
      <c r="F919" s="86"/>
      <c r="G919" s="86"/>
      <c r="H919" s="86"/>
      <c r="I919" s="86"/>
    </row>
    <row r="920">
      <c r="A920" s="85"/>
      <c r="B920" s="86"/>
      <c r="C920" s="87"/>
      <c r="D920" s="86"/>
      <c r="E920" s="86"/>
      <c r="F920" s="86"/>
      <c r="G920" s="86"/>
      <c r="H920" s="86"/>
      <c r="I920" s="86"/>
    </row>
    <row r="921">
      <c r="A921" s="85"/>
      <c r="B921" s="86"/>
      <c r="C921" s="87"/>
      <c r="D921" s="86"/>
      <c r="E921" s="86"/>
      <c r="F921" s="86"/>
      <c r="G921" s="86"/>
      <c r="H921" s="86"/>
      <c r="I921" s="86"/>
    </row>
    <row r="922">
      <c r="A922" s="85"/>
      <c r="B922" s="86"/>
      <c r="C922" s="87"/>
      <c r="D922" s="86"/>
      <c r="E922" s="86"/>
      <c r="F922" s="86"/>
      <c r="G922" s="86"/>
      <c r="H922" s="86"/>
      <c r="I922" s="86"/>
    </row>
    <row r="923">
      <c r="A923" s="85"/>
      <c r="B923" s="86"/>
      <c r="C923" s="87"/>
      <c r="D923" s="86"/>
      <c r="E923" s="86"/>
      <c r="F923" s="86"/>
      <c r="G923" s="86"/>
      <c r="H923" s="86"/>
      <c r="I923" s="86"/>
    </row>
    <row r="924">
      <c r="A924" s="85"/>
      <c r="B924" s="86"/>
      <c r="C924" s="87"/>
      <c r="D924" s="86"/>
      <c r="E924" s="86"/>
      <c r="F924" s="86"/>
      <c r="G924" s="86"/>
      <c r="H924" s="86"/>
      <c r="I924" s="86"/>
    </row>
    <row r="925">
      <c r="A925" s="85"/>
      <c r="B925" s="86"/>
      <c r="C925" s="87"/>
      <c r="D925" s="86"/>
      <c r="E925" s="86"/>
      <c r="F925" s="86"/>
      <c r="G925" s="86"/>
      <c r="H925" s="86"/>
      <c r="I925" s="86"/>
    </row>
    <row r="926">
      <c r="A926" s="85"/>
      <c r="B926" s="86"/>
      <c r="C926" s="87"/>
      <c r="D926" s="86"/>
      <c r="E926" s="86"/>
      <c r="F926" s="86"/>
      <c r="G926" s="86"/>
      <c r="H926" s="86"/>
      <c r="I926" s="86"/>
    </row>
    <row r="927">
      <c r="A927" s="85"/>
      <c r="B927" s="86"/>
      <c r="C927" s="87"/>
      <c r="D927" s="86"/>
      <c r="E927" s="86"/>
      <c r="F927" s="86"/>
      <c r="G927" s="86"/>
      <c r="H927" s="86"/>
      <c r="I927" s="86"/>
    </row>
    <row r="928">
      <c r="A928" s="85"/>
      <c r="B928" s="86"/>
      <c r="C928" s="87"/>
      <c r="D928" s="86"/>
      <c r="E928" s="86"/>
      <c r="F928" s="86"/>
      <c r="G928" s="86"/>
      <c r="H928" s="86"/>
      <c r="I928" s="86"/>
    </row>
    <row r="929">
      <c r="A929" s="85"/>
      <c r="B929" s="86"/>
      <c r="C929" s="87"/>
      <c r="D929" s="86"/>
      <c r="E929" s="86"/>
      <c r="F929" s="86"/>
      <c r="G929" s="86"/>
      <c r="H929" s="86"/>
      <c r="I929" s="86"/>
    </row>
    <row r="930">
      <c r="A930" s="85"/>
      <c r="B930" s="86"/>
      <c r="C930" s="87"/>
      <c r="D930" s="86"/>
      <c r="E930" s="86"/>
      <c r="F930" s="86"/>
      <c r="G930" s="86"/>
      <c r="H930" s="86"/>
      <c r="I930" s="86"/>
    </row>
    <row r="931">
      <c r="A931" s="85"/>
      <c r="B931" s="86"/>
      <c r="C931" s="87"/>
      <c r="D931" s="86"/>
      <c r="E931" s="86"/>
      <c r="F931" s="86"/>
      <c r="G931" s="86"/>
      <c r="H931" s="86"/>
      <c r="I931" s="86"/>
    </row>
    <row r="932">
      <c r="A932" s="85"/>
      <c r="B932" s="86"/>
      <c r="C932" s="87"/>
      <c r="D932" s="86"/>
      <c r="E932" s="86"/>
      <c r="F932" s="86"/>
      <c r="G932" s="86"/>
      <c r="H932" s="86"/>
      <c r="I932" s="86"/>
    </row>
    <row r="933">
      <c r="A933" s="85"/>
      <c r="B933" s="86"/>
      <c r="C933" s="87"/>
      <c r="D933" s="86"/>
      <c r="E933" s="86"/>
      <c r="F933" s="86"/>
      <c r="G933" s="86"/>
      <c r="H933" s="86"/>
      <c r="I933" s="86"/>
    </row>
    <row r="934">
      <c r="A934" s="85"/>
      <c r="B934" s="86"/>
      <c r="C934" s="87"/>
      <c r="D934" s="86"/>
      <c r="E934" s="86"/>
      <c r="F934" s="86"/>
      <c r="G934" s="86"/>
      <c r="H934" s="86"/>
      <c r="I934" s="86"/>
    </row>
    <row r="935">
      <c r="A935" s="85"/>
      <c r="B935" s="86"/>
      <c r="C935" s="87"/>
      <c r="D935" s="86"/>
      <c r="E935" s="86"/>
      <c r="F935" s="86"/>
      <c r="G935" s="86"/>
      <c r="H935" s="86"/>
      <c r="I935" s="86"/>
    </row>
    <row r="936">
      <c r="A936" s="85"/>
      <c r="B936" s="86"/>
      <c r="C936" s="87"/>
      <c r="D936" s="86"/>
      <c r="E936" s="86"/>
      <c r="F936" s="86"/>
      <c r="G936" s="86"/>
      <c r="H936" s="86"/>
      <c r="I936" s="86"/>
    </row>
    <row r="937">
      <c r="A937" s="85"/>
      <c r="B937" s="86"/>
      <c r="C937" s="87"/>
      <c r="D937" s="86"/>
      <c r="E937" s="86"/>
      <c r="F937" s="86"/>
      <c r="G937" s="86"/>
      <c r="H937" s="86"/>
      <c r="I937" s="86"/>
    </row>
    <row r="938">
      <c r="A938" s="85"/>
      <c r="B938" s="86"/>
      <c r="C938" s="87"/>
      <c r="D938" s="86"/>
      <c r="E938" s="86"/>
      <c r="F938" s="86"/>
      <c r="G938" s="86"/>
      <c r="H938" s="86"/>
      <c r="I938" s="86"/>
    </row>
    <row r="939">
      <c r="A939" s="85"/>
      <c r="B939" s="86"/>
      <c r="C939" s="87"/>
      <c r="D939" s="86"/>
      <c r="E939" s="86"/>
      <c r="F939" s="86"/>
      <c r="G939" s="86"/>
      <c r="H939" s="86"/>
      <c r="I939" s="86"/>
    </row>
    <row r="940">
      <c r="A940" s="85"/>
      <c r="B940" s="86"/>
      <c r="C940" s="87"/>
      <c r="D940" s="86"/>
      <c r="E940" s="86"/>
      <c r="F940" s="86"/>
      <c r="G940" s="86"/>
      <c r="H940" s="86"/>
      <c r="I940" s="86"/>
    </row>
    <row r="941">
      <c r="A941" s="85"/>
      <c r="B941" s="86"/>
      <c r="C941" s="87"/>
      <c r="D941" s="86"/>
      <c r="E941" s="86"/>
      <c r="F941" s="86"/>
      <c r="G941" s="86"/>
      <c r="H941" s="86"/>
      <c r="I941" s="86"/>
    </row>
    <row r="942">
      <c r="A942" s="85"/>
      <c r="B942" s="86"/>
      <c r="C942" s="87"/>
      <c r="D942" s="86"/>
      <c r="E942" s="86"/>
      <c r="F942" s="86"/>
      <c r="G942" s="86"/>
      <c r="H942" s="86"/>
      <c r="I942" s="86"/>
    </row>
    <row r="943">
      <c r="A943" s="85"/>
      <c r="B943" s="86"/>
      <c r="C943" s="87"/>
      <c r="D943" s="86"/>
      <c r="E943" s="86"/>
      <c r="F943" s="86"/>
      <c r="G943" s="86"/>
      <c r="H943" s="86"/>
      <c r="I943" s="86"/>
    </row>
    <row r="944">
      <c r="A944" s="85"/>
      <c r="B944" s="86"/>
      <c r="C944" s="87"/>
      <c r="D944" s="86"/>
      <c r="E944" s="86"/>
      <c r="F944" s="86"/>
      <c r="G944" s="86"/>
      <c r="H944" s="86"/>
      <c r="I944" s="86"/>
    </row>
    <row r="945">
      <c r="A945" s="85"/>
      <c r="B945" s="86"/>
      <c r="C945" s="87"/>
      <c r="D945" s="86"/>
      <c r="E945" s="86"/>
      <c r="F945" s="86"/>
      <c r="G945" s="86"/>
      <c r="H945" s="86"/>
      <c r="I945" s="86"/>
    </row>
    <row r="946">
      <c r="A946" s="85"/>
      <c r="B946" s="86"/>
      <c r="C946" s="87"/>
      <c r="D946" s="86"/>
      <c r="E946" s="86"/>
      <c r="F946" s="86"/>
      <c r="G946" s="86"/>
      <c r="H946" s="86"/>
      <c r="I946" s="86"/>
    </row>
    <row r="947">
      <c r="A947" s="85"/>
      <c r="B947" s="86"/>
      <c r="C947" s="87"/>
      <c r="D947" s="86"/>
      <c r="E947" s="86"/>
      <c r="F947" s="86"/>
      <c r="G947" s="86"/>
      <c r="H947" s="86"/>
      <c r="I947" s="86"/>
    </row>
    <row r="948">
      <c r="A948" s="85"/>
      <c r="B948" s="86"/>
      <c r="C948" s="87"/>
      <c r="D948" s="86"/>
      <c r="E948" s="86"/>
      <c r="F948" s="86"/>
      <c r="G948" s="86"/>
      <c r="H948" s="86"/>
      <c r="I948" s="86"/>
    </row>
    <row r="949">
      <c r="A949" s="85"/>
      <c r="B949" s="86"/>
      <c r="C949" s="87"/>
      <c r="D949" s="86"/>
      <c r="E949" s="86"/>
      <c r="F949" s="86"/>
      <c r="G949" s="86"/>
      <c r="H949" s="86"/>
      <c r="I949" s="86"/>
    </row>
    <row r="950">
      <c r="A950" s="85"/>
      <c r="B950" s="86"/>
      <c r="C950" s="87"/>
      <c r="D950" s="86"/>
      <c r="E950" s="86"/>
      <c r="F950" s="86"/>
      <c r="G950" s="86"/>
      <c r="H950" s="86"/>
      <c r="I950" s="86"/>
    </row>
    <row r="951">
      <c r="A951" s="85"/>
      <c r="B951" s="86"/>
      <c r="C951" s="87"/>
      <c r="D951" s="86"/>
      <c r="E951" s="86"/>
      <c r="F951" s="86"/>
      <c r="G951" s="86"/>
      <c r="H951" s="86"/>
      <c r="I951" s="86"/>
    </row>
    <row r="952">
      <c r="A952" s="85"/>
      <c r="B952" s="86"/>
      <c r="C952" s="87"/>
      <c r="D952" s="86"/>
      <c r="E952" s="86"/>
      <c r="F952" s="86"/>
      <c r="G952" s="86"/>
      <c r="H952" s="86"/>
      <c r="I952" s="86"/>
    </row>
    <row r="953">
      <c r="A953" s="85"/>
      <c r="B953" s="86"/>
      <c r="C953" s="87"/>
      <c r="D953" s="86"/>
      <c r="E953" s="86"/>
      <c r="F953" s="86"/>
      <c r="G953" s="86"/>
      <c r="H953" s="86"/>
      <c r="I953" s="86"/>
    </row>
    <row r="954">
      <c r="A954" s="85"/>
      <c r="B954" s="86"/>
      <c r="C954" s="87"/>
      <c r="D954" s="86"/>
      <c r="E954" s="86"/>
      <c r="F954" s="86"/>
      <c r="G954" s="86"/>
      <c r="H954" s="86"/>
      <c r="I954" s="86"/>
    </row>
    <row r="955">
      <c r="A955" s="85"/>
      <c r="B955" s="86"/>
      <c r="C955" s="87"/>
      <c r="D955" s="86"/>
      <c r="E955" s="86"/>
      <c r="F955" s="86"/>
      <c r="G955" s="86"/>
      <c r="H955" s="86"/>
      <c r="I955" s="86"/>
    </row>
    <row r="956">
      <c r="A956" s="85"/>
      <c r="B956" s="86"/>
      <c r="C956" s="87"/>
      <c r="D956" s="86"/>
      <c r="E956" s="86"/>
      <c r="F956" s="86"/>
      <c r="G956" s="86"/>
      <c r="H956" s="86"/>
      <c r="I956" s="86"/>
    </row>
    <row r="957">
      <c r="A957" s="85"/>
      <c r="B957" s="86"/>
      <c r="C957" s="87"/>
      <c r="D957" s="86"/>
      <c r="E957" s="86"/>
      <c r="F957" s="86"/>
      <c r="G957" s="86"/>
      <c r="H957" s="86"/>
      <c r="I957" s="86"/>
    </row>
    <row r="958">
      <c r="A958" s="85"/>
      <c r="B958" s="86"/>
      <c r="C958" s="87"/>
      <c r="D958" s="86"/>
      <c r="E958" s="86"/>
      <c r="F958" s="86"/>
      <c r="G958" s="86"/>
      <c r="H958" s="86"/>
      <c r="I958" s="86"/>
    </row>
    <row r="959">
      <c r="A959" s="85"/>
      <c r="B959" s="86"/>
      <c r="C959" s="87"/>
      <c r="D959" s="86"/>
      <c r="E959" s="86"/>
      <c r="F959" s="86"/>
      <c r="G959" s="86"/>
      <c r="H959" s="86"/>
      <c r="I959" s="86"/>
    </row>
    <row r="960">
      <c r="A960" s="85"/>
      <c r="B960" s="86"/>
      <c r="C960" s="87"/>
      <c r="D960" s="86"/>
      <c r="E960" s="86"/>
      <c r="F960" s="86"/>
      <c r="G960" s="86"/>
      <c r="H960" s="86"/>
      <c r="I960" s="86"/>
    </row>
    <row r="961">
      <c r="A961" s="85"/>
      <c r="B961" s="86"/>
      <c r="C961" s="87"/>
      <c r="D961" s="86"/>
      <c r="E961" s="86"/>
      <c r="F961" s="86"/>
      <c r="G961" s="86"/>
      <c r="H961" s="86"/>
      <c r="I961" s="86"/>
    </row>
    <row r="962">
      <c r="A962" s="85"/>
      <c r="B962" s="86"/>
      <c r="C962" s="87"/>
      <c r="D962" s="86"/>
      <c r="E962" s="86"/>
      <c r="F962" s="86"/>
      <c r="G962" s="86"/>
      <c r="H962" s="86"/>
      <c r="I962" s="86"/>
    </row>
    <row r="963">
      <c r="A963" s="85"/>
      <c r="B963" s="86"/>
      <c r="C963" s="87"/>
      <c r="D963" s="86"/>
      <c r="E963" s="86"/>
      <c r="F963" s="86"/>
      <c r="G963" s="86"/>
      <c r="H963" s="86"/>
      <c r="I963" s="86"/>
    </row>
    <row r="964">
      <c r="A964" s="85"/>
      <c r="B964" s="86"/>
      <c r="C964" s="87"/>
      <c r="D964" s="86"/>
      <c r="E964" s="86"/>
      <c r="F964" s="86"/>
      <c r="G964" s="86"/>
      <c r="H964" s="86"/>
      <c r="I964" s="86"/>
    </row>
    <row r="965">
      <c r="A965" s="85"/>
      <c r="B965" s="86"/>
      <c r="C965" s="87"/>
      <c r="D965" s="86"/>
      <c r="E965" s="86"/>
      <c r="F965" s="86"/>
      <c r="G965" s="86"/>
      <c r="H965" s="86"/>
      <c r="I965" s="86"/>
    </row>
    <row r="966">
      <c r="A966" s="85"/>
      <c r="B966" s="86"/>
      <c r="C966" s="87"/>
      <c r="D966" s="86"/>
      <c r="E966" s="86"/>
      <c r="F966" s="86"/>
      <c r="G966" s="86"/>
      <c r="H966" s="86"/>
      <c r="I966" s="86"/>
    </row>
    <row r="967">
      <c r="A967" s="85"/>
      <c r="B967" s="86"/>
      <c r="C967" s="87"/>
      <c r="D967" s="86"/>
      <c r="E967" s="86"/>
      <c r="F967" s="86"/>
      <c r="G967" s="86"/>
      <c r="H967" s="86"/>
      <c r="I967" s="86"/>
    </row>
    <row r="968">
      <c r="A968" s="85"/>
      <c r="B968" s="86"/>
      <c r="C968" s="87"/>
      <c r="D968" s="86"/>
      <c r="E968" s="86"/>
      <c r="F968" s="86"/>
      <c r="G968" s="86"/>
      <c r="H968" s="86"/>
      <c r="I968" s="86"/>
    </row>
    <row r="969">
      <c r="A969" s="85"/>
      <c r="B969" s="86"/>
      <c r="C969" s="87"/>
      <c r="D969" s="86"/>
      <c r="E969" s="86"/>
      <c r="F969" s="86"/>
      <c r="G969" s="86"/>
      <c r="H969" s="86"/>
      <c r="I969" s="86"/>
    </row>
    <row r="970">
      <c r="A970" s="85"/>
      <c r="B970" s="86"/>
      <c r="C970" s="87"/>
      <c r="D970" s="86"/>
      <c r="E970" s="86"/>
      <c r="F970" s="86"/>
      <c r="G970" s="86"/>
      <c r="H970" s="86"/>
      <c r="I970" s="86"/>
    </row>
    <row r="971">
      <c r="A971" s="85"/>
      <c r="B971" s="86"/>
      <c r="C971" s="87"/>
      <c r="D971" s="86"/>
      <c r="E971" s="86"/>
      <c r="F971" s="86"/>
      <c r="G971" s="86"/>
      <c r="H971" s="86"/>
      <c r="I971" s="86"/>
    </row>
    <row r="972">
      <c r="A972" s="85"/>
      <c r="B972" s="86"/>
      <c r="C972" s="87"/>
      <c r="D972" s="86"/>
      <c r="E972" s="86"/>
      <c r="F972" s="86"/>
      <c r="G972" s="86"/>
      <c r="H972" s="86"/>
      <c r="I972" s="86"/>
    </row>
    <row r="973">
      <c r="A973" s="85"/>
      <c r="B973" s="86"/>
      <c r="C973" s="87"/>
      <c r="D973" s="86"/>
      <c r="E973" s="86"/>
      <c r="F973" s="86"/>
      <c r="G973" s="86"/>
      <c r="H973" s="86"/>
      <c r="I973" s="86"/>
    </row>
    <row r="974">
      <c r="A974" s="85"/>
      <c r="B974" s="86"/>
      <c r="C974" s="87"/>
      <c r="D974" s="86"/>
      <c r="E974" s="86"/>
      <c r="F974" s="86"/>
      <c r="G974" s="86"/>
      <c r="H974" s="86"/>
      <c r="I974" s="86"/>
    </row>
    <row r="975">
      <c r="A975" s="85"/>
      <c r="B975" s="86"/>
      <c r="C975" s="87"/>
      <c r="D975" s="86"/>
      <c r="E975" s="86"/>
      <c r="F975" s="86"/>
      <c r="G975" s="86"/>
      <c r="H975" s="86"/>
      <c r="I975" s="86"/>
    </row>
    <row r="976">
      <c r="A976" s="85"/>
      <c r="B976" s="86"/>
      <c r="C976" s="87"/>
      <c r="D976" s="86"/>
      <c r="E976" s="86"/>
      <c r="F976" s="86"/>
      <c r="G976" s="86"/>
      <c r="H976" s="86"/>
      <c r="I976" s="86"/>
    </row>
    <row r="977">
      <c r="A977" s="85"/>
      <c r="B977" s="86"/>
      <c r="C977" s="87"/>
      <c r="D977" s="86"/>
      <c r="E977" s="86"/>
      <c r="F977" s="86"/>
      <c r="G977" s="86"/>
      <c r="H977" s="86"/>
      <c r="I977" s="86"/>
    </row>
    <row r="978">
      <c r="A978" s="85"/>
      <c r="B978" s="86"/>
      <c r="C978" s="87"/>
      <c r="D978" s="86"/>
      <c r="E978" s="86"/>
      <c r="F978" s="86"/>
      <c r="G978" s="86"/>
      <c r="H978" s="86"/>
      <c r="I978" s="86"/>
    </row>
    <row r="979">
      <c r="A979" s="85"/>
      <c r="B979" s="86"/>
      <c r="C979" s="87"/>
      <c r="D979" s="86"/>
      <c r="E979" s="86"/>
      <c r="F979" s="86"/>
      <c r="G979" s="86"/>
      <c r="H979" s="86"/>
      <c r="I979" s="86"/>
    </row>
    <row r="980">
      <c r="A980" s="85"/>
      <c r="B980" s="86"/>
      <c r="C980" s="87"/>
      <c r="D980" s="86"/>
      <c r="E980" s="86"/>
      <c r="F980" s="86"/>
      <c r="G980" s="86"/>
      <c r="H980" s="86"/>
      <c r="I980" s="86"/>
    </row>
    <row r="981">
      <c r="A981" s="85"/>
      <c r="B981" s="86"/>
      <c r="C981" s="87"/>
      <c r="D981" s="86"/>
      <c r="E981" s="86"/>
      <c r="F981" s="86"/>
      <c r="G981" s="86"/>
      <c r="H981" s="86"/>
      <c r="I981" s="86"/>
    </row>
    <row r="982">
      <c r="A982" s="85"/>
      <c r="B982" s="86"/>
      <c r="C982" s="87"/>
      <c r="D982" s="86"/>
      <c r="E982" s="86"/>
      <c r="F982" s="86"/>
      <c r="G982" s="86"/>
      <c r="H982" s="86"/>
      <c r="I982" s="86"/>
    </row>
    <row r="983">
      <c r="A983" s="85"/>
      <c r="B983" s="86"/>
      <c r="C983" s="87"/>
      <c r="D983" s="86"/>
      <c r="E983" s="86"/>
      <c r="F983" s="86"/>
      <c r="G983" s="86"/>
      <c r="H983" s="86"/>
      <c r="I983" s="86"/>
    </row>
    <row r="984">
      <c r="A984" s="85"/>
      <c r="B984" s="86"/>
      <c r="C984" s="87"/>
      <c r="D984" s="86"/>
      <c r="E984" s="86"/>
      <c r="F984" s="86"/>
      <c r="G984" s="86"/>
      <c r="H984" s="86"/>
      <c r="I984" s="86"/>
    </row>
    <row r="985">
      <c r="A985" s="85"/>
      <c r="B985" s="86"/>
      <c r="C985" s="87"/>
      <c r="D985" s="86"/>
      <c r="E985" s="86"/>
      <c r="F985" s="86"/>
      <c r="G985" s="86"/>
      <c r="H985" s="86"/>
      <c r="I985" s="86"/>
    </row>
    <row r="986">
      <c r="A986" s="85"/>
      <c r="B986" s="86"/>
      <c r="C986" s="87"/>
      <c r="D986" s="86"/>
      <c r="E986" s="86"/>
      <c r="F986" s="86"/>
      <c r="G986" s="86"/>
      <c r="H986" s="86"/>
      <c r="I986" s="86"/>
    </row>
    <row r="987">
      <c r="A987" s="85"/>
      <c r="B987" s="86"/>
      <c r="C987" s="87"/>
      <c r="D987" s="86"/>
      <c r="E987" s="86"/>
      <c r="F987" s="86"/>
      <c r="G987" s="86"/>
      <c r="H987" s="86"/>
      <c r="I987" s="86"/>
    </row>
    <row r="988">
      <c r="A988" s="85"/>
      <c r="B988" s="86"/>
      <c r="C988" s="87"/>
      <c r="D988" s="86"/>
      <c r="E988" s="86"/>
      <c r="F988" s="86"/>
      <c r="G988" s="86"/>
      <c r="H988" s="86"/>
      <c r="I988" s="86"/>
    </row>
    <row r="989">
      <c r="A989" s="85"/>
      <c r="B989" s="86"/>
      <c r="C989" s="87"/>
      <c r="D989" s="86"/>
      <c r="E989" s="86"/>
      <c r="F989" s="86"/>
      <c r="G989" s="86"/>
      <c r="H989" s="86"/>
      <c r="I989" s="86"/>
    </row>
    <row r="990">
      <c r="A990" s="85"/>
      <c r="B990" s="86"/>
      <c r="C990" s="87"/>
      <c r="D990" s="86"/>
      <c r="E990" s="86"/>
      <c r="F990" s="86"/>
      <c r="G990" s="86"/>
      <c r="H990" s="86"/>
      <c r="I990" s="86"/>
    </row>
    <row r="991">
      <c r="A991" s="85"/>
      <c r="B991" s="86"/>
      <c r="C991" s="87"/>
      <c r="D991" s="86"/>
      <c r="E991" s="86"/>
      <c r="F991" s="86"/>
      <c r="G991" s="86"/>
      <c r="H991" s="86"/>
      <c r="I991" s="86"/>
    </row>
    <row r="992">
      <c r="A992" s="85"/>
      <c r="B992" s="86"/>
      <c r="C992" s="87"/>
      <c r="D992" s="86"/>
      <c r="E992" s="86"/>
      <c r="F992" s="86"/>
      <c r="G992" s="86"/>
      <c r="H992" s="86"/>
      <c r="I992" s="86"/>
    </row>
    <row r="993">
      <c r="A993" s="85"/>
      <c r="B993" s="86"/>
      <c r="C993" s="87"/>
      <c r="D993" s="86"/>
      <c r="E993" s="86"/>
      <c r="F993" s="86"/>
      <c r="G993" s="86"/>
      <c r="H993" s="86"/>
      <c r="I993" s="86"/>
    </row>
    <row r="994">
      <c r="A994" s="85"/>
      <c r="B994" s="86"/>
      <c r="C994" s="87"/>
      <c r="D994" s="86"/>
      <c r="E994" s="86"/>
      <c r="F994" s="86"/>
      <c r="G994" s="86"/>
      <c r="H994" s="86"/>
      <c r="I994" s="86"/>
    </row>
    <row r="995">
      <c r="A995" s="85"/>
      <c r="B995" s="86"/>
      <c r="C995" s="87"/>
      <c r="D995" s="86"/>
      <c r="E995" s="86"/>
      <c r="F995" s="86"/>
      <c r="G995" s="86"/>
      <c r="H995" s="86"/>
      <c r="I995" s="86"/>
    </row>
    <row r="996">
      <c r="A996" s="85"/>
      <c r="B996" s="86"/>
      <c r="C996" s="87"/>
      <c r="D996" s="86"/>
      <c r="E996" s="86"/>
      <c r="F996" s="86"/>
      <c r="G996" s="86"/>
      <c r="H996" s="86"/>
      <c r="I996" s="86"/>
    </row>
    <row r="997">
      <c r="A997" s="85"/>
      <c r="B997" s="86"/>
      <c r="C997" s="87"/>
      <c r="D997" s="86"/>
      <c r="E997" s="86"/>
      <c r="F997" s="86"/>
      <c r="G997" s="86"/>
      <c r="H997" s="86"/>
      <c r="I997" s="86"/>
    </row>
    <row r="998">
      <c r="A998" s="85"/>
      <c r="B998" s="86"/>
      <c r="C998" s="87"/>
      <c r="D998" s="86"/>
      <c r="E998" s="86"/>
      <c r="F998" s="86"/>
      <c r="G998" s="86"/>
      <c r="H998" s="86"/>
      <c r="I998" s="86"/>
    </row>
    <row r="999">
      <c r="A999" s="85"/>
      <c r="B999" s="86"/>
      <c r="C999" s="87"/>
      <c r="D999" s="86"/>
      <c r="E999" s="86"/>
      <c r="F999" s="86"/>
      <c r="G999" s="86"/>
      <c r="H999" s="86"/>
      <c r="I999" s="86"/>
    </row>
    <row r="1000">
      <c r="A1000" s="85"/>
      <c r="B1000" s="86"/>
      <c r="C1000" s="87"/>
      <c r="D1000" s="86"/>
      <c r="E1000" s="86"/>
      <c r="F1000" s="86"/>
      <c r="G1000" s="86"/>
      <c r="H1000" s="86"/>
      <c r="I1000" s="86"/>
    </row>
  </sheetData>
  <autoFilter ref="$A$1:$I$262"/>
  <dataValidations>
    <dataValidation type="list" allowBlank="1" showErrorMessage="1" sqref="E2:E262">
      <formula1>"si,no"</formula1>
    </dataValidation>
    <dataValidation type="list" allowBlank="1" showErrorMessage="1" sqref="F2:F262">
      <formula1>"tarde,mañana"</formula1>
    </dataValidation>
    <dataValidation type="list" allowBlank="1" showErrorMessage="1" sqref="B2:B262">
      <formula1>"ensayo,ficcion,infantil,comic,novela_grafica,poesia,divulgacion"</formula1>
    </dataValidation>
    <dataValidation type="list" allowBlank="1" showErrorMessage="1" sqref="C2:C262">
      <formula1>"español,inglés,catalán"</formula1>
    </dataValidation>
    <dataValidation type="list" allowBlank="1" showErrorMessage="1" sqref="G2:G262">
      <formula1>"enero,febrero,marzo,abril,mayo,junio,julio,agosto,septiembre,octubre,noviembre,diciembre"</formula1>
    </dataValidation>
    <dataValidation type="list" allowBlank="1" showErrorMessage="1" sqref="I2:I262">
      <formula1>"viernes,domingo,lunes,martes,miércoles,jueves,sábado"</formula1>
    </dataValidation>
  </dataValidation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75"/>
    <col customWidth="1" min="2" max="2" width="20.13"/>
    <col customWidth="1" min="3" max="3" width="13.88"/>
    <col customWidth="1" min="4" max="4" width="26.88"/>
    <col customWidth="1" min="5" max="5" width="22.63"/>
    <col customWidth="1" min="6" max="6" width="22.0"/>
    <col customWidth="1" min="7" max="7" width="17.5"/>
    <col customWidth="1" min="8" max="8" width="11.75"/>
    <col customWidth="1" min="9" max="9" width="17.75"/>
  </cols>
  <sheetData>
    <row r="1" ht="22.5" customHeight="1">
      <c r="A1" s="88" t="s">
        <v>0</v>
      </c>
      <c r="B1" s="88" t="s">
        <v>79</v>
      </c>
      <c r="C1" s="89" t="s">
        <v>2</v>
      </c>
      <c r="D1" s="10" t="s">
        <v>3</v>
      </c>
      <c r="E1" s="10" t="s">
        <v>4</v>
      </c>
      <c r="F1" s="10" t="s">
        <v>5</v>
      </c>
      <c r="G1" s="10" t="s">
        <v>6</v>
      </c>
      <c r="H1" s="90" t="s">
        <v>80</v>
      </c>
      <c r="I1" s="10" t="s">
        <v>7</v>
      </c>
      <c r="J1" s="91" t="s">
        <v>81</v>
      </c>
    </row>
    <row r="2" ht="22.5" customHeight="1">
      <c r="A2" s="8">
        <v>45660.0</v>
      </c>
      <c r="B2" s="92" t="s">
        <v>14</v>
      </c>
      <c r="C2" s="93" t="s">
        <v>9</v>
      </c>
      <c r="D2" s="94">
        <v>22.0</v>
      </c>
      <c r="E2" s="92" t="s">
        <v>10</v>
      </c>
      <c r="F2" s="92" t="s">
        <v>11</v>
      </c>
      <c r="G2" s="92" t="s">
        <v>12</v>
      </c>
      <c r="H2" s="95">
        <v>1.0</v>
      </c>
      <c r="I2" s="96" t="s">
        <v>20</v>
      </c>
      <c r="J2" s="97"/>
    </row>
    <row r="3" ht="22.5" customHeight="1">
      <c r="A3" s="8">
        <v>45662.0</v>
      </c>
      <c r="B3" s="92" t="s">
        <v>8</v>
      </c>
      <c r="C3" s="93" t="s">
        <v>9</v>
      </c>
      <c r="D3" s="94">
        <v>14.0</v>
      </c>
      <c r="E3" s="92" t="s">
        <v>10</v>
      </c>
      <c r="F3" s="92" t="s">
        <v>11</v>
      </c>
      <c r="G3" s="92" t="s">
        <v>12</v>
      </c>
      <c r="H3" s="95">
        <v>1.0</v>
      </c>
      <c r="I3" s="96" t="s">
        <v>13</v>
      </c>
      <c r="J3" s="97"/>
    </row>
    <row r="4" ht="22.5" customHeight="1">
      <c r="A4" s="8">
        <v>45663.0</v>
      </c>
      <c r="B4" s="92" t="s">
        <v>8</v>
      </c>
      <c r="C4" s="93" t="s">
        <v>9</v>
      </c>
      <c r="D4" s="94">
        <v>14.0</v>
      </c>
      <c r="E4" s="92" t="s">
        <v>10</v>
      </c>
      <c r="F4" s="92" t="s">
        <v>11</v>
      </c>
      <c r="G4" s="92" t="s">
        <v>12</v>
      </c>
      <c r="H4" s="95">
        <v>1.0</v>
      </c>
      <c r="I4" s="96" t="s">
        <v>39</v>
      </c>
      <c r="J4" s="98" t="s">
        <v>85</v>
      </c>
    </row>
    <row r="5" ht="22.5" customHeight="1">
      <c r="A5" s="8">
        <v>45664.0</v>
      </c>
      <c r="B5" s="92" t="s">
        <v>14</v>
      </c>
      <c r="C5" s="93" t="s">
        <v>9</v>
      </c>
      <c r="D5" s="94">
        <v>21.0</v>
      </c>
      <c r="E5" s="92" t="s">
        <v>10</v>
      </c>
      <c r="F5" s="92" t="s">
        <v>15</v>
      </c>
      <c r="G5" s="92" t="s">
        <v>12</v>
      </c>
      <c r="H5" s="95">
        <v>1.0</v>
      </c>
      <c r="I5" s="96" t="s">
        <v>16</v>
      </c>
      <c r="J5" s="97"/>
    </row>
    <row r="6" ht="22.5" customHeight="1">
      <c r="A6" s="8">
        <v>45665.0</v>
      </c>
      <c r="B6" s="92" t="s">
        <v>17</v>
      </c>
      <c r="C6" s="93" t="s">
        <v>9</v>
      </c>
      <c r="D6" s="94">
        <v>10.0</v>
      </c>
      <c r="E6" s="92" t="s">
        <v>10</v>
      </c>
      <c r="F6" s="92" t="s">
        <v>11</v>
      </c>
      <c r="G6" s="92" t="s">
        <v>12</v>
      </c>
      <c r="H6" s="95">
        <v>1.0</v>
      </c>
      <c r="I6" s="96" t="s">
        <v>18</v>
      </c>
      <c r="J6" s="97"/>
    </row>
    <row r="7" ht="22.5" customHeight="1">
      <c r="A7" s="8">
        <v>45666.0</v>
      </c>
      <c r="B7" s="92" t="s">
        <v>19</v>
      </c>
      <c r="C7" s="93" t="s">
        <v>9</v>
      </c>
      <c r="D7" s="94">
        <v>7.0</v>
      </c>
      <c r="E7" s="92" t="s">
        <v>10</v>
      </c>
      <c r="F7" s="92" t="s">
        <v>15</v>
      </c>
      <c r="G7" s="92" t="s">
        <v>12</v>
      </c>
      <c r="H7" s="95">
        <v>1.0</v>
      </c>
      <c r="I7" s="96" t="s">
        <v>33</v>
      </c>
      <c r="J7" s="97"/>
    </row>
    <row r="8" ht="22.5" customHeight="1">
      <c r="A8" s="8">
        <v>45667.0</v>
      </c>
      <c r="B8" s="92" t="s">
        <v>19</v>
      </c>
      <c r="C8" s="93" t="s">
        <v>9</v>
      </c>
      <c r="D8" s="94">
        <v>7.0</v>
      </c>
      <c r="E8" s="92" t="s">
        <v>10</v>
      </c>
      <c r="F8" s="92" t="s">
        <v>11</v>
      </c>
      <c r="G8" s="92" t="s">
        <v>12</v>
      </c>
      <c r="H8" s="95">
        <v>1.0</v>
      </c>
      <c r="I8" s="96" t="s">
        <v>20</v>
      </c>
      <c r="J8" s="97"/>
    </row>
    <row r="9" ht="22.5" customHeight="1">
      <c r="A9" s="8">
        <v>45668.0</v>
      </c>
      <c r="B9" s="92" t="s">
        <v>17</v>
      </c>
      <c r="C9" s="93" t="s">
        <v>9</v>
      </c>
      <c r="D9" s="94">
        <v>9.0</v>
      </c>
      <c r="E9" s="92" t="s">
        <v>10</v>
      </c>
      <c r="F9" s="92" t="s">
        <v>11</v>
      </c>
      <c r="G9" s="92" t="s">
        <v>12</v>
      </c>
      <c r="H9" s="95">
        <v>1.0</v>
      </c>
      <c r="I9" s="92" t="s">
        <v>86</v>
      </c>
      <c r="J9" s="100"/>
    </row>
    <row r="10" ht="22.5" customHeight="1">
      <c r="A10" s="8">
        <v>45669.0</v>
      </c>
      <c r="B10" s="92" t="s">
        <v>8</v>
      </c>
      <c r="C10" s="93" t="s">
        <v>21</v>
      </c>
      <c r="D10" s="94">
        <v>15.0</v>
      </c>
      <c r="E10" s="92" t="s">
        <v>22</v>
      </c>
      <c r="F10" s="92" t="s">
        <v>15</v>
      </c>
      <c r="G10" s="92" t="s">
        <v>12</v>
      </c>
      <c r="H10" s="95">
        <v>1.0</v>
      </c>
      <c r="I10" s="96" t="s">
        <v>13</v>
      </c>
      <c r="J10" s="97"/>
    </row>
    <row r="11" ht="22.5" customHeight="1">
      <c r="A11" s="8">
        <v>45670.0</v>
      </c>
      <c r="B11" s="92" t="s">
        <v>8</v>
      </c>
      <c r="C11" s="93" t="s">
        <v>21</v>
      </c>
      <c r="D11" s="94">
        <v>14.0</v>
      </c>
      <c r="E11" s="92" t="s">
        <v>10</v>
      </c>
      <c r="F11" s="92" t="s">
        <v>11</v>
      </c>
      <c r="G11" s="92" t="s">
        <v>12</v>
      </c>
      <c r="H11" s="95">
        <v>1.0</v>
      </c>
      <c r="I11" s="96" t="s">
        <v>39</v>
      </c>
      <c r="J11" s="97"/>
    </row>
    <row r="12" ht="22.5" customHeight="1">
      <c r="A12" s="8">
        <v>45671.0</v>
      </c>
      <c r="B12" s="92" t="s">
        <v>8</v>
      </c>
      <c r="C12" s="93" t="s">
        <v>9</v>
      </c>
      <c r="D12" s="94">
        <v>14.0</v>
      </c>
      <c r="E12" s="92" t="s">
        <v>10</v>
      </c>
      <c r="F12" s="92" t="s">
        <v>11</v>
      </c>
      <c r="G12" s="92" t="s">
        <v>12</v>
      </c>
      <c r="H12" s="95">
        <v>1.0</v>
      </c>
      <c r="I12" s="96" t="s">
        <v>16</v>
      </c>
      <c r="J12" s="97"/>
    </row>
    <row r="13" ht="22.5" customHeight="1">
      <c r="A13" s="8">
        <v>45672.0</v>
      </c>
      <c r="B13" s="92" t="s">
        <v>23</v>
      </c>
      <c r="C13" s="93" t="s">
        <v>9</v>
      </c>
      <c r="D13" s="94">
        <v>18.0</v>
      </c>
      <c r="E13" s="92" t="s">
        <v>10</v>
      </c>
      <c r="F13" s="92" t="s">
        <v>15</v>
      </c>
      <c r="G13" s="92" t="s">
        <v>12</v>
      </c>
      <c r="H13" s="95">
        <v>1.0</v>
      </c>
      <c r="I13" s="96" t="s">
        <v>18</v>
      </c>
      <c r="J13" s="97"/>
    </row>
    <row r="14" ht="22.5" customHeight="1">
      <c r="A14" s="8">
        <v>45673.0</v>
      </c>
      <c r="B14" s="92" t="s">
        <v>23</v>
      </c>
      <c r="C14" s="93" t="s">
        <v>9</v>
      </c>
      <c r="D14" s="94">
        <v>20.0</v>
      </c>
      <c r="E14" s="92" t="s">
        <v>10</v>
      </c>
      <c r="F14" s="92" t="s">
        <v>15</v>
      </c>
      <c r="G14" s="92" t="s">
        <v>12</v>
      </c>
      <c r="H14" s="95">
        <v>1.0</v>
      </c>
      <c r="I14" s="96" t="s">
        <v>33</v>
      </c>
      <c r="J14" s="97"/>
    </row>
    <row r="15" ht="22.5" customHeight="1">
      <c r="A15" s="8">
        <v>45674.0</v>
      </c>
      <c r="B15" s="92" t="s">
        <v>14</v>
      </c>
      <c r="C15" s="93" t="s">
        <v>24</v>
      </c>
      <c r="D15" s="94">
        <v>25.0</v>
      </c>
      <c r="E15" s="92" t="s">
        <v>10</v>
      </c>
      <c r="F15" s="92" t="s">
        <v>11</v>
      </c>
      <c r="G15" s="92" t="s">
        <v>12</v>
      </c>
      <c r="H15" s="95">
        <v>1.0</v>
      </c>
      <c r="I15" s="96" t="s">
        <v>20</v>
      </c>
      <c r="J15" s="97"/>
    </row>
    <row r="16" ht="22.5" customHeight="1">
      <c r="A16" s="8">
        <v>45675.0</v>
      </c>
      <c r="B16" s="92" t="s">
        <v>17</v>
      </c>
      <c r="C16" s="93" t="s">
        <v>24</v>
      </c>
      <c r="D16" s="94">
        <v>11.0</v>
      </c>
      <c r="E16" s="92" t="s">
        <v>10</v>
      </c>
      <c r="F16" s="92" t="s">
        <v>11</v>
      </c>
      <c r="G16" s="92" t="s">
        <v>12</v>
      </c>
      <c r="H16" s="95">
        <v>1.0</v>
      </c>
      <c r="I16" s="96" t="s">
        <v>40</v>
      </c>
      <c r="J16" s="97"/>
    </row>
    <row r="17" ht="22.5" customHeight="1">
      <c r="A17" s="8">
        <v>45676.0</v>
      </c>
      <c r="B17" s="92" t="s">
        <v>17</v>
      </c>
      <c r="C17" s="93" t="s">
        <v>9</v>
      </c>
      <c r="D17" s="94">
        <v>8.0</v>
      </c>
      <c r="E17" s="92" t="s">
        <v>10</v>
      </c>
      <c r="F17" s="92" t="s">
        <v>11</v>
      </c>
      <c r="G17" s="92" t="s">
        <v>12</v>
      </c>
      <c r="H17" s="95">
        <v>1.0</v>
      </c>
      <c r="I17" s="96" t="s">
        <v>13</v>
      </c>
      <c r="J17" s="97"/>
    </row>
    <row r="18" ht="22.5" customHeight="1">
      <c r="A18" s="8">
        <v>45677.0</v>
      </c>
      <c r="B18" s="92" t="s">
        <v>8</v>
      </c>
      <c r="C18" s="93" t="s">
        <v>9</v>
      </c>
      <c r="D18" s="94">
        <v>14.0</v>
      </c>
      <c r="E18" s="92" t="s">
        <v>10</v>
      </c>
      <c r="F18" s="92" t="s">
        <v>11</v>
      </c>
      <c r="G18" s="92" t="s">
        <v>12</v>
      </c>
      <c r="H18" s="95">
        <v>1.0</v>
      </c>
      <c r="I18" s="96" t="s">
        <v>39</v>
      </c>
      <c r="J18" s="97"/>
    </row>
    <row r="19" ht="22.5" customHeight="1">
      <c r="A19" s="8">
        <v>45678.0</v>
      </c>
      <c r="B19" s="92" t="s">
        <v>8</v>
      </c>
      <c r="C19" s="93" t="s">
        <v>9</v>
      </c>
      <c r="D19" s="94">
        <v>14.0</v>
      </c>
      <c r="E19" s="92" t="s">
        <v>10</v>
      </c>
      <c r="F19" s="92" t="s">
        <v>15</v>
      </c>
      <c r="G19" s="92" t="s">
        <v>12</v>
      </c>
      <c r="H19" s="95">
        <v>1.0</v>
      </c>
      <c r="I19" s="96" t="s">
        <v>16</v>
      </c>
      <c r="J19" s="97"/>
    </row>
    <row r="20" ht="22.5" customHeight="1">
      <c r="A20" s="8">
        <v>45679.0</v>
      </c>
      <c r="B20" s="92" t="s">
        <v>25</v>
      </c>
      <c r="C20" s="93" t="s">
        <v>9</v>
      </c>
      <c r="D20" s="94">
        <v>30.0</v>
      </c>
      <c r="E20" s="92" t="s">
        <v>22</v>
      </c>
      <c r="F20" s="92" t="s">
        <v>11</v>
      </c>
      <c r="G20" s="92" t="s">
        <v>12</v>
      </c>
      <c r="H20" s="95">
        <v>1.0</v>
      </c>
      <c r="I20" s="96" t="s">
        <v>18</v>
      </c>
      <c r="J20" s="97"/>
    </row>
    <row r="21" ht="22.5" customHeight="1">
      <c r="A21" s="8">
        <v>45680.0</v>
      </c>
      <c r="B21" s="92" t="s">
        <v>14</v>
      </c>
      <c r="C21" s="93" t="s">
        <v>9</v>
      </c>
      <c r="D21" s="94">
        <v>24.0</v>
      </c>
      <c r="E21" s="92" t="s">
        <v>10</v>
      </c>
      <c r="F21" s="92" t="s">
        <v>15</v>
      </c>
      <c r="G21" s="92" t="s">
        <v>12</v>
      </c>
      <c r="H21" s="95">
        <v>1.0</v>
      </c>
      <c r="I21" s="96" t="s">
        <v>33</v>
      </c>
      <c r="J21" s="97"/>
    </row>
    <row r="22" ht="22.5" customHeight="1">
      <c r="A22" s="8">
        <v>45681.0</v>
      </c>
      <c r="B22" s="92" t="s">
        <v>8</v>
      </c>
      <c r="C22" s="93" t="s">
        <v>21</v>
      </c>
      <c r="D22" s="94">
        <v>14.0</v>
      </c>
      <c r="E22" s="92" t="s">
        <v>10</v>
      </c>
      <c r="F22" s="92" t="s">
        <v>11</v>
      </c>
      <c r="G22" s="92" t="s">
        <v>12</v>
      </c>
      <c r="H22" s="95">
        <v>1.0</v>
      </c>
      <c r="I22" s="96" t="s">
        <v>20</v>
      </c>
      <c r="J22" s="97"/>
    </row>
    <row r="23" ht="22.5" customHeight="1">
      <c r="A23" s="8">
        <v>45682.0</v>
      </c>
      <c r="B23" s="92" t="s">
        <v>19</v>
      </c>
      <c r="C23" s="93" t="s">
        <v>9</v>
      </c>
      <c r="D23" s="94">
        <v>7.0</v>
      </c>
      <c r="E23" s="92" t="s">
        <v>10</v>
      </c>
      <c r="F23" s="92" t="s">
        <v>11</v>
      </c>
      <c r="G23" s="92" t="s">
        <v>12</v>
      </c>
      <c r="H23" s="95">
        <v>1.0</v>
      </c>
      <c r="I23" s="96" t="s">
        <v>40</v>
      </c>
      <c r="J23" s="97"/>
    </row>
    <row r="24" ht="22.5" customHeight="1">
      <c r="A24" s="8">
        <v>45683.0</v>
      </c>
      <c r="B24" s="92" t="s">
        <v>19</v>
      </c>
      <c r="C24" s="93" t="s">
        <v>9</v>
      </c>
      <c r="D24" s="94">
        <v>7.0</v>
      </c>
      <c r="E24" s="92" t="s">
        <v>10</v>
      </c>
      <c r="F24" s="92" t="s">
        <v>15</v>
      </c>
      <c r="G24" s="92" t="s">
        <v>12</v>
      </c>
      <c r="H24" s="95">
        <v>1.0</v>
      </c>
      <c r="I24" s="96" t="s">
        <v>13</v>
      </c>
      <c r="J24" s="97"/>
    </row>
    <row r="25" ht="22.5" customHeight="1">
      <c r="A25" s="8">
        <v>45684.0</v>
      </c>
      <c r="B25" s="92" t="s">
        <v>8</v>
      </c>
      <c r="C25" s="93" t="s">
        <v>9</v>
      </c>
      <c r="D25" s="94">
        <v>14.0</v>
      </c>
      <c r="E25" s="92" t="s">
        <v>10</v>
      </c>
      <c r="F25" s="92" t="s">
        <v>11</v>
      </c>
      <c r="G25" s="92" t="s">
        <v>12</v>
      </c>
      <c r="H25" s="95">
        <v>1.0</v>
      </c>
      <c r="I25" s="96" t="s">
        <v>39</v>
      </c>
      <c r="J25" s="97"/>
    </row>
    <row r="26" ht="22.5" customHeight="1">
      <c r="A26" s="8">
        <v>45685.0</v>
      </c>
      <c r="B26" s="92" t="s">
        <v>8</v>
      </c>
      <c r="C26" s="93" t="s">
        <v>9</v>
      </c>
      <c r="D26" s="94">
        <v>16.0</v>
      </c>
      <c r="E26" s="92" t="s">
        <v>10</v>
      </c>
      <c r="F26" s="92" t="s">
        <v>11</v>
      </c>
      <c r="G26" s="92" t="s">
        <v>12</v>
      </c>
      <c r="H26" s="95">
        <v>1.0</v>
      </c>
      <c r="I26" s="96" t="s">
        <v>16</v>
      </c>
      <c r="J26" s="97"/>
    </row>
    <row r="27" ht="22.5" customHeight="1">
      <c r="A27" s="8">
        <v>45686.0</v>
      </c>
      <c r="B27" s="92" t="s">
        <v>17</v>
      </c>
      <c r="C27" s="93" t="s">
        <v>9</v>
      </c>
      <c r="D27" s="94">
        <v>9.0</v>
      </c>
      <c r="E27" s="92" t="s">
        <v>10</v>
      </c>
      <c r="F27" s="92" t="s">
        <v>11</v>
      </c>
      <c r="G27" s="92" t="s">
        <v>12</v>
      </c>
      <c r="H27" s="95">
        <v>1.0</v>
      </c>
      <c r="I27" s="96" t="s">
        <v>18</v>
      </c>
      <c r="J27" s="97"/>
    </row>
    <row r="28" ht="22.5" customHeight="1">
      <c r="A28" s="8">
        <v>45687.0</v>
      </c>
      <c r="B28" s="92" t="s">
        <v>26</v>
      </c>
      <c r="C28" s="93" t="s">
        <v>21</v>
      </c>
      <c r="D28" s="94">
        <v>27.0</v>
      </c>
      <c r="E28" s="92" t="s">
        <v>22</v>
      </c>
      <c r="F28" s="92" t="s">
        <v>15</v>
      </c>
      <c r="G28" s="92" t="s">
        <v>12</v>
      </c>
      <c r="H28" s="95">
        <v>1.0</v>
      </c>
      <c r="I28" s="96" t="s">
        <v>33</v>
      </c>
      <c r="J28" s="97"/>
      <c r="M28" s="14"/>
      <c r="N28" s="14"/>
      <c r="O28" s="14"/>
      <c r="P28" s="14"/>
    </row>
    <row r="29" ht="22.5" customHeight="1">
      <c r="A29" s="8">
        <v>45688.0</v>
      </c>
      <c r="B29" s="92" t="s">
        <v>26</v>
      </c>
      <c r="C29" s="93" t="s">
        <v>9</v>
      </c>
      <c r="D29" s="94">
        <v>21.0</v>
      </c>
      <c r="E29" s="92" t="s">
        <v>10</v>
      </c>
      <c r="F29" s="92" t="s">
        <v>15</v>
      </c>
      <c r="G29" s="92" t="s">
        <v>12</v>
      </c>
      <c r="H29" s="95">
        <v>1.0</v>
      </c>
      <c r="I29" s="96" t="s">
        <v>20</v>
      </c>
      <c r="J29" s="97"/>
      <c r="M29" s="14"/>
      <c r="N29" s="14"/>
      <c r="O29" s="14"/>
      <c r="P29" s="14"/>
    </row>
    <row r="30" ht="22.5" customHeight="1">
      <c r="A30" s="8">
        <v>45689.0</v>
      </c>
      <c r="B30" s="92" t="s">
        <v>17</v>
      </c>
      <c r="C30" s="93" t="s">
        <v>9</v>
      </c>
      <c r="D30" s="94">
        <v>10.0</v>
      </c>
      <c r="E30" s="92" t="s">
        <v>10</v>
      </c>
      <c r="F30" s="92" t="s">
        <v>11</v>
      </c>
      <c r="G30" s="92" t="s">
        <v>27</v>
      </c>
      <c r="H30" s="95">
        <v>2.0</v>
      </c>
      <c r="I30" s="96" t="s">
        <v>40</v>
      </c>
      <c r="J30" s="97"/>
      <c r="M30" s="14"/>
      <c r="N30" s="14"/>
      <c r="O30" s="14"/>
      <c r="P30" s="14"/>
    </row>
    <row r="31" ht="22.5" customHeight="1">
      <c r="A31" s="8">
        <v>45690.0</v>
      </c>
      <c r="B31" s="92" t="s">
        <v>8</v>
      </c>
      <c r="C31" s="93" t="s">
        <v>9</v>
      </c>
      <c r="D31" s="94">
        <v>14.0</v>
      </c>
      <c r="E31" s="92" t="s">
        <v>10</v>
      </c>
      <c r="F31" s="92" t="s">
        <v>11</v>
      </c>
      <c r="G31" s="92" t="s">
        <v>27</v>
      </c>
      <c r="H31" s="95">
        <v>2.0</v>
      </c>
      <c r="I31" s="96" t="s">
        <v>13</v>
      </c>
      <c r="J31" s="97"/>
      <c r="M31" s="14"/>
      <c r="N31" s="14"/>
      <c r="O31" s="14"/>
      <c r="P31" s="14"/>
    </row>
    <row r="32" ht="22.5" customHeight="1">
      <c r="A32" s="8">
        <v>45691.0</v>
      </c>
      <c r="B32" s="92" t="s">
        <v>8</v>
      </c>
      <c r="C32" s="93" t="s">
        <v>9</v>
      </c>
      <c r="D32" s="94">
        <v>14.0</v>
      </c>
      <c r="E32" s="92" t="s">
        <v>10</v>
      </c>
      <c r="F32" s="92" t="s">
        <v>11</v>
      </c>
      <c r="G32" s="92" t="s">
        <v>27</v>
      </c>
      <c r="H32" s="95">
        <v>2.0</v>
      </c>
      <c r="I32" s="96" t="s">
        <v>39</v>
      </c>
      <c r="J32" s="97"/>
      <c r="M32" s="14"/>
      <c r="N32" s="14"/>
      <c r="O32" s="14"/>
      <c r="P32" s="14"/>
    </row>
    <row r="33" ht="22.5" customHeight="1">
      <c r="A33" s="8">
        <v>45692.0</v>
      </c>
      <c r="B33" s="92" t="s">
        <v>17</v>
      </c>
      <c r="C33" s="93" t="s">
        <v>24</v>
      </c>
      <c r="D33" s="94">
        <v>12.0</v>
      </c>
      <c r="E33" s="92" t="s">
        <v>10</v>
      </c>
      <c r="F33" s="92" t="s">
        <v>11</v>
      </c>
      <c r="G33" s="92" t="s">
        <v>27</v>
      </c>
      <c r="H33" s="95">
        <v>2.0</v>
      </c>
      <c r="I33" s="96" t="s">
        <v>16</v>
      </c>
      <c r="J33" s="97"/>
      <c r="M33" s="14"/>
      <c r="N33" s="14"/>
      <c r="O33" s="14"/>
      <c r="P33" s="14"/>
    </row>
    <row r="34" ht="22.5" customHeight="1">
      <c r="A34" s="8">
        <v>45693.0</v>
      </c>
      <c r="B34" s="92" t="s">
        <v>8</v>
      </c>
      <c r="C34" s="93" t="s">
        <v>9</v>
      </c>
      <c r="D34" s="94">
        <v>14.0</v>
      </c>
      <c r="E34" s="92" t="s">
        <v>10</v>
      </c>
      <c r="F34" s="92" t="s">
        <v>15</v>
      </c>
      <c r="G34" s="92" t="s">
        <v>27</v>
      </c>
      <c r="H34" s="95">
        <v>2.0</v>
      </c>
      <c r="I34" s="96" t="s">
        <v>18</v>
      </c>
      <c r="J34" s="97"/>
      <c r="M34" s="14"/>
      <c r="N34" s="14"/>
      <c r="O34" s="14"/>
      <c r="P34" s="14"/>
    </row>
    <row r="35" ht="22.5" customHeight="1">
      <c r="A35" s="8">
        <v>45694.0</v>
      </c>
      <c r="B35" s="92" t="s">
        <v>14</v>
      </c>
      <c r="C35" s="93" t="s">
        <v>24</v>
      </c>
      <c r="D35" s="94">
        <v>21.0</v>
      </c>
      <c r="E35" s="92" t="s">
        <v>10</v>
      </c>
      <c r="F35" s="92" t="s">
        <v>15</v>
      </c>
      <c r="G35" s="92" t="s">
        <v>27</v>
      </c>
      <c r="H35" s="95">
        <v>2.0</v>
      </c>
      <c r="I35" s="96" t="s">
        <v>33</v>
      </c>
      <c r="J35" s="97"/>
      <c r="M35" s="14"/>
      <c r="N35" s="14"/>
      <c r="O35" s="14"/>
      <c r="P35" s="14"/>
    </row>
    <row r="36" ht="22.5" customHeight="1">
      <c r="A36" s="8">
        <v>45695.0</v>
      </c>
      <c r="B36" s="92" t="s">
        <v>14</v>
      </c>
      <c r="C36" s="93" t="s">
        <v>9</v>
      </c>
      <c r="D36" s="94">
        <v>28.0</v>
      </c>
      <c r="E36" s="92" t="s">
        <v>22</v>
      </c>
      <c r="F36" s="92" t="s">
        <v>11</v>
      </c>
      <c r="G36" s="92" t="s">
        <v>27</v>
      </c>
      <c r="H36" s="95">
        <v>2.0</v>
      </c>
      <c r="I36" s="96" t="s">
        <v>20</v>
      </c>
      <c r="J36" s="97"/>
      <c r="M36" s="14"/>
      <c r="N36" s="14"/>
      <c r="O36" s="14"/>
      <c r="P36" s="14"/>
    </row>
    <row r="37" ht="22.5" customHeight="1">
      <c r="A37" s="8">
        <v>45696.0</v>
      </c>
      <c r="B37" s="92" t="s">
        <v>19</v>
      </c>
      <c r="C37" s="93" t="s">
        <v>9</v>
      </c>
      <c r="D37" s="94">
        <v>7.0</v>
      </c>
      <c r="E37" s="92" t="s">
        <v>10</v>
      </c>
      <c r="F37" s="92" t="s">
        <v>11</v>
      </c>
      <c r="G37" s="92" t="s">
        <v>27</v>
      </c>
      <c r="H37" s="95">
        <v>2.0</v>
      </c>
      <c r="I37" s="96" t="s">
        <v>40</v>
      </c>
      <c r="J37" s="97"/>
      <c r="M37" s="14"/>
      <c r="N37" s="14"/>
      <c r="O37" s="14"/>
      <c r="P37" s="14"/>
    </row>
    <row r="38" ht="22.5" customHeight="1">
      <c r="A38" s="8">
        <v>45697.0</v>
      </c>
      <c r="B38" s="92" t="s">
        <v>19</v>
      </c>
      <c r="C38" s="93" t="s">
        <v>9</v>
      </c>
      <c r="D38" s="94">
        <v>7.0</v>
      </c>
      <c r="E38" s="92" t="s">
        <v>10</v>
      </c>
      <c r="F38" s="92" t="s">
        <v>11</v>
      </c>
      <c r="G38" s="92" t="s">
        <v>27</v>
      </c>
      <c r="H38" s="95">
        <v>2.0</v>
      </c>
      <c r="I38" s="96" t="s">
        <v>13</v>
      </c>
      <c r="J38" s="97"/>
    </row>
    <row r="39" ht="22.5" customHeight="1">
      <c r="A39" s="8">
        <v>45698.0</v>
      </c>
      <c r="B39" s="92" t="s">
        <v>8</v>
      </c>
      <c r="C39" s="93" t="s">
        <v>9</v>
      </c>
      <c r="D39" s="94">
        <v>14.0</v>
      </c>
      <c r="E39" s="92" t="s">
        <v>10</v>
      </c>
      <c r="F39" s="92" t="s">
        <v>11</v>
      </c>
      <c r="G39" s="92" t="s">
        <v>27</v>
      </c>
      <c r="H39" s="95">
        <v>2.0</v>
      </c>
      <c r="I39" s="96" t="s">
        <v>39</v>
      </c>
      <c r="J39" s="97"/>
    </row>
    <row r="40" ht="22.5" customHeight="1">
      <c r="A40" s="8">
        <v>45699.0</v>
      </c>
      <c r="B40" s="92" t="s">
        <v>8</v>
      </c>
      <c r="C40" s="93" t="s">
        <v>21</v>
      </c>
      <c r="D40" s="94">
        <v>14.0</v>
      </c>
      <c r="E40" s="92" t="s">
        <v>10</v>
      </c>
      <c r="F40" s="92" t="s">
        <v>15</v>
      </c>
      <c r="G40" s="92" t="s">
        <v>27</v>
      </c>
      <c r="H40" s="95">
        <v>2.0</v>
      </c>
      <c r="I40" s="96" t="s">
        <v>16</v>
      </c>
      <c r="J40" s="97"/>
      <c r="L40" s="101"/>
      <c r="M40" s="102"/>
      <c r="N40" s="102"/>
      <c r="O40" s="102"/>
      <c r="P40" s="103"/>
      <c r="Q40" s="103"/>
      <c r="R40" s="103"/>
      <c r="S40" s="103"/>
      <c r="T40" s="103"/>
      <c r="U40" s="103"/>
      <c r="V40" s="103"/>
      <c r="W40" s="103"/>
      <c r="X40" s="103"/>
      <c r="Y40" s="103"/>
    </row>
    <row r="41" ht="22.5" customHeight="1">
      <c r="A41" s="8">
        <v>45700.0</v>
      </c>
      <c r="B41" s="92" t="s">
        <v>17</v>
      </c>
      <c r="C41" s="93" t="s">
        <v>9</v>
      </c>
      <c r="D41" s="94">
        <v>10.0</v>
      </c>
      <c r="E41" s="92" t="s">
        <v>10</v>
      </c>
      <c r="F41" s="92" t="s">
        <v>11</v>
      </c>
      <c r="G41" s="92" t="s">
        <v>27</v>
      </c>
      <c r="H41" s="95">
        <v>2.0</v>
      </c>
      <c r="I41" s="96" t="s">
        <v>18</v>
      </c>
      <c r="J41" s="97"/>
      <c r="L41" s="101"/>
      <c r="M41" s="102"/>
      <c r="N41" s="102"/>
      <c r="O41" s="102"/>
      <c r="P41" s="102"/>
      <c r="Q41" s="102"/>
      <c r="R41" s="102"/>
      <c r="S41" s="102"/>
      <c r="T41" s="102"/>
      <c r="U41" s="102"/>
      <c r="V41" s="102"/>
      <c r="W41" s="104"/>
      <c r="X41" s="102"/>
      <c r="Y41" s="102"/>
    </row>
    <row r="42" ht="22.5" customHeight="1">
      <c r="A42" s="8">
        <v>45701.0</v>
      </c>
      <c r="B42" s="92" t="s">
        <v>17</v>
      </c>
      <c r="C42" s="93" t="s">
        <v>9</v>
      </c>
      <c r="D42" s="94">
        <v>12.0</v>
      </c>
      <c r="E42" s="92" t="s">
        <v>10</v>
      </c>
      <c r="F42" s="92" t="s">
        <v>15</v>
      </c>
      <c r="G42" s="92" t="s">
        <v>27</v>
      </c>
      <c r="H42" s="95">
        <v>2.0</v>
      </c>
      <c r="I42" s="96" t="s">
        <v>33</v>
      </c>
      <c r="J42" s="97"/>
      <c r="L42" s="101"/>
      <c r="M42" s="102"/>
      <c r="N42" s="102"/>
      <c r="O42" s="102"/>
      <c r="P42" s="102"/>
      <c r="Q42" s="102"/>
      <c r="R42" s="102"/>
      <c r="S42" s="102"/>
      <c r="T42" s="102"/>
      <c r="U42" s="102"/>
      <c r="V42" s="102"/>
      <c r="W42" s="104"/>
      <c r="X42" s="102"/>
      <c r="Y42" s="102"/>
    </row>
    <row r="43" ht="22.5" customHeight="1">
      <c r="A43" s="8">
        <v>45702.0</v>
      </c>
      <c r="B43" s="92" t="s">
        <v>8</v>
      </c>
      <c r="C43" s="93" t="s">
        <v>9</v>
      </c>
      <c r="D43" s="94">
        <v>14.0</v>
      </c>
      <c r="E43" s="92" t="s">
        <v>10</v>
      </c>
      <c r="F43" s="92" t="s">
        <v>11</v>
      </c>
      <c r="G43" s="92" t="s">
        <v>27</v>
      </c>
      <c r="H43" s="95">
        <v>2.0</v>
      </c>
      <c r="I43" s="96" t="s">
        <v>20</v>
      </c>
      <c r="J43" s="97"/>
      <c r="L43" s="101"/>
      <c r="M43" s="102"/>
      <c r="N43" s="102"/>
      <c r="O43" s="102"/>
      <c r="P43" s="102"/>
      <c r="Q43" s="102"/>
      <c r="R43" s="102"/>
      <c r="S43" s="102"/>
      <c r="T43" s="102"/>
      <c r="U43" s="102"/>
      <c r="V43" s="102"/>
      <c r="W43" s="104"/>
      <c r="X43" s="102"/>
      <c r="Y43" s="102"/>
    </row>
    <row r="44" ht="22.5" customHeight="1">
      <c r="A44" s="8">
        <v>45703.0</v>
      </c>
      <c r="B44" s="92" t="s">
        <v>8</v>
      </c>
      <c r="C44" s="93" t="s">
        <v>21</v>
      </c>
      <c r="D44" s="94">
        <v>15.0</v>
      </c>
      <c r="E44" s="92" t="s">
        <v>10</v>
      </c>
      <c r="F44" s="92" t="s">
        <v>11</v>
      </c>
      <c r="G44" s="92" t="s">
        <v>27</v>
      </c>
      <c r="H44" s="95">
        <v>2.0</v>
      </c>
      <c r="I44" s="96" t="s">
        <v>40</v>
      </c>
      <c r="J44" s="97"/>
      <c r="L44" s="101"/>
      <c r="M44" s="102"/>
      <c r="N44" s="102"/>
      <c r="O44" s="102"/>
      <c r="P44" s="102"/>
      <c r="Q44" s="102"/>
      <c r="R44" s="102"/>
      <c r="S44" s="102"/>
      <c r="T44" s="102"/>
      <c r="U44" s="102"/>
      <c r="V44" s="102"/>
      <c r="W44" s="104"/>
      <c r="X44" s="102"/>
      <c r="Y44" s="102"/>
    </row>
    <row r="45" ht="22.5" customHeight="1">
      <c r="A45" s="8">
        <v>45704.0</v>
      </c>
      <c r="B45" s="92" t="s">
        <v>23</v>
      </c>
      <c r="C45" s="93" t="s">
        <v>9</v>
      </c>
      <c r="D45" s="94">
        <v>21.0</v>
      </c>
      <c r="E45" s="92" t="s">
        <v>10</v>
      </c>
      <c r="F45" s="92" t="s">
        <v>15</v>
      </c>
      <c r="G45" s="92" t="s">
        <v>27</v>
      </c>
      <c r="H45" s="95">
        <v>2.0</v>
      </c>
      <c r="I45" s="96" t="s">
        <v>13</v>
      </c>
      <c r="J45" s="97"/>
      <c r="L45" s="101"/>
      <c r="M45" s="102"/>
      <c r="N45" s="102"/>
      <c r="O45" s="102"/>
      <c r="P45" s="102"/>
      <c r="Q45" s="102"/>
      <c r="R45" s="102"/>
      <c r="S45" s="102"/>
      <c r="T45" s="102"/>
      <c r="U45" s="102"/>
      <c r="V45" s="102"/>
      <c r="W45" s="104"/>
      <c r="X45" s="102"/>
      <c r="Y45" s="102"/>
    </row>
    <row r="46" ht="22.5" customHeight="1">
      <c r="A46" s="8">
        <v>45705.0</v>
      </c>
      <c r="B46" s="92" t="s">
        <v>23</v>
      </c>
      <c r="C46" s="93" t="s">
        <v>9</v>
      </c>
      <c r="D46" s="94">
        <v>19.0</v>
      </c>
      <c r="E46" s="92" t="s">
        <v>10</v>
      </c>
      <c r="F46" s="92" t="s">
        <v>11</v>
      </c>
      <c r="G46" s="92" t="s">
        <v>27</v>
      </c>
      <c r="H46" s="95">
        <v>2.0</v>
      </c>
      <c r="I46" s="96" t="s">
        <v>39</v>
      </c>
      <c r="J46" s="97"/>
      <c r="L46" s="101"/>
      <c r="M46" s="102"/>
      <c r="N46" s="102"/>
      <c r="O46" s="102"/>
      <c r="P46" s="102"/>
      <c r="Q46" s="102"/>
      <c r="R46" s="102"/>
      <c r="S46" s="102"/>
      <c r="T46" s="102"/>
      <c r="U46" s="102"/>
      <c r="V46" s="102"/>
      <c r="W46" s="104"/>
      <c r="X46" s="102"/>
      <c r="Y46" s="102"/>
    </row>
    <row r="47" ht="22.5" customHeight="1">
      <c r="A47" s="8">
        <v>45706.0</v>
      </c>
      <c r="B47" s="92" t="s">
        <v>14</v>
      </c>
      <c r="C47" s="93" t="s">
        <v>9</v>
      </c>
      <c r="D47" s="94">
        <v>23.0</v>
      </c>
      <c r="E47" s="92" t="s">
        <v>10</v>
      </c>
      <c r="F47" s="92" t="s">
        <v>11</v>
      </c>
      <c r="G47" s="92" t="s">
        <v>27</v>
      </c>
      <c r="H47" s="95">
        <v>2.0</v>
      </c>
      <c r="I47" s="96" t="s">
        <v>16</v>
      </c>
      <c r="J47" s="97"/>
      <c r="L47" s="101"/>
      <c r="M47" s="102"/>
      <c r="N47" s="102"/>
      <c r="O47" s="102"/>
      <c r="P47" s="102"/>
      <c r="Q47" s="102"/>
      <c r="R47" s="102"/>
      <c r="S47" s="102"/>
      <c r="T47" s="102"/>
      <c r="U47" s="102"/>
      <c r="V47" s="102"/>
      <c r="W47" s="104"/>
      <c r="X47" s="102"/>
      <c r="Y47" s="102"/>
    </row>
    <row r="48" ht="22.5" customHeight="1">
      <c r="A48" s="8">
        <v>45707.0</v>
      </c>
      <c r="B48" s="92" t="s">
        <v>8</v>
      </c>
      <c r="C48" s="93" t="s">
        <v>9</v>
      </c>
      <c r="D48" s="94">
        <v>15.0</v>
      </c>
      <c r="E48" s="92" t="s">
        <v>10</v>
      </c>
      <c r="F48" s="92" t="s">
        <v>11</v>
      </c>
      <c r="G48" s="92" t="s">
        <v>27</v>
      </c>
      <c r="H48" s="95">
        <v>2.0</v>
      </c>
      <c r="I48" s="96" t="s">
        <v>18</v>
      </c>
      <c r="J48" s="97"/>
      <c r="L48" s="101"/>
      <c r="M48" s="102"/>
      <c r="N48" s="102"/>
      <c r="O48" s="102"/>
      <c r="P48" s="102"/>
      <c r="Q48" s="102"/>
      <c r="R48" s="102"/>
      <c r="S48" s="102"/>
      <c r="T48" s="102"/>
      <c r="U48" s="102"/>
      <c r="V48" s="102"/>
      <c r="W48" s="104"/>
      <c r="X48" s="102"/>
      <c r="Y48" s="102"/>
    </row>
    <row r="49" ht="22.5" customHeight="1">
      <c r="A49" s="8">
        <v>45708.0</v>
      </c>
      <c r="B49" s="92" t="s">
        <v>14</v>
      </c>
      <c r="C49" s="93" t="s">
        <v>9</v>
      </c>
      <c r="D49" s="94">
        <v>22.0</v>
      </c>
      <c r="E49" s="92" t="s">
        <v>10</v>
      </c>
      <c r="F49" s="92" t="s">
        <v>15</v>
      </c>
      <c r="G49" s="92" t="s">
        <v>27</v>
      </c>
      <c r="H49" s="95">
        <v>2.0</v>
      </c>
      <c r="I49" s="96" t="s">
        <v>33</v>
      </c>
      <c r="J49" s="97"/>
      <c r="L49" s="101"/>
      <c r="M49" s="102"/>
      <c r="N49" s="102"/>
      <c r="O49" s="102"/>
      <c r="P49" s="102"/>
      <c r="Q49" s="102"/>
      <c r="R49" s="102"/>
      <c r="S49" s="102"/>
      <c r="T49" s="102"/>
      <c r="U49" s="102"/>
      <c r="V49" s="102"/>
      <c r="W49" s="104"/>
      <c r="X49" s="102"/>
      <c r="Y49" s="102"/>
    </row>
    <row r="50" ht="22.5" customHeight="1">
      <c r="A50" s="8">
        <v>45709.0</v>
      </c>
      <c r="B50" s="92" t="s">
        <v>17</v>
      </c>
      <c r="C50" s="93" t="s">
        <v>9</v>
      </c>
      <c r="D50" s="94">
        <v>11.0</v>
      </c>
      <c r="E50" s="92" t="s">
        <v>10</v>
      </c>
      <c r="F50" s="92" t="s">
        <v>15</v>
      </c>
      <c r="G50" s="92" t="s">
        <v>27</v>
      </c>
      <c r="H50" s="95">
        <v>2.0</v>
      </c>
      <c r="I50" s="96" t="s">
        <v>20</v>
      </c>
      <c r="J50" s="97"/>
      <c r="L50" s="101"/>
      <c r="M50" s="102"/>
      <c r="N50" s="102"/>
      <c r="O50" s="102"/>
      <c r="P50" s="102"/>
      <c r="Q50" s="102"/>
      <c r="R50" s="102"/>
      <c r="S50" s="102"/>
      <c r="T50" s="102"/>
      <c r="U50" s="102"/>
      <c r="V50" s="102"/>
      <c r="W50" s="104"/>
      <c r="X50" s="102"/>
      <c r="Y50" s="102"/>
    </row>
    <row r="51" ht="22.5" customHeight="1">
      <c r="A51" s="8">
        <v>45710.0</v>
      </c>
      <c r="B51" s="92" t="s">
        <v>8</v>
      </c>
      <c r="C51" s="93" t="s">
        <v>9</v>
      </c>
      <c r="D51" s="94">
        <v>14.0</v>
      </c>
      <c r="E51" s="92" t="s">
        <v>10</v>
      </c>
      <c r="F51" s="92" t="s">
        <v>11</v>
      </c>
      <c r="G51" s="92" t="s">
        <v>27</v>
      </c>
      <c r="H51" s="95">
        <v>2.0</v>
      </c>
      <c r="I51" s="96" t="s">
        <v>40</v>
      </c>
      <c r="J51" s="97"/>
    </row>
    <row r="52" ht="22.5" customHeight="1">
      <c r="A52" s="8">
        <v>45711.0</v>
      </c>
      <c r="B52" s="92" t="s">
        <v>8</v>
      </c>
      <c r="C52" s="93" t="s">
        <v>24</v>
      </c>
      <c r="D52" s="94">
        <v>14.0</v>
      </c>
      <c r="E52" s="92" t="s">
        <v>10</v>
      </c>
      <c r="F52" s="92" t="s">
        <v>11</v>
      </c>
      <c r="G52" s="92" t="s">
        <v>27</v>
      </c>
      <c r="H52" s="95">
        <v>2.0</v>
      </c>
      <c r="I52" s="96" t="s">
        <v>13</v>
      </c>
      <c r="J52" s="97"/>
    </row>
    <row r="53" ht="22.5" customHeight="1">
      <c r="A53" s="8">
        <v>45712.0</v>
      </c>
      <c r="B53" s="92" t="s">
        <v>19</v>
      </c>
      <c r="C53" s="93" t="s">
        <v>9</v>
      </c>
      <c r="D53" s="94">
        <v>7.0</v>
      </c>
      <c r="E53" s="92" t="s">
        <v>10</v>
      </c>
      <c r="F53" s="92" t="s">
        <v>11</v>
      </c>
      <c r="G53" s="92" t="s">
        <v>27</v>
      </c>
      <c r="H53" s="95">
        <v>2.0</v>
      </c>
      <c r="I53" s="96" t="s">
        <v>39</v>
      </c>
      <c r="J53" s="97"/>
    </row>
    <row r="54" ht="22.5" customHeight="1">
      <c r="A54" s="8">
        <v>45713.0</v>
      </c>
      <c r="B54" s="92" t="s">
        <v>19</v>
      </c>
      <c r="C54" s="93" t="s">
        <v>9</v>
      </c>
      <c r="D54" s="94">
        <v>7.0</v>
      </c>
      <c r="E54" s="92" t="s">
        <v>10</v>
      </c>
      <c r="F54" s="92" t="s">
        <v>11</v>
      </c>
      <c r="G54" s="92" t="s">
        <v>27</v>
      </c>
      <c r="H54" s="95">
        <v>2.0</v>
      </c>
      <c r="I54" s="96" t="s">
        <v>16</v>
      </c>
      <c r="J54" s="97"/>
    </row>
    <row r="55" ht="22.5" customHeight="1">
      <c r="A55" s="8">
        <v>45714.0</v>
      </c>
      <c r="B55" s="92" t="s">
        <v>26</v>
      </c>
      <c r="C55" s="93" t="s">
        <v>21</v>
      </c>
      <c r="D55" s="94">
        <v>25.0</v>
      </c>
      <c r="E55" s="92" t="s">
        <v>10</v>
      </c>
      <c r="F55" s="92" t="s">
        <v>15</v>
      </c>
      <c r="G55" s="92" t="s">
        <v>27</v>
      </c>
      <c r="H55" s="95">
        <v>2.0</v>
      </c>
      <c r="I55" s="96" t="s">
        <v>18</v>
      </c>
      <c r="J55" s="97"/>
    </row>
    <row r="56" ht="22.5" customHeight="1">
      <c r="A56" s="8">
        <v>45715.0</v>
      </c>
      <c r="B56" s="92" t="s">
        <v>17</v>
      </c>
      <c r="C56" s="93" t="s">
        <v>24</v>
      </c>
      <c r="D56" s="94">
        <v>10.0</v>
      </c>
      <c r="E56" s="92" t="s">
        <v>10</v>
      </c>
      <c r="F56" s="92" t="s">
        <v>15</v>
      </c>
      <c r="G56" s="92" t="s">
        <v>27</v>
      </c>
      <c r="H56" s="95">
        <v>2.0</v>
      </c>
      <c r="I56" s="96" t="s">
        <v>33</v>
      </c>
      <c r="J56" s="97"/>
    </row>
    <row r="57" ht="22.5" customHeight="1">
      <c r="A57" s="8">
        <v>45716.0</v>
      </c>
      <c r="B57" s="92" t="s">
        <v>8</v>
      </c>
      <c r="C57" s="93" t="s">
        <v>9</v>
      </c>
      <c r="D57" s="94">
        <v>14.0</v>
      </c>
      <c r="E57" s="92" t="s">
        <v>10</v>
      </c>
      <c r="F57" s="92" t="s">
        <v>11</v>
      </c>
      <c r="G57" s="92" t="s">
        <v>27</v>
      </c>
      <c r="H57" s="95">
        <v>2.0</v>
      </c>
      <c r="I57" s="96" t="s">
        <v>20</v>
      </c>
      <c r="J57" s="97"/>
    </row>
    <row r="58" ht="22.5" customHeight="1">
      <c r="A58" s="8">
        <v>45717.0</v>
      </c>
      <c r="B58" s="92" t="s">
        <v>8</v>
      </c>
      <c r="C58" s="93" t="s">
        <v>9</v>
      </c>
      <c r="D58" s="94">
        <v>14.0</v>
      </c>
      <c r="E58" s="92" t="s">
        <v>10</v>
      </c>
      <c r="F58" s="92" t="s">
        <v>11</v>
      </c>
      <c r="G58" s="92" t="s">
        <v>28</v>
      </c>
      <c r="H58" s="95">
        <v>3.0</v>
      </c>
      <c r="I58" s="96" t="s">
        <v>40</v>
      </c>
      <c r="J58" s="97"/>
    </row>
    <row r="59" ht="22.5" customHeight="1">
      <c r="A59" s="8">
        <v>45718.0</v>
      </c>
      <c r="B59" s="92" t="s">
        <v>17</v>
      </c>
      <c r="C59" s="93" t="s">
        <v>9</v>
      </c>
      <c r="D59" s="94">
        <v>9.0</v>
      </c>
      <c r="E59" s="92" t="s">
        <v>10</v>
      </c>
      <c r="F59" s="92" t="s">
        <v>11</v>
      </c>
      <c r="G59" s="92" t="s">
        <v>28</v>
      </c>
      <c r="H59" s="95">
        <v>3.0</v>
      </c>
      <c r="I59" s="96" t="s">
        <v>13</v>
      </c>
      <c r="J59" s="97"/>
    </row>
    <row r="60" ht="22.5" customHeight="1">
      <c r="A60" s="8">
        <v>45719.0</v>
      </c>
      <c r="B60" s="92" t="s">
        <v>14</v>
      </c>
      <c r="C60" s="93" t="s">
        <v>9</v>
      </c>
      <c r="D60" s="94">
        <v>23.0</v>
      </c>
      <c r="E60" s="92" t="s">
        <v>10</v>
      </c>
      <c r="F60" s="92" t="s">
        <v>11</v>
      </c>
      <c r="G60" s="92" t="s">
        <v>28</v>
      </c>
      <c r="H60" s="95">
        <v>3.0</v>
      </c>
      <c r="I60" s="96" t="s">
        <v>39</v>
      </c>
      <c r="J60" s="97"/>
    </row>
    <row r="61" ht="22.5" customHeight="1">
      <c r="A61" s="8">
        <v>45720.0</v>
      </c>
      <c r="B61" s="92" t="s">
        <v>8</v>
      </c>
      <c r="C61" s="93" t="s">
        <v>9</v>
      </c>
      <c r="D61" s="94">
        <v>14.0</v>
      </c>
      <c r="E61" s="92" t="s">
        <v>10</v>
      </c>
      <c r="F61" s="92" t="s">
        <v>15</v>
      </c>
      <c r="G61" s="92" t="s">
        <v>28</v>
      </c>
      <c r="H61" s="95">
        <v>3.0</v>
      </c>
      <c r="I61" s="96" t="s">
        <v>16</v>
      </c>
      <c r="J61" s="97"/>
    </row>
    <row r="62" ht="22.5" customHeight="1">
      <c r="A62" s="8">
        <v>45721.0</v>
      </c>
      <c r="B62" s="92" t="s">
        <v>14</v>
      </c>
      <c r="C62" s="93" t="s">
        <v>9</v>
      </c>
      <c r="D62" s="94">
        <v>22.0</v>
      </c>
      <c r="E62" s="92" t="s">
        <v>10</v>
      </c>
      <c r="F62" s="92" t="s">
        <v>11</v>
      </c>
      <c r="G62" s="92" t="s">
        <v>28</v>
      </c>
      <c r="H62" s="95">
        <v>3.0</v>
      </c>
      <c r="I62" s="96" t="s">
        <v>18</v>
      </c>
      <c r="J62" s="97"/>
    </row>
    <row r="63" ht="22.5" customHeight="1">
      <c r="A63" s="8">
        <v>45722.0</v>
      </c>
      <c r="B63" s="92" t="s">
        <v>8</v>
      </c>
      <c r="C63" s="93" t="s">
        <v>9</v>
      </c>
      <c r="D63" s="94">
        <v>14.0</v>
      </c>
      <c r="E63" s="92" t="s">
        <v>10</v>
      </c>
      <c r="F63" s="92" t="s">
        <v>15</v>
      </c>
      <c r="G63" s="92" t="s">
        <v>28</v>
      </c>
      <c r="H63" s="95">
        <v>3.0</v>
      </c>
      <c r="I63" s="96" t="s">
        <v>33</v>
      </c>
      <c r="J63" s="97"/>
    </row>
    <row r="64" ht="22.5" customHeight="1">
      <c r="A64" s="8">
        <v>45723.0</v>
      </c>
      <c r="B64" s="92" t="s">
        <v>8</v>
      </c>
      <c r="C64" s="93" t="s">
        <v>21</v>
      </c>
      <c r="D64" s="94">
        <v>17.0</v>
      </c>
      <c r="E64" s="92" t="s">
        <v>22</v>
      </c>
      <c r="F64" s="92" t="s">
        <v>11</v>
      </c>
      <c r="G64" s="92" t="s">
        <v>28</v>
      </c>
      <c r="H64" s="95">
        <v>3.0</v>
      </c>
      <c r="I64" s="96" t="s">
        <v>20</v>
      </c>
      <c r="J64" s="97"/>
    </row>
    <row r="65" ht="22.5" customHeight="1">
      <c r="A65" s="8">
        <v>45724.0</v>
      </c>
      <c r="B65" s="92" t="s">
        <v>19</v>
      </c>
      <c r="C65" s="93" t="s">
        <v>9</v>
      </c>
      <c r="D65" s="94">
        <v>7.0</v>
      </c>
      <c r="E65" s="92" t="s">
        <v>10</v>
      </c>
      <c r="F65" s="92" t="s">
        <v>11</v>
      </c>
      <c r="G65" s="92" t="s">
        <v>28</v>
      </c>
      <c r="H65" s="95">
        <v>3.0</v>
      </c>
      <c r="I65" s="96" t="s">
        <v>40</v>
      </c>
      <c r="J65" s="97"/>
    </row>
    <row r="66" ht="22.5" customHeight="1">
      <c r="A66" s="8">
        <v>45725.0</v>
      </c>
      <c r="B66" s="92" t="s">
        <v>19</v>
      </c>
      <c r="C66" s="93" t="s">
        <v>9</v>
      </c>
      <c r="D66" s="94">
        <v>7.0</v>
      </c>
      <c r="E66" s="92" t="s">
        <v>10</v>
      </c>
      <c r="F66" s="92" t="s">
        <v>15</v>
      </c>
      <c r="G66" s="92" t="s">
        <v>28</v>
      </c>
      <c r="H66" s="95">
        <v>3.0</v>
      </c>
      <c r="I66" s="96" t="s">
        <v>13</v>
      </c>
      <c r="J66" s="97"/>
    </row>
    <row r="67" ht="22.5" customHeight="1">
      <c r="A67" s="8">
        <v>45726.0</v>
      </c>
      <c r="B67" s="92" t="s">
        <v>17</v>
      </c>
      <c r="C67" s="93" t="s">
        <v>9</v>
      </c>
      <c r="D67" s="94">
        <v>11.0</v>
      </c>
      <c r="E67" s="92" t="s">
        <v>10</v>
      </c>
      <c r="F67" s="92" t="s">
        <v>11</v>
      </c>
      <c r="G67" s="92" t="s">
        <v>28</v>
      </c>
      <c r="H67" s="95">
        <v>3.0</v>
      </c>
      <c r="I67" s="96" t="s">
        <v>39</v>
      </c>
      <c r="J67" s="97"/>
    </row>
    <row r="68" ht="22.5" customHeight="1">
      <c r="A68" s="8">
        <v>45727.0</v>
      </c>
      <c r="B68" s="92" t="s">
        <v>17</v>
      </c>
      <c r="C68" s="93" t="s">
        <v>24</v>
      </c>
      <c r="D68" s="94">
        <v>10.0</v>
      </c>
      <c r="E68" s="92" t="s">
        <v>10</v>
      </c>
      <c r="F68" s="92" t="s">
        <v>11</v>
      </c>
      <c r="G68" s="92" t="s">
        <v>28</v>
      </c>
      <c r="H68" s="95">
        <v>3.0</v>
      </c>
      <c r="I68" s="96" t="s">
        <v>16</v>
      </c>
      <c r="J68" s="97"/>
    </row>
    <row r="69" ht="22.5" customHeight="1">
      <c r="A69" s="8">
        <v>45728.0</v>
      </c>
      <c r="B69" s="92" t="s">
        <v>8</v>
      </c>
      <c r="C69" s="93" t="s">
        <v>9</v>
      </c>
      <c r="D69" s="94">
        <v>14.0</v>
      </c>
      <c r="E69" s="92" t="s">
        <v>10</v>
      </c>
      <c r="F69" s="92" t="s">
        <v>11</v>
      </c>
      <c r="G69" s="92" t="s">
        <v>28</v>
      </c>
      <c r="H69" s="95">
        <v>3.0</v>
      </c>
      <c r="I69" s="96" t="s">
        <v>18</v>
      </c>
      <c r="J69" s="97"/>
    </row>
    <row r="70" ht="22.5" customHeight="1">
      <c r="A70" s="8">
        <v>45729.0</v>
      </c>
      <c r="B70" s="92" t="s">
        <v>26</v>
      </c>
      <c r="C70" s="93" t="s">
        <v>9</v>
      </c>
      <c r="D70" s="94">
        <v>25.0</v>
      </c>
      <c r="E70" s="92" t="s">
        <v>10</v>
      </c>
      <c r="F70" s="92" t="s">
        <v>15</v>
      </c>
      <c r="G70" s="92" t="s">
        <v>28</v>
      </c>
      <c r="H70" s="95">
        <v>3.0</v>
      </c>
      <c r="I70" s="96" t="s">
        <v>33</v>
      </c>
      <c r="J70" s="97"/>
    </row>
    <row r="71" ht="22.5" customHeight="1">
      <c r="A71" s="8">
        <v>45730.0</v>
      </c>
      <c r="B71" s="92" t="s">
        <v>25</v>
      </c>
      <c r="C71" s="93" t="s">
        <v>9</v>
      </c>
      <c r="D71" s="94">
        <v>35.0</v>
      </c>
      <c r="E71" s="92" t="s">
        <v>22</v>
      </c>
      <c r="F71" s="92" t="s">
        <v>15</v>
      </c>
      <c r="G71" s="92" t="s">
        <v>28</v>
      </c>
      <c r="H71" s="95">
        <v>3.0</v>
      </c>
      <c r="I71" s="96" t="s">
        <v>20</v>
      </c>
      <c r="J71" s="97"/>
    </row>
    <row r="72" ht="22.5" customHeight="1">
      <c r="A72" s="8">
        <v>45731.0</v>
      </c>
      <c r="B72" s="92" t="s">
        <v>8</v>
      </c>
      <c r="C72" s="93" t="s">
        <v>21</v>
      </c>
      <c r="D72" s="94">
        <v>14.0</v>
      </c>
      <c r="E72" s="92" t="s">
        <v>10</v>
      </c>
      <c r="F72" s="92" t="s">
        <v>11</v>
      </c>
      <c r="G72" s="92" t="s">
        <v>28</v>
      </c>
      <c r="H72" s="95">
        <v>3.0</v>
      </c>
      <c r="I72" s="96" t="s">
        <v>40</v>
      </c>
      <c r="J72" s="97"/>
    </row>
    <row r="73" ht="22.5" customHeight="1">
      <c r="A73" s="8">
        <v>45732.0</v>
      </c>
      <c r="B73" s="92" t="s">
        <v>8</v>
      </c>
      <c r="C73" s="93" t="s">
        <v>9</v>
      </c>
      <c r="D73" s="94">
        <v>14.0</v>
      </c>
      <c r="E73" s="92" t="s">
        <v>10</v>
      </c>
      <c r="F73" s="92" t="s">
        <v>11</v>
      </c>
      <c r="G73" s="92" t="s">
        <v>28</v>
      </c>
      <c r="H73" s="95">
        <v>3.0</v>
      </c>
      <c r="I73" s="96" t="s">
        <v>13</v>
      </c>
      <c r="J73" s="97"/>
    </row>
    <row r="74" ht="22.5" customHeight="1">
      <c r="A74" s="8">
        <v>45733.0</v>
      </c>
      <c r="B74" s="92" t="s">
        <v>8</v>
      </c>
      <c r="C74" s="93" t="s">
        <v>24</v>
      </c>
      <c r="D74" s="94">
        <v>16.0</v>
      </c>
      <c r="E74" s="92" t="s">
        <v>22</v>
      </c>
      <c r="F74" s="92" t="s">
        <v>11</v>
      </c>
      <c r="G74" s="92" t="s">
        <v>28</v>
      </c>
      <c r="H74" s="95">
        <v>3.0</v>
      </c>
      <c r="I74" s="96" t="s">
        <v>39</v>
      </c>
      <c r="J74" s="97"/>
    </row>
    <row r="75" ht="22.5" customHeight="1">
      <c r="A75" s="8">
        <v>45734.0</v>
      </c>
      <c r="B75" s="92" t="s">
        <v>23</v>
      </c>
      <c r="C75" s="93" t="s">
        <v>9</v>
      </c>
      <c r="D75" s="94">
        <v>19.0</v>
      </c>
      <c r="E75" s="92" t="s">
        <v>10</v>
      </c>
      <c r="F75" s="92" t="s">
        <v>15</v>
      </c>
      <c r="G75" s="92" t="s">
        <v>28</v>
      </c>
      <c r="H75" s="95">
        <v>3.0</v>
      </c>
      <c r="I75" s="96" t="s">
        <v>16</v>
      </c>
      <c r="J75" s="97"/>
    </row>
    <row r="76" ht="22.5" customHeight="1">
      <c r="A76" s="8">
        <v>45735.0</v>
      </c>
      <c r="B76" s="92" t="s">
        <v>8</v>
      </c>
      <c r="C76" s="93" t="s">
        <v>9</v>
      </c>
      <c r="D76" s="94">
        <v>14.0</v>
      </c>
      <c r="E76" s="92" t="s">
        <v>10</v>
      </c>
      <c r="F76" s="92" t="s">
        <v>11</v>
      </c>
      <c r="G76" s="92" t="s">
        <v>28</v>
      </c>
      <c r="H76" s="95">
        <v>3.0</v>
      </c>
      <c r="I76" s="96" t="s">
        <v>18</v>
      </c>
      <c r="J76" s="97"/>
    </row>
    <row r="77" ht="22.5" customHeight="1">
      <c r="A77" s="8">
        <v>45736.0</v>
      </c>
      <c r="B77" s="92" t="s">
        <v>23</v>
      </c>
      <c r="C77" s="93" t="s">
        <v>9</v>
      </c>
      <c r="D77" s="94">
        <v>18.0</v>
      </c>
      <c r="E77" s="92" t="s">
        <v>10</v>
      </c>
      <c r="F77" s="92" t="s">
        <v>15</v>
      </c>
      <c r="G77" s="92" t="s">
        <v>28</v>
      </c>
      <c r="H77" s="95">
        <v>3.0</v>
      </c>
      <c r="I77" s="96" t="s">
        <v>33</v>
      </c>
      <c r="J77" s="97"/>
    </row>
    <row r="78" ht="22.5" customHeight="1">
      <c r="A78" s="8">
        <v>45737.0</v>
      </c>
      <c r="B78" s="92" t="s">
        <v>17</v>
      </c>
      <c r="C78" s="93" t="s">
        <v>9</v>
      </c>
      <c r="D78" s="94">
        <v>8.0</v>
      </c>
      <c r="E78" s="92" t="s">
        <v>10</v>
      </c>
      <c r="F78" s="92" t="s">
        <v>11</v>
      </c>
      <c r="G78" s="92" t="s">
        <v>28</v>
      </c>
      <c r="H78" s="95">
        <v>3.0</v>
      </c>
      <c r="I78" s="96" t="s">
        <v>20</v>
      </c>
      <c r="J78" s="97"/>
    </row>
    <row r="79" ht="22.5" customHeight="1">
      <c r="A79" s="8">
        <v>45738.0</v>
      </c>
      <c r="B79" s="92" t="s">
        <v>17</v>
      </c>
      <c r="C79" s="93" t="s">
        <v>9</v>
      </c>
      <c r="D79" s="94">
        <v>9.0</v>
      </c>
      <c r="E79" s="92" t="s">
        <v>10</v>
      </c>
      <c r="F79" s="92" t="s">
        <v>11</v>
      </c>
      <c r="G79" s="92" t="s">
        <v>28</v>
      </c>
      <c r="H79" s="95">
        <v>3.0</v>
      </c>
      <c r="I79" s="96" t="s">
        <v>40</v>
      </c>
      <c r="J79" s="97"/>
    </row>
    <row r="80" ht="22.5" customHeight="1">
      <c r="A80" s="8">
        <v>45739.0</v>
      </c>
      <c r="B80" s="92" t="s">
        <v>14</v>
      </c>
      <c r="C80" s="93" t="s">
        <v>9</v>
      </c>
      <c r="D80" s="94">
        <v>21.0</v>
      </c>
      <c r="E80" s="92" t="s">
        <v>10</v>
      </c>
      <c r="F80" s="92" t="s">
        <v>15</v>
      </c>
      <c r="G80" s="92" t="s">
        <v>28</v>
      </c>
      <c r="H80" s="95">
        <v>3.0</v>
      </c>
      <c r="I80" s="96" t="s">
        <v>13</v>
      </c>
      <c r="J80" s="97"/>
    </row>
    <row r="81" ht="22.5" customHeight="1">
      <c r="A81" s="8">
        <v>45740.0</v>
      </c>
      <c r="B81" s="92" t="s">
        <v>14</v>
      </c>
      <c r="C81" s="93" t="s">
        <v>9</v>
      </c>
      <c r="D81" s="94">
        <v>21.0</v>
      </c>
      <c r="E81" s="92" t="s">
        <v>10</v>
      </c>
      <c r="F81" s="92" t="s">
        <v>11</v>
      </c>
      <c r="G81" s="92" t="s">
        <v>28</v>
      </c>
      <c r="H81" s="95">
        <v>3.0</v>
      </c>
      <c r="I81" s="96" t="s">
        <v>39</v>
      </c>
      <c r="J81" s="97"/>
    </row>
    <row r="82" ht="22.5" customHeight="1">
      <c r="A82" s="8">
        <v>45741.0</v>
      </c>
      <c r="B82" s="92" t="s">
        <v>8</v>
      </c>
      <c r="C82" s="93" t="s">
        <v>24</v>
      </c>
      <c r="D82" s="94">
        <v>14.0</v>
      </c>
      <c r="E82" s="92" t="s">
        <v>10</v>
      </c>
      <c r="F82" s="92" t="s">
        <v>11</v>
      </c>
      <c r="G82" s="92" t="s">
        <v>28</v>
      </c>
      <c r="H82" s="95">
        <v>3.0</v>
      </c>
      <c r="I82" s="96" t="s">
        <v>16</v>
      </c>
      <c r="J82" s="97"/>
    </row>
    <row r="83" ht="22.5" customHeight="1">
      <c r="A83" s="8">
        <v>45742.0</v>
      </c>
      <c r="B83" s="92" t="s">
        <v>19</v>
      </c>
      <c r="C83" s="93" t="s">
        <v>9</v>
      </c>
      <c r="D83" s="94">
        <v>7.0</v>
      </c>
      <c r="E83" s="92" t="s">
        <v>10</v>
      </c>
      <c r="F83" s="92" t="s">
        <v>11</v>
      </c>
      <c r="G83" s="92" t="s">
        <v>28</v>
      </c>
      <c r="H83" s="95">
        <v>3.0</v>
      </c>
      <c r="I83" s="96" t="s">
        <v>18</v>
      </c>
      <c r="J83" s="97"/>
    </row>
    <row r="84" ht="22.5" customHeight="1">
      <c r="A84" s="8">
        <v>45743.0</v>
      </c>
      <c r="B84" s="92" t="s">
        <v>8</v>
      </c>
      <c r="C84" s="93" t="s">
        <v>9</v>
      </c>
      <c r="D84" s="94">
        <v>14.0</v>
      </c>
      <c r="E84" s="92" t="s">
        <v>10</v>
      </c>
      <c r="F84" s="92" t="s">
        <v>15</v>
      </c>
      <c r="G84" s="92" t="s">
        <v>28</v>
      </c>
      <c r="H84" s="95">
        <v>3.0</v>
      </c>
      <c r="I84" s="96" t="s">
        <v>33</v>
      </c>
      <c r="J84" s="97"/>
    </row>
    <row r="85" ht="22.5" customHeight="1">
      <c r="A85" s="8">
        <v>45744.0</v>
      </c>
      <c r="B85" s="92" t="s">
        <v>8</v>
      </c>
      <c r="C85" s="93" t="s">
        <v>9</v>
      </c>
      <c r="D85" s="94">
        <v>15.0</v>
      </c>
      <c r="E85" s="92" t="s">
        <v>10</v>
      </c>
      <c r="F85" s="92" t="s">
        <v>15</v>
      </c>
      <c r="G85" s="92" t="s">
        <v>28</v>
      </c>
      <c r="H85" s="95">
        <v>3.0</v>
      </c>
      <c r="I85" s="96" t="s">
        <v>20</v>
      </c>
      <c r="J85" s="97"/>
    </row>
    <row r="86" ht="22.5" customHeight="1">
      <c r="A86" s="8">
        <v>45745.0</v>
      </c>
      <c r="B86" s="92" t="s">
        <v>19</v>
      </c>
      <c r="C86" s="93" t="s">
        <v>9</v>
      </c>
      <c r="D86" s="94">
        <v>7.0</v>
      </c>
      <c r="E86" s="92" t="s">
        <v>10</v>
      </c>
      <c r="F86" s="92" t="s">
        <v>11</v>
      </c>
      <c r="G86" s="92" t="s">
        <v>28</v>
      </c>
      <c r="H86" s="95">
        <v>3.0</v>
      </c>
      <c r="I86" s="96" t="s">
        <v>40</v>
      </c>
      <c r="J86" s="97"/>
    </row>
    <row r="87" ht="22.5" customHeight="1">
      <c r="A87" s="8">
        <v>45746.0</v>
      </c>
      <c r="B87" s="92" t="s">
        <v>26</v>
      </c>
      <c r="C87" s="93" t="s">
        <v>9</v>
      </c>
      <c r="D87" s="94">
        <v>24.0</v>
      </c>
      <c r="E87" s="92" t="s">
        <v>10</v>
      </c>
      <c r="F87" s="92" t="s">
        <v>11</v>
      </c>
      <c r="G87" s="92" t="s">
        <v>28</v>
      </c>
      <c r="H87" s="95">
        <v>3.0</v>
      </c>
      <c r="I87" s="96" t="s">
        <v>13</v>
      </c>
      <c r="J87" s="97"/>
    </row>
    <row r="88" ht="22.5" customHeight="1">
      <c r="A88" s="8">
        <v>45747.0</v>
      </c>
      <c r="B88" s="92" t="s">
        <v>8</v>
      </c>
      <c r="C88" s="93" t="s">
        <v>9</v>
      </c>
      <c r="D88" s="94">
        <v>14.0</v>
      </c>
      <c r="E88" s="92" t="s">
        <v>10</v>
      </c>
      <c r="F88" s="92" t="s">
        <v>11</v>
      </c>
      <c r="G88" s="92" t="s">
        <v>28</v>
      </c>
      <c r="H88" s="95">
        <v>3.0</v>
      </c>
      <c r="I88" s="96" t="s">
        <v>39</v>
      </c>
      <c r="J88" s="97"/>
    </row>
    <row r="89" ht="22.5" customHeight="1">
      <c r="A89" s="8">
        <v>45748.0</v>
      </c>
      <c r="B89" s="92" t="s">
        <v>8</v>
      </c>
      <c r="C89" s="93" t="s">
        <v>9</v>
      </c>
      <c r="D89" s="94">
        <v>14.0</v>
      </c>
      <c r="E89" s="92" t="s">
        <v>10</v>
      </c>
      <c r="F89" s="92" t="s">
        <v>11</v>
      </c>
      <c r="G89" s="92" t="s">
        <v>29</v>
      </c>
      <c r="H89" s="95">
        <v>4.0</v>
      </c>
      <c r="I89" s="96" t="s">
        <v>16</v>
      </c>
      <c r="J89" s="97"/>
    </row>
    <row r="90" ht="22.5" customHeight="1">
      <c r="A90" s="8">
        <v>45749.0</v>
      </c>
      <c r="B90" s="92" t="s">
        <v>17</v>
      </c>
      <c r="C90" s="93" t="s">
        <v>9</v>
      </c>
      <c r="D90" s="94">
        <v>10.0</v>
      </c>
      <c r="E90" s="92" t="s">
        <v>10</v>
      </c>
      <c r="F90" s="92" t="s">
        <v>11</v>
      </c>
      <c r="G90" s="92" t="s">
        <v>29</v>
      </c>
      <c r="H90" s="95">
        <v>4.0</v>
      </c>
      <c r="I90" s="96" t="s">
        <v>18</v>
      </c>
      <c r="J90" s="97"/>
    </row>
    <row r="91" ht="22.5" customHeight="1">
      <c r="A91" s="8">
        <v>45750.0</v>
      </c>
      <c r="B91" s="92" t="s">
        <v>17</v>
      </c>
      <c r="C91" s="93" t="s">
        <v>24</v>
      </c>
      <c r="D91" s="94">
        <v>10.0</v>
      </c>
      <c r="E91" s="92" t="s">
        <v>10</v>
      </c>
      <c r="F91" s="92" t="s">
        <v>15</v>
      </c>
      <c r="G91" s="92" t="s">
        <v>29</v>
      </c>
      <c r="H91" s="95">
        <v>4.0</v>
      </c>
      <c r="I91" s="96" t="s">
        <v>33</v>
      </c>
      <c r="J91" s="97"/>
    </row>
    <row r="92" ht="22.5" customHeight="1">
      <c r="A92" s="8">
        <v>45751.0</v>
      </c>
      <c r="B92" s="92" t="s">
        <v>8</v>
      </c>
      <c r="C92" s="93" t="s">
        <v>21</v>
      </c>
      <c r="D92" s="94">
        <v>14.0</v>
      </c>
      <c r="E92" s="92" t="s">
        <v>10</v>
      </c>
      <c r="F92" s="92" t="s">
        <v>15</v>
      </c>
      <c r="G92" s="92" t="s">
        <v>29</v>
      </c>
      <c r="H92" s="95">
        <v>4.0</v>
      </c>
      <c r="I92" s="96" t="s">
        <v>20</v>
      </c>
      <c r="J92" s="97"/>
    </row>
    <row r="93" ht="22.5" customHeight="1">
      <c r="A93" s="8">
        <v>45752.0</v>
      </c>
      <c r="B93" s="92" t="s">
        <v>14</v>
      </c>
      <c r="C93" s="93" t="s">
        <v>9</v>
      </c>
      <c r="D93" s="94">
        <v>22.0</v>
      </c>
      <c r="E93" s="92" t="s">
        <v>10</v>
      </c>
      <c r="F93" s="92" t="s">
        <v>11</v>
      </c>
      <c r="G93" s="92" t="s">
        <v>29</v>
      </c>
      <c r="H93" s="95">
        <v>4.0</v>
      </c>
      <c r="I93" s="96" t="s">
        <v>40</v>
      </c>
      <c r="J93" s="97"/>
    </row>
    <row r="94" ht="22.5" customHeight="1">
      <c r="A94" s="8">
        <v>45753.0</v>
      </c>
      <c r="B94" s="92" t="s">
        <v>14</v>
      </c>
      <c r="C94" s="93" t="s">
        <v>9</v>
      </c>
      <c r="D94" s="94">
        <v>20.0</v>
      </c>
      <c r="E94" s="92" t="s">
        <v>10</v>
      </c>
      <c r="F94" s="92" t="s">
        <v>11</v>
      </c>
      <c r="G94" s="92" t="s">
        <v>29</v>
      </c>
      <c r="H94" s="95">
        <v>4.0</v>
      </c>
      <c r="I94" s="96" t="s">
        <v>13</v>
      </c>
      <c r="J94" s="97"/>
    </row>
    <row r="95" ht="22.5" customHeight="1">
      <c r="A95" s="8">
        <v>45754.0</v>
      </c>
      <c r="B95" s="92" t="s">
        <v>8</v>
      </c>
      <c r="C95" s="93" t="s">
        <v>9</v>
      </c>
      <c r="D95" s="94">
        <v>14.0</v>
      </c>
      <c r="E95" s="92" t="s">
        <v>10</v>
      </c>
      <c r="F95" s="92" t="s">
        <v>11</v>
      </c>
      <c r="G95" s="92" t="s">
        <v>29</v>
      </c>
      <c r="H95" s="95">
        <v>4.0</v>
      </c>
      <c r="I95" s="96" t="s">
        <v>39</v>
      </c>
      <c r="J95" s="97"/>
    </row>
    <row r="96" ht="22.5" customHeight="1">
      <c r="A96" s="8">
        <v>45755.0</v>
      </c>
      <c r="B96" s="92" t="s">
        <v>19</v>
      </c>
      <c r="C96" s="93" t="s">
        <v>9</v>
      </c>
      <c r="D96" s="94">
        <v>7.0</v>
      </c>
      <c r="E96" s="92" t="s">
        <v>10</v>
      </c>
      <c r="F96" s="92" t="s">
        <v>11</v>
      </c>
      <c r="G96" s="92" t="s">
        <v>29</v>
      </c>
      <c r="H96" s="95">
        <v>4.0</v>
      </c>
      <c r="I96" s="96" t="s">
        <v>16</v>
      </c>
      <c r="J96" s="97"/>
    </row>
    <row r="97" ht="22.5" customHeight="1">
      <c r="A97" s="8">
        <v>45756.0</v>
      </c>
      <c r="B97" s="92" t="s">
        <v>8</v>
      </c>
      <c r="C97" s="93" t="s">
        <v>9</v>
      </c>
      <c r="D97" s="94">
        <v>14.0</v>
      </c>
      <c r="E97" s="92" t="s">
        <v>10</v>
      </c>
      <c r="F97" s="92" t="s">
        <v>15</v>
      </c>
      <c r="G97" s="92" t="s">
        <v>29</v>
      </c>
      <c r="H97" s="95">
        <v>4.0</v>
      </c>
      <c r="I97" s="96" t="s">
        <v>18</v>
      </c>
      <c r="J97" s="97"/>
    </row>
    <row r="98" ht="22.5" customHeight="1">
      <c r="A98" s="8">
        <v>45757.0</v>
      </c>
      <c r="B98" s="92" t="s">
        <v>8</v>
      </c>
      <c r="C98" s="93" t="s">
        <v>21</v>
      </c>
      <c r="D98" s="94">
        <v>15.0</v>
      </c>
      <c r="E98" s="92" t="s">
        <v>10</v>
      </c>
      <c r="F98" s="92" t="s">
        <v>15</v>
      </c>
      <c r="G98" s="92" t="s">
        <v>29</v>
      </c>
      <c r="H98" s="95">
        <v>4.0</v>
      </c>
      <c r="I98" s="96" t="s">
        <v>33</v>
      </c>
      <c r="J98" s="97"/>
    </row>
    <row r="99" ht="22.5" customHeight="1">
      <c r="A99" s="8">
        <v>45758.0</v>
      </c>
      <c r="B99" s="92" t="s">
        <v>17</v>
      </c>
      <c r="C99" s="93" t="s">
        <v>24</v>
      </c>
      <c r="D99" s="94">
        <v>11.0</v>
      </c>
      <c r="E99" s="92" t="s">
        <v>10</v>
      </c>
      <c r="F99" s="92" t="s">
        <v>11</v>
      </c>
      <c r="G99" s="92" t="s">
        <v>29</v>
      </c>
      <c r="H99" s="95">
        <v>4.0</v>
      </c>
      <c r="I99" s="96" t="s">
        <v>20</v>
      </c>
      <c r="J99" s="97"/>
    </row>
    <row r="100" ht="22.5" customHeight="1">
      <c r="A100" s="8">
        <v>45759.0</v>
      </c>
      <c r="B100" s="92" t="s">
        <v>19</v>
      </c>
      <c r="C100" s="93" t="s">
        <v>9</v>
      </c>
      <c r="D100" s="94">
        <v>7.0</v>
      </c>
      <c r="E100" s="92" t="s">
        <v>10</v>
      </c>
      <c r="F100" s="92" t="s">
        <v>11</v>
      </c>
      <c r="G100" s="92" t="s">
        <v>29</v>
      </c>
      <c r="H100" s="95">
        <v>4.0</v>
      </c>
      <c r="I100" s="96" t="s">
        <v>40</v>
      </c>
      <c r="J100" s="97"/>
    </row>
    <row r="101" ht="22.5" customHeight="1">
      <c r="A101" s="8">
        <v>45760.0</v>
      </c>
      <c r="B101" s="92" t="s">
        <v>8</v>
      </c>
      <c r="C101" s="93" t="s">
        <v>9</v>
      </c>
      <c r="D101" s="94">
        <v>16.0</v>
      </c>
      <c r="E101" s="92" t="s">
        <v>22</v>
      </c>
      <c r="F101" s="92" t="s">
        <v>11</v>
      </c>
      <c r="G101" s="92" t="s">
        <v>29</v>
      </c>
      <c r="H101" s="95">
        <v>4.0</v>
      </c>
      <c r="I101" s="96" t="s">
        <v>13</v>
      </c>
      <c r="J101" s="97"/>
    </row>
    <row r="102" ht="22.5" customHeight="1">
      <c r="A102" s="8">
        <v>45761.0</v>
      </c>
      <c r="B102" s="92" t="s">
        <v>17</v>
      </c>
      <c r="C102" s="93" t="s">
        <v>9</v>
      </c>
      <c r="D102" s="94">
        <v>12.0</v>
      </c>
      <c r="E102" s="92" t="s">
        <v>10</v>
      </c>
      <c r="F102" s="92" t="s">
        <v>11</v>
      </c>
      <c r="G102" s="92" t="s">
        <v>29</v>
      </c>
      <c r="H102" s="95">
        <v>4.0</v>
      </c>
      <c r="I102" s="96" t="s">
        <v>39</v>
      </c>
      <c r="J102" s="97"/>
    </row>
    <row r="103" ht="22.5" customHeight="1">
      <c r="A103" s="8">
        <v>45762.0</v>
      </c>
      <c r="B103" s="92" t="s">
        <v>23</v>
      </c>
      <c r="C103" s="93" t="s">
        <v>9</v>
      </c>
      <c r="D103" s="94">
        <v>21.0</v>
      </c>
      <c r="E103" s="92" t="s">
        <v>10</v>
      </c>
      <c r="F103" s="92" t="s">
        <v>15</v>
      </c>
      <c r="G103" s="92" t="s">
        <v>29</v>
      </c>
      <c r="H103" s="95">
        <v>4.0</v>
      </c>
      <c r="I103" s="96" t="s">
        <v>16</v>
      </c>
      <c r="J103" s="97"/>
    </row>
    <row r="104" ht="22.5" customHeight="1">
      <c r="A104" s="8">
        <v>45763.0</v>
      </c>
      <c r="B104" s="92" t="s">
        <v>8</v>
      </c>
      <c r="C104" s="93" t="s">
        <v>9</v>
      </c>
      <c r="D104" s="94">
        <v>14.0</v>
      </c>
      <c r="E104" s="92" t="s">
        <v>10</v>
      </c>
      <c r="F104" s="92" t="s">
        <v>11</v>
      </c>
      <c r="G104" s="92" t="s">
        <v>29</v>
      </c>
      <c r="H104" s="95">
        <v>4.0</v>
      </c>
      <c r="I104" s="96" t="s">
        <v>18</v>
      </c>
      <c r="J104" s="97"/>
    </row>
    <row r="105" ht="22.5" customHeight="1">
      <c r="A105" s="8">
        <v>45764.0</v>
      </c>
      <c r="B105" s="92" t="s">
        <v>23</v>
      </c>
      <c r="C105" s="93" t="s">
        <v>9</v>
      </c>
      <c r="D105" s="94">
        <v>20.0</v>
      </c>
      <c r="E105" s="92" t="s">
        <v>10</v>
      </c>
      <c r="F105" s="92" t="s">
        <v>15</v>
      </c>
      <c r="G105" s="92" t="s">
        <v>29</v>
      </c>
      <c r="H105" s="95">
        <v>4.0</v>
      </c>
      <c r="I105" s="96" t="s">
        <v>33</v>
      </c>
      <c r="J105" s="97"/>
    </row>
    <row r="106" ht="22.5" customHeight="1">
      <c r="A106" s="8">
        <v>45765.0</v>
      </c>
      <c r="B106" s="92" t="s">
        <v>17</v>
      </c>
      <c r="C106" s="93" t="s">
        <v>9</v>
      </c>
      <c r="D106" s="94">
        <v>9.0</v>
      </c>
      <c r="E106" s="92" t="s">
        <v>10</v>
      </c>
      <c r="F106" s="92" t="s">
        <v>11</v>
      </c>
      <c r="G106" s="92" t="s">
        <v>29</v>
      </c>
      <c r="H106" s="95">
        <v>4.0</v>
      </c>
      <c r="I106" s="96" t="s">
        <v>20</v>
      </c>
      <c r="J106" s="97"/>
    </row>
    <row r="107" ht="22.5" customHeight="1">
      <c r="A107" s="8">
        <v>45766.0</v>
      </c>
      <c r="B107" s="92" t="s">
        <v>8</v>
      </c>
      <c r="C107" s="93" t="s">
        <v>9</v>
      </c>
      <c r="D107" s="94">
        <v>14.0</v>
      </c>
      <c r="E107" s="92" t="s">
        <v>10</v>
      </c>
      <c r="F107" s="92" t="s">
        <v>11</v>
      </c>
      <c r="G107" s="92" t="s">
        <v>29</v>
      </c>
      <c r="H107" s="95">
        <v>4.0</v>
      </c>
      <c r="I107" s="96" t="s">
        <v>40</v>
      </c>
      <c r="J107" s="97"/>
    </row>
    <row r="108" ht="22.5" customHeight="1">
      <c r="A108" s="8">
        <v>45767.0</v>
      </c>
      <c r="B108" s="92" t="s">
        <v>14</v>
      </c>
      <c r="C108" s="93" t="s">
        <v>9</v>
      </c>
      <c r="D108" s="94">
        <v>23.0</v>
      </c>
      <c r="E108" s="92" t="s">
        <v>10</v>
      </c>
      <c r="F108" s="92" t="s">
        <v>15</v>
      </c>
      <c r="G108" s="92" t="s">
        <v>29</v>
      </c>
      <c r="H108" s="95">
        <v>4.0</v>
      </c>
      <c r="I108" s="96" t="s">
        <v>13</v>
      </c>
      <c r="J108" s="97"/>
    </row>
    <row r="109" ht="22.5" customHeight="1">
      <c r="A109" s="8">
        <v>45768.0</v>
      </c>
      <c r="B109" s="92" t="s">
        <v>14</v>
      </c>
      <c r="C109" s="93" t="s">
        <v>24</v>
      </c>
      <c r="D109" s="94">
        <v>24.0</v>
      </c>
      <c r="E109" s="92" t="s">
        <v>10</v>
      </c>
      <c r="F109" s="92" t="s">
        <v>11</v>
      </c>
      <c r="G109" s="92" t="s">
        <v>29</v>
      </c>
      <c r="H109" s="95">
        <v>4.0</v>
      </c>
      <c r="I109" s="96" t="s">
        <v>39</v>
      </c>
      <c r="J109" s="97"/>
    </row>
    <row r="110" ht="22.5" customHeight="1">
      <c r="A110" s="8">
        <v>45769.0</v>
      </c>
      <c r="B110" s="92" t="s">
        <v>8</v>
      </c>
      <c r="C110" s="93" t="s">
        <v>9</v>
      </c>
      <c r="D110" s="94">
        <v>14.0</v>
      </c>
      <c r="E110" s="92" t="s">
        <v>10</v>
      </c>
      <c r="F110" s="92" t="s">
        <v>11</v>
      </c>
      <c r="G110" s="92" t="s">
        <v>29</v>
      </c>
      <c r="H110" s="95">
        <v>4.0</v>
      </c>
      <c r="I110" s="96" t="s">
        <v>16</v>
      </c>
      <c r="J110" s="97"/>
    </row>
    <row r="111" ht="22.5" customHeight="1">
      <c r="A111" s="8">
        <v>45770.0</v>
      </c>
      <c r="B111" s="92" t="s">
        <v>19</v>
      </c>
      <c r="C111" s="93" t="s">
        <v>9</v>
      </c>
      <c r="D111" s="94">
        <v>7.0</v>
      </c>
      <c r="E111" s="92" t="s">
        <v>10</v>
      </c>
      <c r="F111" s="92" t="s">
        <v>11</v>
      </c>
      <c r="G111" s="92" t="s">
        <v>29</v>
      </c>
      <c r="H111" s="95">
        <v>4.0</v>
      </c>
      <c r="I111" s="96" t="s">
        <v>18</v>
      </c>
      <c r="J111" s="97"/>
    </row>
    <row r="112" ht="22.5" customHeight="1">
      <c r="A112" s="8">
        <v>45771.0</v>
      </c>
      <c r="B112" s="92" t="s">
        <v>8</v>
      </c>
      <c r="C112" s="93" t="s">
        <v>9</v>
      </c>
      <c r="D112" s="94">
        <v>14.0</v>
      </c>
      <c r="E112" s="92" t="s">
        <v>10</v>
      </c>
      <c r="F112" s="92" t="s">
        <v>15</v>
      </c>
      <c r="G112" s="92" t="s">
        <v>29</v>
      </c>
      <c r="H112" s="95">
        <v>4.0</v>
      </c>
      <c r="I112" s="96" t="s">
        <v>33</v>
      </c>
      <c r="J112" s="97"/>
    </row>
    <row r="113" ht="22.5" customHeight="1">
      <c r="A113" s="8">
        <v>45772.0</v>
      </c>
      <c r="B113" s="92" t="s">
        <v>26</v>
      </c>
      <c r="C113" s="93" t="s">
        <v>21</v>
      </c>
      <c r="D113" s="94">
        <v>26.0</v>
      </c>
      <c r="E113" s="92" t="s">
        <v>10</v>
      </c>
      <c r="F113" s="92" t="s">
        <v>15</v>
      </c>
      <c r="G113" s="92" t="s">
        <v>29</v>
      </c>
      <c r="H113" s="95">
        <v>4.0</v>
      </c>
      <c r="I113" s="96" t="s">
        <v>20</v>
      </c>
      <c r="J113" s="97"/>
    </row>
    <row r="114" ht="22.5" customHeight="1">
      <c r="A114" s="8">
        <v>45773.0</v>
      </c>
      <c r="B114" s="92" t="s">
        <v>19</v>
      </c>
      <c r="C114" s="93" t="s">
        <v>9</v>
      </c>
      <c r="D114" s="94">
        <v>7.0</v>
      </c>
      <c r="E114" s="92" t="s">
        <v>10</v>
      </c>
      <c r="F114" s="92" t="s">
        <v>11</v>
      </c>
      <c r="G114" s="92" t="s">
        <v>29</v>
      </c>
      <c r="H114" s="95">
        <v>4.0</v>
      </c>
      <c r="I114" s="96" t="s">
        <v>40</v>
      </c>
      <c r="J114" s="97"/>
    </row>
    <row r="115" ht="22.5" customHeight="1">
      <c r="A115" s="8">
        <v>45774.0</v>
      </c>
      <c r="B115" s="92" t="s">
        <v>8</v>
      </c>
      <c r="C115" s="93" t="s">
        <v>9</v>
      </c>
      <c r="D115" s="94">
        <v>14.0</v>
      </c>
      <c r="E115" s="92" t="s">
        <v>10</v>
      </c>
      <c r="F115" s="92" t="s">
        <v>11</v>
      </c>
      <c r="G115" s="92" t="s">
        <v>29</v>
      </c>
      <c r="H115" s="95">
        <v>4.0</v>
      </c>
      <c r="I115" s="96" t="s">
        <v>13</v>
      </c>
      <c r="J115" s="97"/>
    </row>
    <row r="116" ht="22.5" customHeight="1">
      <c r="A116" s="8">
        <v>45775.0</v>
      </c>
      <c r="B116" s="92" t="s">
        <v>17</v>
      </c>
      <c r="C116" s="93" t="s">
        <v>9</v>
      </c>
      <c r="D116" s="94">
        <v>11.0</v>
      </c>
      <c r="E116" s="92" t="s">
        <v>10</v>
      </c>
      <c r="F116" s="92" t="s">
        <v>11</v>
      </c>
      <c r="G116" s="92" t="s">
        <v>29</v>
      </c>
      <c r="H116" s="95">
        <v>4.0</v>
      </c>
      <c r="I116" s="96" t="s">
        <v>39</v>
      </c>
      <c r="J116" s="97"/>
    </row>
    <row r="117" ht="22.5" customHeight="1">
      <c r="A117" s="8">
        <v>45776.0</v>
      </c>
      <c r="B117" s="92" t="s">
        <v>17</v>
      </c>
      <c r="C117" s="93" t="s">
        <v>9</v>
      </c>
      <c r="D117" s="94">
        <v>10.0</v>
      </c>
      <c r="E117" s="92" t="s">
        <v>10</v>
      </c>
      <c r="F117" s="92" t="s">
        <v>11</v>
      </c>
      <c r="G117" s="92" t="s">
        <v>29</v>
      </c>
      <c r="H117" s="95">
        <v>4.0</v>
      </c>
      <c r="I117" s="96" t="s">
        <v>16</v>
      </c>
      <c r="J117" s="97"/>
    </row>
    <row r="118" ht="22.5" customHeight="1">
      <c r="A118" s="8">
        <v>45777.0</v>
      </c>
      <c r="B118" s="92" t="s">
        <v>8</v>
      </c>
      <c r="C118" s="93" t="s">
        <v>24</v>
      </c>
      <c r="D118" s="94">
        <v>14.0</v>
      </c>
      <c r="E118" s="92" t="s">
        <v>10</v>
      </c>
      <c r="F118" s="92" t="s">
        <v>15</v>
      </c>
      <c r="G118" s="92" t="s">
        <v>29</v>
      </c>
      <c r="H118" s="95">
        <v>4.0</v>
      </c>
      <c r="I118" s="96" t="s">
        <v>18</v>
      </c>
      <c r="J118" s="97"/>
    </row>
    <row r="119" ht="22.5" customHeight="1">
      <c r="A119" s="8">
        <v>45778.0</v>
      </c>
      <c r="B119" s="92" t="s">
        <v>26</v>
      </c>
      <c r="C119" s="93" t="s">
        <v>9</v>
      </c>
      <c r="D119" s="94">
        <v>26.0</v>
      </c>
      <c r="E119" s="92" t="s">
        <v>22</v>
      </c>
      <c r="F119" s="92" t="s">
        <v>15</v>
      </c>
      <c r="G119" s="92" t="s">
        <v>30</v>
      </c>
      <c r="H119" s="95">
        <v>5.0</v>
      </c>
      <c r="I119" s="96" t="s">
        <v>33</v>
      </c>
      <c r="J119" s="97"/>
    </row>
    <row r="120" ht="22.5" customHeight="1">
      <c r="A120" s="8">
        <v>45779.0</v>
      </c>
      <c r="B120" s="92" t="s">
        <v>14</v>
      </c>
      <c r="C120" s="93" t="s">
        <v>9</v>
      </c>
      <c r="D120" s="94">
        <v>21.0</v>
      </c>
      <c r="E120" s="92" t="s">
        <v>10</v>
      </c>
      <c r="F120" s="92" t="s">
        <v>11</v>
      </c>
      <c r="G120" s="92" t="s">
        <v>30</v>
      </c>
      <c r="H120" s="95">
        <v>5.0</v>
      </c>
      <c r="I120" s="96" t="s">
        <v>20</v>
      </c>
      <c r="J120" s="97"/>
    </row>
    <row r="121" ht="22.5" customHeight="1">
      <c r="A121" s="8">
        <v>45780.0</v>
      </c>
      <c r="B121" s="92" t="s">
        <v>8</v>
      </c>
      <c r="C121" s="93" t="s">
        <v>9</v>
      </c>
      <c r="D121" s="94">
        <v>14.0</v>
      </c>
      <c r="E121" s="92" t="s">
        <v>10</v>
      </c>
      <c r="F121" s="92" t="s">
        <v>11</v>
      </c>
      <c r="G121" s="92" t="s">
        <v>30</v>
      </c>
      <c r="H121" s="95">
        <v>5.0</v>
      </c>
      <c r="I121" s="96" t="s">
        <v>40</v>
      </c>
      <c r="J121" s="97"/>
    </row>
    <row r="122" ht="22.5" customHeight="1">
      <c r="A122" s="8">
        <v>45781.0</v>
      </c>
      <c r="B122" s="92" t="s">
        <v>8</v>
      </c>
      <c r="C122" s="93" t="s">
        <v>9</v>
      </c>
      <c r="D122" s="94">
        <v>14.0</v>
      </c>
      <c r="E122" s="92" t="s">
        <v>10</v>
      </c>
      <c r="F122" s="92" t="s">
        <v>11</v>
      </c>
      <c r="G122" s="92" t="s">
        <v>30</v>
      </c>
      <c r="H122" s="95">
        <v>5.0</v>
      </c>
      <c r="I122" s="96" t="s">
        <v>13</v>
      </c>
      <c r="J122" s="97"/>
    </row>
    <row r="123" ht="22.5" customHeight="1">
      <c r="A123" s="8">
        <v>45782.0</v>
      </c>
      <c r="B123" s="92" t="s">
        <v>14</v>
      </c>
      <c r="C123" s="93" t="s">
        <v>9</v>
      </c>
      <c r="D123" s="94">
        <v>21.0</v>
      </c>
      <c r="E123" s="92" t="s">
        <v>10</v>
      </c>
      <c r="F123" s="92" t="s">
        <v>11</v>
      </c>
      <c r="G123" s="92" t="s">
        <v>30</v>
      </c>
      <c r="H123" s="95">
        <v>5.0</v>
      </c>
      <c r="I123" s="96" t="s">
        <v>39</v>
      </c>
      <c r="J123" s="97"/>
    </row>
    <row r="124" ht="22.5" customHeight="1">
      <c r="A124" s="8">
        <v>45783.0</v>
      </c>
      <c r="B124" s="92" t="s">
        <v>19</v>
      </c>
      <c r="C124" s="93" t="s">
        <v>9</v>
      </c>
      <c r="D124" s="94">
        <v>7.0</v>
      </c>
      <c r="E124" s="92" t="s">
        <v>10</v>
      </c>
      <c r="F124" s="92" t="s">
        <v>15</v>
      </c>
      <c r="G124" s="92" t="s">
        <v>30</v>
      </c>
      <c r="H124" s="95">
        <v>5.0</v>
      </c>
      <c r="I124" s="96" t="s">
        <v>16</v>
      </c>
      <c r="J124" s="97"/>
    </row>
    <row r="125" ht="22.5" customHeight="1">
      <c r="A125" s="8">
        <v>45784.0</v>
      </c>
      <c r="B125" s="92" t="s">
        <v>17</v>
      </c>
      <c r="C125" s="93" t="s">
        <v>9</v>
      </c>
      <c r="D125" s="94">
        <v>12.0</v>
      </c>
      <c r="E125" s="92" t="s">
        <v>10</v>
      </c>
      <c r="F125" s="92" t="s">
        <v>11</v>
      </c>
      <c r="G125" s="92" t="s">
        <v>30</v>
      </c>
      <c r="H125" s="95">
        <v>5.0</v>
      </c>
      <c r="I125" s="96" t="s">
        <v>18</v>
      </c>
      <c r="J125" s="97"/>
    </row>
    <row r="126" ht="22.5" customHeight="1">
      <c r="A126" s="8">
        <v>45785.0</v>
      </c>
      <c r="B126" s="92" t="s">
        <v>17</v>
      </c>
      <c r="C126" s="93" t="s">
        <v>24</v>
      </c>
      <c r="D126" s="94">
        <v>10.0</v>
      </c>
      <c r="E126" s="92" t="s">
        <v>10</v>
      </c>
      <c r="F126" s="92" t="s">
        <v>15</v>
      </c>
      <c r="G126" s="92" t="s">
        <v>30</v>
      </c>
      <c r="H126" s="95">
        <v>5.0</v>
      </c>
      <c r="I126" s="96" t="s">
        <v>33</v>
      </c>
      <c r="J126" s="97"/>
    </row>
    <row r="127" ht="22.5" customHeight="1">
      <c r="A127" s="8">
        <v>45786.0</v>
      </c>
      <c r="B127" s="92" t="s">
        <v>8</v>
      </c>
      <c r="C127" s="93" t="s">
        <v>21</v>
      </c>
      <c r="D127" s="94">
        <v>15.0</v>
      </c>
      <c r="E127" s="92" t="s">
        <v>10</v>
      </c>
      <c r="F127" s="92" t="s">
        <v>11</v>
      </c>
      <c r="G127" s="92" t="s">
        <v>30</v>
      </c>
      <c r="H127" s="95">
        <v>5.0</v>
      </c>
      <c r="I127" s="96" t="s">
        <v>20</v>
      </c>
      <c r="J127" s="97"/>
    </row>
    <row r="128" ht="22.5" customHeight="1">
      <c r="A128" s="8">
        <v>45787.0</v>
      </c>
      <c r="B128" s="92" t="s">
        <v>8</v>
      </c>
      <c r="C128" s="93" t="s">
        <v>21</v>
      </c>
      <c r="D128" s="94">
        <v>14.0</v>
      </c>
      <c r="E128" s="92" t="s">
        <v>10</v>
      </c>
      <c r="F128" s="92" t="s">
        <v>11</v>
      </c>
      <c r="G128" s="92" t="s">
        <v>30</v>
      </c>
      <c r="H128" s="95">
        <v>5.0</v>
      </c>
      <c r="I128" s="96" t="s">
        <v>40</v>
      </c>
      <c r="J128" s="97"/>
    </row>
    <row r="129" ht="22.5" customHeight="1">
      <c r="A129" s="8">
        <v>45788.0</v>
      </c>
      <c r="B129" s="92" t="s">
        <v>25</v>
      </c>
      <c r="C129" s="93" t="s">
        <v>9</v>
      </c>
      <c r="D129" s="94">
        <v>28.0</v>
      </c>
      <c r="E129" s="92" t="s">
        <v>10</v>
      </c>
      <c r="F129" s="92" t="s">
        <v>15</v>
      </c>
      <c r="G129" s="92" t="s">
        <v>30</v>
      </c>
      <c r="H129" s="95">
        <v>5.0</v>
      </c>
      <c r="I129" s="96" t="s">
        <v>13</v>
      </c>
      <c r="J129" s="97"/>
    </row>
    <row r="130" ht="22.5" customHeight="1">
      <c r="A130" s="8">
        <v>45789.0</v>
      </c>
      <c r="B130" s="92" t="s">
        <v>19</v>
      </c>
      <c r="C130" s="93" t="s">
        <v>9</v>
      </c>
      <c r="D130" s="94">
        <v>7.0</v>
      </c>
      <c r="E130" s="92" t="s">
        <v>10</v>
      </c>
      <c r="F130" s="92" t="s">
        <v>11</v>
      </c>
      <c r="G130" s="92" t="s">
        <v>30</v>
      </c>
      <c r="H130" s="95">
        <v>5.0</v>
      </c>
      <c r="I130" s="96" t="s">
        <v>39</v>
      </c>
      <c r="J130" s="97"/>
    </row>
    <row r="131" ht="22.5" customHeight="1">
      <c r="A131" s="8">
        <v>45790.0</v>
      </c>
      <c r="B131" s="92" t="s">
        <v>8</v>
      </c>
      <c r="C131" s="93" t="s">
        <v>9</v>
      </c>
      <c r="D131" s="94">
        <v>14.0</v>
      </c>
      <c r="E131" s="92" t="s">
        <v>10</v>
      </c>
      <c r="F131" s="92" t="s">
        <v>11</v>
      </c>
      <c r="G131" s="92" t="s">
        <v>30</v>
      </c>
      <c r="H131" s="95">
        <v>5.0</v>
      </c>
      <c r="I131" s="96" t="s">
        <v>16</v>
      </c>
      <c r="J131" s="97"/>
    </row>
    <row r="132" ht="22.5" customHeight="1">
      <c r="A132" s="8">
        <v>45791.0</v>
      </c>
      <c r="B132" s="92" t="s">
        <v>23</v>
      </c>
      <c r="C132" s="93" t="s">
        <v>9</v>
      </c>
      <c r="D132" s="94">
        <v>18.0</v>
      </c>
      <c r="E132" s="92" t="s">
        <v>10</v>
      </c>
      <c r="F132" s="92" t="s">
        <v>11</v>
      </c>
      <c r="G132" s="92" t="s">
        <v>30</v>
      </c>
      <c r="H132" s="95">
        <v>5.0</v>
      </c>
      <c r="I132" s="96" t="s">
        <v>18</v>
      </c>
      <c r="J132" s="97"/>
    </row>
    <row r="133" ht="22.5" customHeight="1">
      <c r="A133" s="8">
        <v>45792.0</v>
      </c>
      <c r="B133" s="92" t="s">
        <v>8</v>
      </c>
      <c r="C133" s="93" t="s">
        <v>9</v>
      </c>
      <c r="D133" s="94">
        <v>14.0</v>
      </c>
      <c r="E133" s="92" t="s">
        <v>10</v>
      </c>
      <c r="F133" s="92" t="s">
        <v>15</v>
      </c>
      <c r="G133" s="92" t="s">
        <v>30</v>
      </c>
      <c r="H133" s="95">
        <v>5.0</v>
      </c>
      <c r="I133" s="96" t="s">
        <v>33</v>
      </c>
      <c r="J133" s="97"/>
    </row>
    <row r="134" ht="22.5" customHeight="1">
      <c r="A134" s="8">
        <v>45793.0</v>
      </c>
      <c r="B134" s="92" t="s">
        <v>17</v>
      </c>
      <c r="C134" s="93" t="s">
        <v>24</v>
      </c>
      <c r="D134" s="94">
        <v>9.0</v>
      </c>
      <c r="E134" s="92" t="s">
        <v>10</v>
      </c>
      <c r="F134" s="92" t="s">
        <v>15</v>
      </c>
      <c r="G134" s="92" t="s">
        <v>30</v>
      </c>
      <c r="H134" s="95">
        <v>5.0</v>
      </c>
      <c r="I134" s="96" t="s">
        <v>20</v>
      </c>
      <c r="J134" s="97"/>
    </row>
    <row r="135" ht="22.5" customHeight="1">
      <c r="A135" s="8">
        <v>45794.0</v>
      </c>
      <c r="B135" s="92" t="s">
        <v>23</v>
      </c>
      <c r="C135" s="93" t="s">
        <v>9</v>
      </c>
      <c r="D135" s="94">
        <v>19.0</v>
      </c>
      <c r="E135" s="92" t="s">
        <v>10</v>
      </c>
      <c r="F135" s="92" t="s">
        <v>11</v>
      </c>
      <c r="G135" s="92" t="s">
        <v>30</v>
      </c>
      <c r="H135" s="95">
        <v>5.0</v>
      </c>
      <c r="I135" s="96" t="s">
        <v>40</v>
      </c>
      <c r="J135" s="97"/>
    </row>
    <row r="136" ht="22.5" customHeight="1">
      <c r="A136" s="8">
        <v>45795.0</v>
      </c>
      <c r="B136" s="92" t="s">
        <v>8</v>
      </c>
      <c r="C136" s="93" t="s">
        <v>9</v>
      </c>
      <c r="D136" s="94">
        <v>14.0</v>
      </c>
      <c r="E136" s="92" t="s">
        <v>10</v>
      </c>
      <c r="F136" s="92" t="s">
        <v>11</v>
      </c>
      <c r="G136" s="92" t="s">
        <v>30</v>
      </c>
      <c r="H136" s="95">
        <v>5.0</v>
      </c>
      <c r="I136" s="96" t="s">
        <v>13</v>
      </c>
      <c r="J136" s="97"/>
    </row>
    <row r="137" ht="22.5" customHeight="1">
      <c r="A137" s="8">
        <v>45796.0</v>
      </c>
      <c r="B137" s="92" t="s">
        <v>17</v>
      </c>
      <c r="C137" s="93" t="s">
        <v>9</v>
      </c>
      <c r="D137" s="94">
        <v>9.0</v>
      </c>
      <c r="E137" s="92" t="s">
        <v>10</v>
      </c>
      <c r="F137" s="92" t="s">
        <v>11</v>
      </c>
      <c r="G137" s="92" t="s">
        <v>30</v>
      </c>
      <c r="H137" s="95">
        <v>5.0</v>
      </c>
      <c r="I137" s="96" t="s">
        <v>39</v>
      </c>
      <c r="J137" s="97"/>
    </row>
    <row r="138" ht="22.5" customHeight="1">
      <c r="A138" s="8">
        <v>45797.0</v>
      </c>
      <c r="B138" s="92" t="s">
        <v>14</v>
      </c>
      <c r="C138" s="93" t="s">
        <v>9</v>
      </c>
      <c r="D138" s="94">
        <v>22.0</v>
      </c>
      <c r="E138" s="92" t="s">
        <v>10</v>
      </c>
      <c r="F138" s="92" t="s">
        <v>11</v>
      </c>
      <c r="G138" s="92" t="s">
        <v>30</v>
      </c>
      <c r="H138" s="95">
        <v>5.0</v>
      </c>
      <c r="I138" s="96" t="s">
        <v>16</v>
      </c>
      <c r="J138" s="97"/>
    </row>
    <row r="139" ht="22.5" customHeight="1">
      <c r="A139" s="8">
        <v>45798.0</v>
      </c>
      <c r="B139" s="92" t="s">
        <v>19</v>
      </c>
      <c r="C139" s="93" t="s">
        <v>9</v>
      </c>
      <c r="D139" s="94">
        <v>7.0</v>
      </c>
      <c r="E139" s="92" t="s">
        <v>10</v>
      </c>
      <c r="F139" s="92" t="s">
        <v>15</v>
      </c>
      <c r="G139" s="92" t="s">
        <v>30</v>
      </c>
      <c r="H139" s="95">
        <v>5.0</v>
      </c>
      <c r="I139" s="96" t="s">
        <v>18</v>
      </c>
      <c r="J139" s="97"/>
    </row>
    <row r="140" ht="22.5" customHeight="1">
      <c r="A140" s="8">
        <v>45799.0</v>
      </c>
      <c r="B140" s="92" t="s">
        <v>14</v>
      </c>
      <c r="C140" s="93" t="s">
        <v>9</v>
      </c>
      <c r="D140" s="94">
        <v>23.0</v>
      </c>
      <c r="E140" s="92" t="s">
        <v>10</v>
      </c>
      <c r="F140" s="92" t="s">
        <v>15</v>
      </c>
      <c r="G140" s="92" t="s">
        <v>30</v>
      </c>
      <c r="H140" s="95">
        <v>5.0</v>
      </c>
      <c r="I140" s="96" t="s">
        <v>33</v>
      </c>
      <c r="J140" s="97"/>
    </row>
    <row r="141" ht="22.5" customHeight="1">
      <c r="A141" s="8">
        <v>45800.0</v>
      </c>
      <c r="B141" s="92" t="s">
        <v>8</v>
      </c>
      <c r="C141" s="93" t="s">
        <v>9</v>
      </c>
      <c r="D141" s="94">
        <v>14.0</v>
      </c>
      <c r="E141" s="92" t="s">
        <v>10</v>
      </c>
      <c r="F141" s="92" t="s">
        <v>11</v>
      </c>
      <c r="G141" s="92" t="s">
        <v>30</v>
      </c>
      <c r="H141" s="95">
        <v>5.0</v>
      </c>
      <c r="I141" s="96" t="s">
        <v>20</v>
      </c>
      <c r="J141" s="97"/>
    </row>
    <row r="142" ht="22.5" customHeight="1">
      <c r="A142" s="8">
        <v>45801.0</v>
      </c>
      <c r="B142" s="92" t="s">
        <v>8</v>
      </c>
      <c r="C142" s="93" t="s">
        <v>9</v>
      </c>
      <c r="D142" s="94">
        <v>14.0</v>
      </c>
      <c r="E142" s="92" t="s">
        <v>10</v>
      </c>
      <c r="F142" s="92" t="s">
        <v>11</v>
      </c>
      <c r="G142" s="92" t="s">
        <v>30</v>
      </c>
      <c r="H142" s="95">
        <v>5.0</v>
      </c>
      <c r="I142" s="96" t="s">
        <v>40</v>
      </c>
      <c r="J142" s="97"/>
    </row>
    <row r="143" ht="22.5" customHeight="1">
      <c r="A143" s="8">
        <v>45802.0</v>
      </c>
      <c r="B143" s="92" t="s">
        <v>26</v>
      </c>
      <c r="C143" s="93" t="s">
        <v>9</v>
      </c>
      <c r="D143" s="94">
        <v>25.0</v>
      </c>
      <c r="E143" s="92" t="s">
        <v>22</v>
      </c>
      <c r="F143" s="92" t="s">
        <v>15</v>
      </c>
      <c r="G143" s="92" t="s">
        <v>30</v>
      </c>
      <c r="H143" s="95">
        <v>5.0</v>
      </c>
      <c r="I143" s="96" t="s">
        <v>13</v>
      </c>
      <c r="J143" s="97"/>
    </row>
    <row r="144" ht="22.5" customHeight="1">
      <c r="A144" s="8">
        <v>45803.0</v>
      </c>
      <c r="B144" s="92" t="s">
        <v>8</v>
      </c>
      <c r="C144" s="93" t="s">
        <v>24</v>
      </c>
      <c r="D144" s="94">
        <v>15.0</v>
      </c>
      <c r="E144" s="92" t="s">
        <v>10</v>
      </c>
      <c r="F144" s="92" t="s">
        <v>11</v>
      </c>
      <c r="G144" s="92" t="s">
        <v>30</v>
      </c>
      <c r="H144" s="95">
        <v>5.0</v>
      </c>
      <c r="I144" s="96" t="s">
        <v>39</v>
      </c>
      <c r="J144" s="97"/>
    </row>
    <row r="145" ht="22.5" customHeight="1">
      <c r="A145" s="8">
        <v>45804.0</v>
      </c>
      <c r="B145" s="92" t="s">
        <v>17</v>
      </c>
      <c r="C145" s="93" t="s">
        <v>9</v>
      </c>
      <c r="D145" s="94">
        <v>10.0</v>
      </c>
      <c r="E145" s="92" t="s">
        <v>10</v>
      </c>
      <c r="F145" s="92" t="s">
        <v>11</v>
      </c>
      <c r="G145" s="92" t="s">
        <v>30</v>
      </c>
      <c r="H145" s="95">
        <v>5.0</v>
      </c>
      <c r="I145" s="96" t="s">
        <v>16</v>
      </c>
      <c r="J145" s="97"/>
    </row>
    <row r="146" ht="22.5" customHeight="1">
      <c r="A146" s="8">
        <v>45805.0</v>
      </c>
      <c r="B146" s="92" t="s">
        <v>8</v>
      </c>
      <c r="C146" s="93" t="s">
        <v>9</v>
      </c>
      <c r="D146" s="94">
        <v>14.0</v>
      </c>
      <c r="E146" s="92" t="s">
        <v>10</v>
      </c>
      <c r="F146" s="92" t="s">
        <v>11</v>
      </c>
      <c r="G146" s="92" t="s">
        <v>30</v>
      </c>
      <c r="H146" s="95">
        <v>5.0</v>
      </c>
      <c r="I146" s="96" t="s">
        <v>18</v>
      </c>
      <c r="J146" s="97"/>
    </row>
    <row r="147" ht="22.5" customHeight="1">
      <c r="A147" s="8">
        <v>45806.0</v>
      </c>
      <c r="B147" s="92" t="s">
        <v>19</v>
      </c>
      <c r="C147" s="93" t="s">
        <v>9</v>
      </c>
      <c r="D147" s="94">
        <v>7.0</v>
      </c>
      <c r="E147" s="92" t="s">
        <v>10</v>
      </c>
      <c r="F147" s="92" t="s">
        <v>15</v>
      </c>
      <c r="G147" s="92" t="s">
        <v>30</v>
      </c>
      <c r="H147" s="95">
        <v>5.0</v>
      </c>
      <c r="I147" s="96" t="s">
        <v>33</v>
      </c>
      <c r="J147" s="97"/>
    </row>
    <row r="148" ht="22.5" customHeight="1">
      <c r="A148" s="8">
        <v>45807.0</v>
      </c>
      <c r="B148" s="92" t="s">
        <v>8</v>
      </c>
      <c r="C148" s="93" t="s">
        <v>21</v>
      </c>
      <c r="D148" s="94">
        <v>16.0</v>
      </c>
      <c r="E148" s="92" t="s">
        <v>10</v>
      </c>
      <c r="F148" s="92" t="s">
        <v>15</v>
      </c>
      <c r="G148" s="92" t="s">
        <v>30</v>
      </c>
      <c r="H148" s="95">
        <v>5.0</v>
      </c>
      <c r="I148" s="96" t="s">
        <v>20</v>
      </c>
      <c r="J148" s="97"/>
    </row>
    <row r="149" ht="22.5" customHeight="1">
      <c r="A149" s="8">
        <v>45808.0</v>
      </c>
      <c r="B149" s="92" t="s">
        <v>17</v>
      </c>
      <c r="C149" s="93" t="s">
        <v>9</v>
      </c>
      <c r="D149" s="94">
        <v>10.0</v>
      </c>
      <c r="E149" s="92" t="s">
        <v>10</v>
      </c>
      <c r="F149" s="92" t="s">
        <v>11</v>
      </c>
      <c r="G149" s="92" t="s">
        <v>30</v>
      </c>
      <c r="H149" s="95">
        <v>5.0</v>
      </c>
      <c r="I149" s="96" t="s">
        <v>40</v>
      </c>
      <c r="J149" s="97"/>
    </row>
    <row r="150" ht="22.5" customHeight="1">
      <c r="A150" s="8">
        <v>45809.0</v>
      </c>
      <c r="B150" s="92" t="s">
        <v>19</v>
      </c>
      <c r="C150" s="93" t="s">
        <v>9</v>
      </c>
      <c r="D150" s="94">
        <v>7.0</v>
      </c>
      <c r="E150" s="92" t="s">
        <v>10</v>
      </c>
      <c r="F150" s="92" t="s">
        <v>11</v>
      </c>
      <c r="G150" s="92" t="s">
        <v>31</v>
      </c>
      <c r="H150" s="95">
        <v>6.0</v>
      </c>
      <c r="I150" s="96" t="s">
        <v>13</v>
      </c>
      <c r="J150" s="97"/>
    </row>
    <row r="151" ht="22.5" customHeight="1">
      <c r="A151" s="8">
        <v>45811.0</v>
      </c>
      <c r="B151" s="92" t="s">
        <v>8</v>
      </c>
      <c r="C151" s="93" t="s">
        <v>9</v>
      </c>
      <c r="D151" s="94">
        <v>21.0</v>
      </c>
      <c r="E151" s="92" t="s">
        <v>10</v>
      </c>
      <c r="F151" s="92" t="s">
        <v>11</v>
      </c>
      <c r="G151" s="92" t="s">
        <v>31</v>
      </c>
      <c r="H151" s="95">
        <v>6.0</v>
      </c>
      <c r="I151" s="96" t="s">
        <v>16</v>
      </c>
      <c r="J151" s="97"/>
    </row>
    <row r="152" ht="22.5" customHeight="1">
      <c r="A152" s="8">
        <v>45812.0</v>
      </c>
      <c r="B152" s="92" t="s">
        <v>17</v>
      </c>
      <c r="C152" s="93" t="s">
        <v>9</v>
      </c>
      <c r="D152" s="94">
        <v>14.0</v>
      </c>
      <c r="E152" s="92" t="s">
        <v>10</v>
      </c>
      <c r="F152" s="92" t="s">
        <v>15</v>
      </c>
      <c r="G152" s="92" t="s">
        <v>31</v>
      </c>
      <c r="H152" s="95">
        <v>6.0</v>
      </c>
      <c r="I152" s="96" t="s">
        <v>18</v>
      </c>
      <c r="J152" s="97"/>
    </row>
    <row r="153" ht="22.5" customHeight="1">
      <c r="A153" s="8">
        <v>45814.0</v>
      </c>
      <c r="B153" s="92" t="s">
        <v>14</v>
      </c>
      <c r="C153" s="93" t="s">
        <v>24</v>
      </c>
      <c r="D153" s="94">
        <v>20.0</v>
      </c>
      <c r="E153" s="92" t="s">
        <v>10</v>
      </c>
      <c r="F153" s="92" t="s">
        <v>11</v>
      </c>
      <c r="G153" s="92" t="s">
        <v>31</v>
      </c>
      <c r="H153" s="95">
        <v>6.0</v>
      </c>
      <c r="I153" s="96" t="s">
        <v>20</v>
      </c>
      <c r="J153" s="97"/>
    </row>
    <row r="154" ht="22.5" customHeight="1">
      <c r="A154" s="8">
        <v>45816.0</v>
      </c>
      <c r="B154" s="92" t="s">
        <v>8</v>
      </c>
      <c r="C154" s="93" t="s">
        <v>9</v>
      </c>
      <c r="D154" s="94">
        <v>14.0</v>
      </c>
      <c r="E154" s="92" t="s">
        <v>10</v>
      </c>
      <c r="F154" s="92" t="s">
        <v>11</v>
      </c>
      <c r="G154" s="92" t="s">
        <v>31</v>
      </c>
      <c r="H154" s="95">
        <v>6.0</v>
      </c>
      <c r="I154" s="96" t="s">
        <v>13</v>
      </c>
      <c r="J154" s="97"/>
    </row>
    <row r="155" ht="22.5" customHeight="1">
      <c r="A155" s="8">
        <v>45818.0</v>
      </c>
      <c r="B155" s="92" t="s">
        <v>19</v>
      </c>
      <c r="C155" s="93" t="s">
        <v>9</v>
      </c>
      <c r="D155" s="94">
        <v>7.0</v>
      </c>
      <c r="E155" s="92" t="s">
        <v>10</v>
      </c>
      <c r="F155" s="92" t="s">
        <v>15</v>
      </c>
      <c r="G155" s="92" t="s">
        <v>31</v>
      </c>
      <c r="H155" s="95">
        <v>6.0</v>
      </c>
      <c r="I155" s="96" t="s">
        <v>16</v>
      </c>
      <c r="J155" s="97"/>
    </row>
    <row r="156" ht="22.5" customHeight="1">
      <c r="A156" s="8">
        <v>45819.0</v>
      </c>
      <c r="B156" s="92" t="s">
        <v>17</v>
      </c>
      <c r="C156" s="93" t="s">
        <v>9</v>
      </c>
      <c r="D156" s="94">
        <v>11.0</v>
      </c>
      <c r="E156" s="92" t="s">
        <v>10</v>
      </c>
      <c r="F156" s="92" t="s">
        <v>11</v>
      </c>
      <c r="G156" s="92" t="s">
        <v>31</v>
      </c>
      <c r="H156" s="95">
        <v>6.0</v>
      </c>
      <c r="I156" s="96" t="s">
        <v>18</v>
      </c>
      <c r="J156" s="97"/>
    </row>
    <row r="157" ht="22.5" customHeight="1">
      <c r="A157" s="8">
        <v>45821.0</v>
      </c>
      <c r="B157" s="92" t="s">
        <v>8</v>
      </c>
      <c r="C157" s="93" t="s">
        <v>9</v>
      </c>
      <c r="D157" s="94">
        <v>15.0</v>
      </c>
      <c r="E157" s="92" t="s">
        <v>10</v>
      </c>
      <c r="F157" s="92" t="s">
        <v>11</v>
      </c>
      <c r="G157" s="92" t="s">
        <v>31</v>
      </c>
      <c r="H157" s="95">
        <v>6.0</v>
      </c>
      <c r="I157" s="96" t="s">
        <v>20</v>
      </c>
      <c r="J157" s="97"/>
    </row>
    <row r="158" ht="22.5" customHeight="1">
      <c r="A158" s="8">
        <v>45823.0</v>
      </c>
      <c r="B158" s="92" t="s">
        <v>23</v>
      </c>
      <c r="C158" s="93" t="s">
        <v>9</v>
      </c>
      <c r="D158" s="94">
        <v>19.0</v>
      </c>
      <c r="E158" s="92" t="s">
        <v>10</v>
      </c>
      <c r="F158" s="92" t="s">
        <v>15</v>
      </c>
      <c r="G158" s="92" t="s">
        <v>31</v>
      </c>
      <c r="H158" s="95">
        <v>6.0</v>
      </c>
      <c r="I158" s="96" t="s">
        <v>13</v>
      </c>
      <c r="J158" s="97"/>
    </row>
    <row r="159" ht="22.5" customHeight="1">
      <c r="A159" s="8">
        <v>45825.0</v>
      </c>
      <c r="B159" s="92" t="s">
        <v>8</v>
      </c>
      <c r="C159" s="93" t="s">
        <v>21</v>
      </c>
      <c r="D159" s="94">
        <v>14.0</v>
      </c>
      <c r="E159" s="92" t="s">
        <v>10</v>
      </c>
      <c r="F159" s="92" t="s">
        <v>11</v>
      </c>
      <c r="G159" s="92" t="s">
        <v>31</v>
      </c>
      <c r="H159" s="95">
        <v>6.0</v>
      </c>
      <c r="I159" s="96" t="s">
        <v>16</v>
      </c>
      <c r="J159" s="97"/>
    </row>
    <row r="160" ht="22.5" customHeight="1">
      <c r="A160" s="8">
        <v>45826.0</v>
      </c>
      <c r="B160" s="92" t="s">
        <v>17</v>
      </c>
      <c r="C160" s="93" t="s">
        <v>24</v>
      </c>
      <c r="D160" s="94">
        <v>10.0</v>
      </c>
      <c r="E160" s="92" t="s">
        <v>10</v>
      </c>
      <c r="F160" s="92" t="s">
        <v>11</v>
      </c>
      <c r="G160" s="92" t="s">
        <v>31</v>
      </c>
      <c r="H160" s="95">
        <v>6.0</v>
      </c>
      <c r="I160" s="96" t="s">
        <v>18</v>
      </c>
      <c r="J160" s="97"/>
    </row>
    <row r="161" ht="22.5" customHeight="1">
      <c r="A161" s="8">
        <v>45828.0</v>
      </c>
      <c r="B161" s="92" t="s">
        <v>14</v>
      </c>
      <c r="C161" s="93" t="s">
        <v>9</v>
      </c>
      <c r="D161" s="94">
        <v>24.0</v>
      </c>
      <c r="E161" s="92" t="s">
        <v>10</v>
      </c>
      <c r="F161" s="92" t="s">
        <v>15</v>
      </c>
      <c r="G161" s="92" t="s">
        <v>31</v>
      </c>
      <c r="H161" s="95">
        <v>6.0</v>
      </c>
      <c r="I161" s="96" t="s">
        <v>20</v>
      </c>
      <c r="J161" s="97"/>
    </row>
    <row r="162" ht="22.5" customHeight="1">
      <c r="A162" s="8">
        <v>45830.0</v>
      </c>
      <c r="B162" s="92" t="s">
        <v>8</v>
      </c>
      <c r="C162" s="93" t="s">
        <v>9</v>
      </c>
      <c r="D162" s="94">
        <v>14.0</v>
      </c>
      <c r="E162" s="92" t="s">
        <v>10</v>
      </c>
      <c r="F162" s="92" t="s">
        <v>11</v>
      </c>
      <c r="G162" s="92" t="s">
        <v>31</v>
      </c>
      <c r="H162" s="95">
        <v>6.0</v>
      </c>
      <c r="I162" s="96" t="s">
        <v>13</v>
      </c>
      <c r="J162" s="97"/>
    </row>
    <row r="163" ht="22.5" customHeight="1">
      <c r="A163" s="8">
        <v>45832.0</v>
      </c>
      <c r="B163" s="92" t="s">
        <v>19</v>
      </c>
      <c r="C163" s="93" t="s">
        <v>9</v>
      </c>
      <c r="D163" s="94">
        <v>7.0</v>
      </c>
      <c r="E163" s="92" t="s">
        <v>10</v>
      </c>
      <c r="F163" s="92" t="s">
        <v>11</v>
      </c>
      <c r="G163" s="92" t="s">
        <v>31</v>
      </c>
      <c r="H163" s="95">
        <v>6.0</v>
      </c>
      <c r="I163" s="96" t="s">
        <v>16</v>
      </c>
      <c r="J163" s="97"/>
    </row>
    <row r="164" ht="22.5" customHeight="1">
      <c r="A164" s="8">
        <v>45833.0</v>
      </c>
      <c r="B164" s="92" t="s">
        <v>26</v>
      </c>
      <c r="C164" s="93" t="s">
        <v>9</v>
      </c>
      <c r="D164" s="94">
        <v>22.0</v>
      </c>
      <c r="E164" s="92" t="s">
        <v>10</v>
      </c>
      <c r="F164" s="92" t="s">
        <v>15</v>
      </c>
      <c r="G164" s="92" t="s">
        <v>31</v>
      </c>
      <c r="H164" s="95">
        <v>6.0</v>
      </c>
      <c r="I164" s="96" t="s">
        <v>18</v>
      </c>
      <c r="J164" s="97"/>
    </row>
    <row r="165" ht="22.5" customHeight="1">
      <c r="A165" s="8">
        <v>45835.0</v>
      </c>
      <c r="B165" s="92" t="s">
        <v>8</v>
      </c>
      <c r="C165" s="93" t="s">
        <v>9</v>
      </c>
      <c r="D165" s="94">
        <v>14.0</v>
      </c>
      <c r="E165" s="92" t="s">
        <v>10</v>
      </c>
      <c r="F165" s="92" t="s">
        <v>11</v>
      </c>
      <c r="G165" s="92" t="s">
        <v>31</v>
      </c>
      <c r="H165" s="95">
        <v>6.0</v>
      </c>
      <c r="I165" s="96" t="s">
        <v>20</v>
      </c>
      <c r="J165" s="97"/>
    </row>
    <row r="166" ht="22.5" customHeight="1">
      <c r="A166" s="8">
        <v>45837.0</v>
      </c>
      <c r="B166" s="92" t="s">
        <v>17</v>
      </c>
      <c r="C166" s="93" t="s">
        <v>9</v>
      </c>
      <c r="D166" s="94">
        <v>9.0</v>
      </c>
      <c r="E166" s="92" t="s">
        <v>10</v>
      </c>
      <c r="F166" s="92" t="s">
        <v>11</v>
      </c>
      <c r="G166" s="92" t="s">
        <v>31</v>
      </c>
      <c r="H166" s="95">
        <v>6.0</v>
      </c>
      <c r="I166" s="96" t="s">
        <v>13</v>
      </c>
      <c r="J166" s="97"/>
    </row>
    <row r="167" ht="22.5" customHeight="1">
      <c r="A167" s="8">
        <v>45839.0</v>
      </c>
      <c r="B167" s="92" t="s">
        <v>8</v>
      </c>
      <c r="C167" s="93" t="s">
        <v>9</v>
      </c>
      <c r="D167" s="94">
        <v>21.0</v>
      </c>
      <c r="E167" s="92" t="s">
        <v>10</v>
      </c>
      <c r="F167" s="92" t="s">
        <v>15</v>
      </c>
      <c r="G167" s="92" t="s">
        <v>32</v>
      </c>
      <c r="H167" s="95">
        <v>7.0</v>
      </c>
      <c r="I167" s="96" t="s">
        <v>16</v>
      </c>
      <c r="J167" s="97"/>
    </row>
    <row r="168" ht="22.5" customHeight="1">
      <c r="A168" s="8">
        <v>45841.0</v>
      </c>
      <c r="B168" s="92" t="s">
        <v>14</v>
      </c>
      <c r="C168" s="93" t="s">
        <v>9</v>
      </c>
      <c r="D168" s="94">
        <v>28.0</v>
      </c>
      <c r="E168" s="92" t="s">
        <v>22</v>
      </c>
      <c r="F168" s="92" t="s">
        <v>11</v>
      </c>
      <c r="G168" s="92" t="s">
        <v>32</v>
      </c>
      <c r="H168" s="95">
        <v>7.0</v>
      </c>
      <c r="I168" s="96" t="s">
        <v>33</v>
      </c>
      <c r="J168" s="97"/>
    </row>
    <row r="169" ht="22.5" customHeight="1">
      <c r="A169" s="8">
        <v>45844.0</v>
      </c>
      <c r="B169" s="92" t="s">
        <v>19</v>
      </c>
      <c r="C169" s="93" t="s">
        <v>9</v>
      </c>
      <c r="D169" s="94">
        <v>7.0</v>
      </c>
      <c r="E169" s="92" t="s">
        <v>10</v>
      </c>
      <c r="F169" s="92" t="s">
        <v>11</v>
      </c>
      <c r="G169" s="92" t="s">
        <v>32</v>
      </c>
      <c r="H169" s="95">
        <v>7.0</v>
      </c>
      <c r="I169" s="96" t="s">
        <v>13</v>
      </c>
      <c r="J169" s="97"/>
    </row>
    <row r="170" ht="22.5" customHeight="1">
      <c r="A170" s="8">
        <v>45846.0</v>
      </c>
      <c r="B170" s="92" t="s">
        <v>17</v>
      </c>
      <c r="C170" s="93" t="s">
        <v>9</v>
      </c>
      <c r="D170" s="94">
        <v>14.0</v>
      </c>
      <c r="E170" s="92" t="s">
        <v>10</v>
      </c>
      <c r="F170" s="92" t="s">
        <v>15</v>
      </c>
      <c r="G170" s="92" t="s">
        <v>32</v>
      </c>
      <c r="H170" s="95">
        <v>7.0</v>
      </c>
      <c r="I170" s="96" t="s">
        <v>16</v>
      </c>
      <c r="J170" s="97"/>
    </row>
    <row r="171" ht="22.5" customHeight="1">
      <c r="A171" s="8">
        <v>45848.0</v>
      </c>
      <c r="B171" s="92" t="s">
        <v>8</v>
      </c>
      <c r="C171" s="93" t="s">
        <v>24</v>
      </c>
      <c r="D171" s="94">
        <v>15.0</v>
      </c>
      <c r="E171" s="92" t="s">
        <v>10</v>
      </c>
      <c r="F171" s="92" t="s">
        <v>11</v>
      </c>
      <c r="G171" s="92" t="s">
        <v>32</v>
      </c>
      <c r="H171" s="95">
        <v>7.0</v>
      </c>
      <c r="I171" s="96" t="s">
        <v>33</v>
      </c>
      <c r="J171" s="97"/>
    </row>
    <row r="172" ht="22.5" customHeight="1">
      <c r="A172" s="8">
        <v>45851.0</v>
      </c>
      <c r="B172" s="92" t="s">
        <v>8</v>
      </c>
      <c r="C172" s="93" t="s">
        <v>9</v>
      </c>
      <c r="D172" s="94">
        <v>21.0</v>
      </c>
      <c r="E172" s="92" t="s">
        <v>10</v>
      </c>
      <c r="F172" s="92" t="s">
        <v>11</v>
      </c>
      <c r="G172" s="92" t="s">
        <v>32</v>
      </c>
      <c r="H172" s="95">
        <v>7.0</v>
      </c>
      <c r="I172" s="96" t="s">
        <v>13</v>
      </c>
      <c r="J172" s="97"/>
    </row>
    <row r="173" ht="22.5" customHeight="1">
      <c r="A173" s="8">
        <v>45853.0</v>
      </c>
      <c r="B173" s="92" t="s">
        <v>17</v>
      </c>
      <c r="C173" s="93" t="s">
        <v>9</v>
      </c>
      <c r="D173" s="94">
        <v>12.0</v>
      </c>
      <c r="E173" s="92" t="s">
        <v>10</v>
      </c>
      <c r="F173" s="92" t="s">
        <v>15</v>
      </c>
      <c r="G173" s="92" t="s">
        <v>32</v>
      </c>
      <c r="H173" s="95">
        <v>7.0</v>
      </c>
      <c r="I173" s="96" t="s">
        <v>16</v>
      </c>
      <c r="J173" s="97"/>
    </row>
    <row r="174" ht="22.5" customHeight="1">
      <c r="A174" s="8">
        <v>45855.0</v>
      </c>
      <c r="B174" s="92" t="s">
        <v>23</v>
      </c>
      <c r="C174" s="93" t="s">
        <v>9</v>
      </c>
      <c r="D174" s="94">
        <v>20.0</v>
      </c>
      <c r="E174" s="92" t="s">
        <v>10</v>
      </c>
      <c r="F174" s="92" t="s">
        <v>11</v>
      </c>
      <c r="G174" s="92" t="s">
        <v>32</v>
      </c>
      <c r="H174" s="95">
        <v>7.0</v>
      </c>
      <c r="I174" s="96" t="s">
        <v>33</v>
      </c>
      <c r="J174" s="97"/>
    </row>
    <row r="175" ht="22.5" customHeight="1">
      <c r="A175" s="8">
        <v>45858.0</v>
      </c>
      <c r="B175" s="92" t="s">
        <v>8</v>
      </c>
      <c r="C175" s="93" t="s">
        <v>21</v>
      </c>
      <c r="D175" s="94">
        <v>14.0</v>
      </c>
      <c r="E175" s="92" t="s">
        <v>10</v>
      </c>
      <c r="F175" s="92" t="s">
        <v>11</v>
      </c>
      <c r="G175" s="92" t="s">
        <v>32</v>
      </c>
      <c r="H175" s="95">
        <v>7.0</v>
      </c>
      <c r="I175" s="96" t="s">
        <v>13</v>
      </c>
      <c r="J175" s="97"/>
    </row>
    <row r="176" ht="22.5" customHeight="1">
      <c r="A176" s="8">
        <v>45860.0</v>
      </c>
      <c r="B176" s="92" t="s">
        <v>19</v>
      </c>
      <c r="C176" s="93" t="s">
        <v>9</v>
      </c>
      <c r="D176" s="94">
        <v>7.0</v>
      </c>
      <c r="E176" s="92" t="s">
        <v>10</v>
      </c>
      <c r="F176" s="92" t="s">
        <v>15</v>
      </c>
      <c r="G176" s="92" t="s">
        <v>32</v>
      </c>
      <c r="H176" s="95">
        <v>7.0</v>
      </c>
      <c r="I176" s="96" t="s">
        <v>16</v>
      </c>
      <c r="J176" s="97"/>
    </row>
    <row r="177" ht="22.5" customHeight="1">
      <c r="A177" s="8">
        <v>45862.0</v>
      </c>
      <c r="B177" s="92" t="s">
        <v>8</v>
      </c>
      <c r="C177" s="93" t="s">
        <v>9</v>
      </c>
      <c r="D177" s="94">
        <v>21.0</v>
      </c>
      <c r="E177" s="92" t="s">
        <v>10</v>
      </c>
      <c r="F177" s="92" t="s">
        <v>11</v>
      </c>
      <c r="G177" s="92" t="s">
        <v>32</v>
      </c>
      <c r="H177" s="95">
        <v>7.0</v>
      </c>
      <c r="I177" s="96" t="s">
        <v>33</v>
      </c>
      <c r="J177" s="97"/>
    </row>
    <row r="178" ht="22.5" customHeight="1">
      <c r="A178" s="8">
        <v>45865.0</v>
      </c>
      <c r="B178" s="92" t="s">
        <v>17</v>
      </c>
      <c r="C178" s="93" t="s">
        <v>9</v>
      </c>
      <c r="D178" s="94">
        <v>10.0</v>
      </c>
      <c r="E178" s="92" t="s">
        <v>10</v>
      </c>
      <c r="F178" s="92" t="s">
        <v>11</v>
      </c>
      <c r="G178" s="92" t="s">
        <v>32</v>
      </c>
      <c r="H178" s="95">
        <v>7.0</v>
      </c>
      <c r="I178" s="96" t="s">
        <v>13</v>
      </c>
      <c r="J178" s="97"/>
    </row>
    <row r="179" ht="22.5" customHeight="1">
      <c r="A179" s="8">
        <v>45867.0</v>
      </c>
      <c r="B179" s="92" t="s">
        <v>14</v>
      </c>
      <c r="C179" s="93" t="s">
        <v>9</v>
      </c>
      <c r="D179" s="94">
        <v>25.0</v>
      </c>
      <c r="E179" s="92" t="s">
        <v>10</v>
      </c>
      <c r="F179" s="92" t="s">
        <v>15</v>
      </c>
      <c r="G179" s="92" t="s">
        <v>32</v>
      </c>
      <c r="H179" s="95">
        <v>7.0</v>
      </c>
      <c r="I179" s="96" t="s">
        <v>16</v>
      </c>
      <c r="J179" s="97"/>
    </row>
    <row r="180" ht="22.5" customHeight="1">
      <c r="A180" s="8">
        <v>45869.0</v>
      </c>
      <c r="B180" s="92" t="s">
        <v>8</v>
      </c>
      <c r="C180" s="93" t="s">
        <v>9</v>
      </c>
      <c r="D180" s="94">
        <v>14.0</v>
      </c>
      <c r="E180" s="92" t="s">
        <v>10</v>
      </c>
      <c r="F180" s="92" t="s">
        <v>11</v>
      </c>
      <c r="G180" s="92" t="s">
        <v>32</v>
      </c>
      <c r="H180" s="95">
        <v>7.0</v>
      </c>
      <c r="I180" s="96" t="s">
        <v>33</v>
      </c>
      <c r="J180" s="97"/>
    </row>
    <row r="181" ht="22.5" customHeight="1">
      <c r="A181" s="8">
        <v>45872.0</v>
      </c>
      <c r="B181" s="92" t="s">
        <v>19</v>
      </c>
      <c r="C181" s="93" t="s">
        <v>9</v>
      </c>
      <c r="D181" s="94">
        <v>7.0</v>
      </c>
      <c r="E181" s="92" t="s">
        <v>10</v>
      </c>
      <c r="F181" s="92" t="s">
        <v>11</v>
      </c>
      <c r="G181" s="92" t="s">
        <v>34</v>
      </c>
      <c r="H181" s="95">
        <v>8.0</v>
      </c>
      <c r="I181" s="96" t="s">
        <v>13</v>
      </c>
      <c r="J181" s="97"/>
    </row>
    <row r="182" ht="22.5" customHeight="1">
      <c r="A182" s="8">
        <v>45874.0</v>
      </c>
      <c r="B182" s="92" t="s">
        <v>8</v>
      </c>
      <c r="C182" s="93" t="s">
        <v>9</v>
      </c>
      <c r="D182" s="94">
        <v>28.0</v>
      </c>
      <c r="E182" s="92" t="s">
        <v>22</v>
      </c>
      <c r="F182" s="92" t="s">
        <v>15</v>
      </c>
      <c r="G182" s="92" t="s">
        <v>34</v>
      </c>
      <c r="H182" s="95">
        <v>8.0</v>
      </c>
      <c r="I182" s="96" t="s">
        <v>16</v>
      </c>
      <c r="J182" s="97"/>
    </row>
    <row r="183" ht="22.5" customHeight="1">
      <c r="A183" s="8">
        <v>45876.0</v>
      </c>
      <c r="B183" s="92" t="s">
        <v>17</v>
      </c>
      <c r="C183" s="93" t="s">
        <v>24</v>
      </c>
      <c r="D183" s="94">
        <v>14.0</v>
      </c>
      <c r="E183" s="92" t="s">
        <v>10</v>
      </c>
      <c r="F183" s="92" t="s">
        <v>11</v>
      </c>
      <c r="G183" s="92" t="s">
        <v>34</v>
      </c>
      <c r="H183" s="95">
        <v>8.0</v>
      </c>
      <c r="I183" s="96" t="s">
        <v>33</v>
      </c>
      <c r="J183" s="97"/>
    </row>
    <row r="184" ht="22.5" customHeight="1">
      <c r="A184" s="8">
        <v>45879.0</v>
      </c>
      <c r="B184" s="92" t="s">
        <v>8</v>
      </c>
      <c r="C184" s="93" t="s">
        <v>9</v>
      </c>
      <c r="D184" s="94">
        <v>21.0</v>
      </c>
      <c r="E184" s="92" t="s">
        <v>10</v>
      </c>
      <c r="F184" s="92" t="s">
        <v>11</v>
      </c>
      <c r="G184" s="92" t="s">
        <v>34</v>
      </c>
      <c r="H184" s="95">
        <v>8.0</v>
      </c>
      <c r="I184" s="96" t="s">
        <v>13</v>
      </c>
      <c r="J184" s="97"/>
    </row>
    <row r="185" ht="22.5" customHeight="1">
      <c r="A185" s="8">
        <v>45881.0</v>
      </c>
      <c r="B185" s="92" t="s">
        <v>14</v>
      </c>
      <c r="C185" s="93" t="s">
        <v>9</v>
      </c>
      <c r="D185" s="94">
        <v>23.0</v>
      </c>
      <c r="E185" s="92" t="s">
        <v>10</v>
      </c>
      <c r="F185" s="92" t="s">
        <v>15</v>
      </c>
      <c r="G185" s="92" t="s">
        <v>34</v>
      </c>
      <c r="H185" s="95">
        <v>8.0</v>
      </c>
      <c r="I185" s="96" t="s">
        <v>16</v>
      </c>
      <c r="J185" s="97"/>
    </row>
    <row r="186" ht="22.5" customHeight="1">
      <c r="A186" s="8">
        <v>45883.0</v>
      </c>
      <c r="B186" s="92" t="s">
        <v>17</v>
      </c>
      <c r="C186" s="93" t="s">
        <v>9</v>
      </c>
      <c r="D186" s="94">
        <v>11.0</v>
      </c>
      <c r="E186" s="92" t="s">
        <v>10</v>
      </c>
      <c r="F186" s="92" t="s">
        <v>11</v>
      </c>
      <c r="G186" s="92" t="s">
        <v>34</v>
      </c>
      <c r="H186" s="95">
        <v>8.0</v>
      </c>
      <c r="I186" s="96" t="s">
        <v>33</v>
      </c>
      <c r="J186" s="97"/>
    </row>
    <row r="187" ht="22.5" customHeight="1">
      <c r="A187" s="8">
        <v>45886.0</v>
      </c>
      <c r="B187" s="92" t="s">
        <v>8</v>
      </c>
      <c r="C187" s="93" t="s">
        <v>9</v>
      </c>
      <c r="D187" s="94">
        <v>14.0</v>
      </c>
      <c r="E187" s="92" t="s">
        <v>10</v>
      </c>
      <c r="F187" s="92" t="s">
        <v>11</v>
      </c>
      <c r="G187" s="92" t="s">
        <v>34</v>
      </c>
      <c r="H187" s="95">
        <v>8.0</v>
      </c>
      <c r="I187" s="96" t="s">
        <v>13</v>
      </c>
      <c r="J187" s="97"/>
    </row>
    <row r="188" ht="22.5" customHeight="1">
      <c r="A188" s="8">
        <v>45888.0</v>
      </c>
      <c r="B188" s="92" t="s">
        <v>19</v>
      </c>
      <c r="C188" s="93" t="s">
        <v>9</v>
      </c>
      <c r="D188" s="94">
        <v>7.0</v>
      </c>
      <c r="E188" s="92" t="s">
        <v>10</v>
      </c>
      <c r="F188" s="92" t="s">
        <v>15</v>
      </c>
      <c r="G188" s="92" t="s">
        <v>34</v>
      </c>
      <c r="H188" s="95">
        <v>8.0</v>
      </c>
      <c r="I188" s="96" t="s">
        <v>16</v>
      </c>
      <c r="J188" s="97"/>
    </row>
    <row r="189" ht="22.5" customHeight="1">
      <c r="A189" s="8">
        <v>45890.0</v>
      </c>
      <c r="B189" s="92" t="s">
        <v>26</v>
      </c>
      <c r="C189" s="93" t="s">
        <v>21</v>
      </c>
      <c r="D189" s="94">
        <v>26.0</v>
      </c>
      <c r="E189" s="92" t="s">
        <v>10</v>
      </c>
      <c r="F189" s="92" t="s">
        <v>11</v>
      </c>
      <c r="G189" s="92" t="s">
        <v>34</v>
      </c>
      <c r="H189" s="95">
        <v>8.0</v>
      </c>
      <c r="I189" s="96" t="s">
        <v>33</v>
      </c>
      <c r="J189" s="97"/>
    </row>
    <row r="190" ht="22.5" customHeight="1">
      <c r="A190" s="8">
        <v>45893.0</v>
      </c>
      <c r="B190" s="92" t="s">
        <v>8</v>
      </c>
      <c r="C190" s="93" t="s">
        <v>9</v>
      </c>
      <c r="D190" s="94">
        <v>21.0</v>
      </c>
      <c r="E190" s="92" t="s">
        <v>10</v>
      </c>
      <c r="F190" s="92" t="s">
        <v>11</v>
      </c>
      <c r="G190" s="92" t="s">
        <v>34</v>
      </c>
      <c r="H190" s="95">
        <v>8.0</v>
      </c>
      <c r="I190" s="96" t="s">
        <v>13</v>
      </c>
      <c r="J190" s="97"/>
    </row>
    <row r="191" ht="22.5" customHeight="1">
      <c r="A191" s="8">
        <v>45895.0</v>
      </c>
      <c r="B191" s="92" t="s">
        <v>17</v>
      </c>
      <c r="C191" s="93" t="s">
        <v>9</v>
      </c>
      <c r="D191" s="94">
        <v>10.0</v>
      </c>
      <c r="E191" s="92" t="s">
        <v>10</v>
      </c>
      <c r="F191" s="92" t="s">
        <v>15</v>
      </c>
      <c r="G191" s="92" t="s">
        <v>34</v>
      </c>
      <c r="H191" s="95">
        <v>8.0</v>
      </c>
      <c r="I191" s="96" t="s">
        <v>16</v>
      </c>
      <c r="J191" s="97"/>
    </row>
    <row r="192" ht="22.5" customHeight="1">
      <c r="A192" s="8">
        <v>45897.0</v>
      </c>
      <c r="B192" s="92" t="s">
        <v>8</v>
      </c>
      <c r="C192" s="93" t="s">
        <v>24</v>
      </c>
      <c r="D192" s="94">
        <v>14.0</v>
      </c>
      <c r="E192" s="92" t="s">
        <v>10</v>
      </c>
      <c r="F192" s="92" t="s">
        <v>11</v>
      </c>
      <c r="G192" s="92" t="s">
        <v>34</v>
      </c>
      <c r="H192" s="95">
        <v>8.0</v>
      </c>
      <c r="I192" s="96" t="s">
        <v>33</v>
      </c>
      <c r="J192" s="97"/>
    </row>
    <row r="193" ht="22.5" customHeight="1">
      <c r="A193" s="8">
        <v>45900.0</v>
      </c>
      <c r="B193" s="92" t="s">
        <v>23</v>
      </c>
      <c r="C193" s="93" t="s">
        <v>9</v>
      </c>
      <c r="D193" s="94">
        <v>19.0</v>
      </c>
      <c r="E193" s="92" t="s">
        <v>10</v>
      </c>
      <c r="F193" s="92" t="s">
        <v>11</v>
      </c>
      <c r="G193" s="92" t="s">
        <v>34</v>
      </c>
      <c r="H193" s="95">
        <v>8.0</v>
      </c>
      <c r="I193" s="96" t="s">
        <v>13</v>
      </c>
      <c r="J193" s="97"/>
    </row>
    <row r="194" ht="22.5" customHeight="1">
      <c r="A194" s="8">
        <v>45902.0</v>
      </c>
      <c r="B194" s="92" t="s">
        <v>8</v>
      </c>
      <c r="C194" s="93" t="s">
        <v>9</v>
      </c>
      <c r="D194" s="94">
        <v>14.0</v>
      </c>
      <c r="E194" s="92" t="s">
        <v>10</v>
      </c>
      <c r="F194" s="92" t="s">
        <v>15</v>
      </c>
      <c r="G194" s="92" t="s">
        <v>35</v>
      </c>
      <c r="H194" s="95">
        <v>9.0</v>
      </c>
      <c r="I194" s="96" t="s">
        <v>16</v>
      </c>
      <c r="J194" s="97"/>
    </row>
    <row r="195" ht="22.5" customHeight="1">
      <c r="A195" s="8">
        <v>45903.0</v>
      </c>
      <c r="B195" s="92" t="s">
        <v>17</v>
      </c>
      <c r="C195" s="93" t="s">
        <v>9</v>
      </c>
      <c r="D195" s="94">
        <v>9.0</v>
      </c>
      <c r="E195" s="92" t="s">
        <v>10</v>
      </c>
      <c r="F195" s="92" t="s">
        <v>11</v>
      </c>
      <c r="G195" s="92" t="s">
        <v>35</v>
      </c>
      <c r="H195" s="95">
        <v>9.0</v>
      </c>
      <c r="I195" s="96" t="s">
        <v>18</v>
      </c>
      <c r="J195" s="97"/>
    </row>
    <row r="196" ht="22.5" customHeight="1">
      <c r="A196" s="8">
        <v>45905.0</v>
      </c>
      <c r="B196" s="92" t="s">
        <v>14</v>
      </c>
      <c r="C196" s="93" t="s">
        <v>9</v>
      </c>
      <c r="D196" s="94">
        <v>21.0</v>
      </c>
      <c r="E196" s="92" t="s">
        <v>10</v>
      </c>
      <c r="F196" s="92" t="s">
        <v>11</v>
      </c>
      <c r="G196" s="92" t="s">
        <v>35</v>
      </c>
      <c r="H196" s="95">
        <v>9.0</v>
      </c>
      <c r="I196" s="96" t="s">
        <v>20</v>
      </c>
      <c r="J196" s="97"/>
    </row>
    <row r="197" ht="22.5" customHeight="1">
      <c r="A197" s="8">
        <v>45907.0</v>
      </c>
      <c r="B197" s="92" t="s">
        <v>8</v>
      </c>
      <c r="C197" s="93" t="s">
        <v>21</v>
      </c>
      <c r="D197" s="94">
        <v>14.0</v>
      </c>
      <c r="E197" s="92" t="s">
        <v>10</v>
      </c>
      <c r="F197" s="92" t="s">
        <v>15</v>
      </c>
      <c r="G197" s="92" t="s">
        <v>35</v>
      </c>
      <c r="H197" s="95">
        <v>9.0</v>
      </c>
      <c r="I197" s="96" t="s">
        <v>13</v>
      </c>
      <c r="J197" s="97"/>
    </row>
    <row r="198" ht="22.5" customHeight="1">
      <c r="A198" s="8">
        <v>45909.0</v>
      </c>
      <c r="B198" s="92" t="s">
        <v>19</v>
      </c>
      <c r="C198" s="93" t="s">
        <v>9</v>
      </c>
      <c r="D198" s="94">
        <v>7.0</v>
      </c>
      <c r="E198" s="92" t="s">
        <v>10</v>
      </c>
      <c r="F198" s="92" t="s">
        <v>11</v>
      </c>
      <c r="G198" s="92" t="s">
        <v>35</v>
      </c>
      <c r="H198" s="95">
        <v>9.0</v>
      </c>
      <c r="I198" s="96" t="s">
        <v>16</v>
      </c>
      <c r="J198" s="97"/>
    </row>
    <row r="199" ht="22.5" customHeight="1">
      <c r="A199" s="8">
        <v>45910.0</v>
      </c>
      <c r="B199" s="92" t="s">
        <v>17</v>
      </c>
      <c r="C199" s="93" t="s">
        <v>24</v>
      </c>
      <c r="D199" s="94">
        <v>12.0</v>
      </c>
      <c r="E199" s="92" t="s">
        <v>10</v>
      </c>
      <c r="F199" s="92" t="s">
        <v>11</v>
      </c>
      <c r="G199" s="92" t="s">
        <v>35</v>
      </c>
      <c r="H199" s="95">
        <v>9.0</v>
      </c>
      <c r="I199" s="96" t="s">
        <v>18</v>
      </c>
      <c r="J199" s="97"/>
    </row>
    <row r="200" ht="22.5" customHeight="1">
      <c r="A200" s="8">
        <v>45912.0</v>
      </c>
      <c r="B200" s="92" t="s">
        <v>8</v>
      </c>
      <c r="C200" s="93" t="s">
        <v>9</v>
      </c>
      <c r="D200" s="94">
        <v>14.0</v>
      </c>
      <c r="E200" s="92" t="s">
        <v>10</v>
      </c>
      <c r="F200" s="92" t="s">
        <v>15</v>
      </c>
      <c r="G200" s="92" t="s">
        <v>35</v>
      </c>
      <c r="H200" s="95">
        <v>9.0</v>
      </c>
      <c r="I200" s="96" t="s">
        <v>20</v>
      </c>
      <c r="J200" s="97"/>
    </row>
    <row r="201" ht="22.5" customHeight="1">
      <c r="A201" s="8">
        <v>45914.0</v>
      </c>
      <c r="B201" s="92" t="s">
        <v>8</v>
      </c>
      <c r="C201" s="93" t="s">
        <v>9</v>
      </c>
      <c r="D201" s="94">
        <v>16.0</v>
      </c>
      <c r="E201" s="92" t="s">
        <v>22</v>
      </c>
      <c r="F201" s="92" t="s">
        <v>11</v>
      </c>
      <c r="G201" s="92" t="s">
        <v>35</v>
      </c>
      <c r="H201" s="95">
        <v>9.0</v>
      </c>
      <c r="I201" s="96" t="s">
        <v>13</v>
      </c>
      <c r="J201" s="97"/>
    </row>
    <row r="202" ht="22.5" customHeight="1">
      <c r="A202" s="8">
        <v>45916.0</v>
      </c>
      <c r="B202" s="92" t="s">
        <v>23</v>
      </c>
      <c r="C202" s="93" t="s">
        <v>9</v>
      </c>
      <c r="D202" s="94">
        <v>18.0</v>
      </c>
      <c r="E202" s="92" t="s">
        <v>10</v>
      </c>
      <c r="F202" s="92" t="s">
        <v>15</v>
      </c>
      <c r="G202" s="92" t="s">
        <v>35</v>
      </c>
      <c r="H202" s="95">
        <v>9.0</v>
      </c>
      <c r="I202" s="96" t="s">
        <v>16</v>
      </c>
      <c r="J202" s="97"/>
    </row>
    <row r="203" ht="22.5" customHeight="1">
      <c r="A203" s="8">
        <v>45917.0</v>
      </c>
      <c r="B203" s="92" t="s">
        <v>17</v>
      </c>
      <c r="C203" s="93" t="s">
        <v>9</v>
      </c>
      <c r="D203" s="94">
        <v>10.0</v>
      </c>
      <c r="E203" s="92" t="s">
        <v>10</v>
      </c>
      <c r="F203" s="92" t="s">
        <v>11</v>
      </c>
      <c r="G203" s="92" t="s">
        <v>35</v>
      </c>
      <c r="H203" s="95">
        <v>9.0</v>
      </c>
      <c r="I203" s="96" t="s">
        <v>18</v>
      </c>
      <c r="J203" s="97"/>
    </row>
    <row r="204" ht="22.5" customHeight="1">
      <c r="A204" s="8">
        <v>45919.0</v>
      </c>
      <c r="B204" s="92" t="s">
        <v>14</v>
      </c>
      <c r="C204" s="93" t="s">
        <v>9</v>
      </c>
      <c r="D204" s="94">
        <v>22.0</v>
      </c>
      <c r="E204" s="92" t="s">
        <v>10</v>
      </c>
      <c r="F204" s="92" t="s">
        <v>11</v>
      </c>
      <c r="G204" s="92" t="s">
        <v>35</v>
      </c>
      <c r="H204" s="95">
        <v>9.0</v>
      </c>
      <c r="I204" s="96" t="s">
        <v>20</v>
      </c>
      <c r="J204" s="97"/>
    </row>
    <row r="205" ht="22.5" customHeight="1">
      <c r="A205" s="8">
        <v>45921.0</v>
      </c>
      <c r="B205" s="92" t="s">
        <v>8</v>
      </c>
      <c r="C205" s="93" t="s">
        <v>9</v>
      </c>
      <c r="D205" s="94">
        <v>14.0</v>
      </c>
      <c r="E205" s="92" t="s">
        <v>10</v>
      </c>
      <c r="F205" s="92" t="s">
        <v>15</v>
      </c>
      <c r="G205" s="92" t="s">
        <v>35</v>
      </c>
      <c r="H205" s="95">
        <v>9.0</v>
      </c>
      <c r="I205" s="96" t="s">
        <v>13</v>
      </c>
      <c r="J205" s="97"/>
    </row>
    <row r="206" ht="22.5" customHeight="1">
      <c r="A206" s="8">
        <v>45923.0</v>
      </c>
      <c r="B206" s="92" t="s">
        <v>19</v>
      </c>
      <c r="C206" s="93" t="s">
        <v>9</v>
      </c>
      <c r="D206" s="94">
        <v>7.0</v>
      </c>
      <c r="E206" s="92" t="s">
        <v>10</v>
      </c>
      <c r="F206" s="92" t="s">
        <v>11</v>
      </c>
      <c r="G206" s="92" t="s">
        <v>35</v>
      </c>
      <c r="H206" s="95">
        <v>9.0</v>
      </c>
      <c r="I206" s="96" t="s">
        <v>16</v>
      </c>
      <c r="J206" s="97"/>
    </row>
    <row r="207" ht="22.5" customHeight="1">
      <c r="A207" s="8">
        <v>45924.0</v>
      </c>
      <c r="B207" s="92" t="s">
        <v>8</v>
      </c>
      <c r="C207" s="93" t="s">
        <v>24</v>
      </c>
      <c r="D207" s="94">
        <v>14.0</v>
      </c>
      <c r="E207" s="92" t="s">
        <v>10</v>
      </c>
      <c r="F207" s="92" t="s">
        <v>11</v>
      </c>
      <c r="G207" s="92" t="s">
        <v>35</v>
      </c>
      <c r="H207" s="95">
        <v>9.0</v>
      </c>
      <c r="I207" s="96" t="s">
        <v>18</v>
      </c>
      <c r="J207" s="97"/>
    </row>
    <row r="208" ht="22.5" customHeight="1">
      <c r="A208" s="8">
        <v>45926.0</v>
      </c>
      <c r="B208" s="92" t="s">
        <v>26</v>
      </c>
      <c r="C208" s="93" t="s">
        <v>9</v>
      </c>
      <c r="D208" s="94">
        <v>24.0</v>
      </c>
      <c r="E208" s="92" t="s">
        <v>10</v>
      </c>
      <c r="F208" s="92" t="s">
        <v>15</v>
      </c>
      <c r="G208" s="92" t="s">
        <v>35</v>
      </c>
      <c r="H208" s="95">
        <v>9.0</v>
      </c>
      <c r="I208" s="96" t="s">
        <v>20</v>
      </c>
      <c r="J208" s="97"/>
    </row>
    <row r="209" ht="22.5" customHeight="1">
      <c r="A209" s="8">
        <v>45928.0</v>
      </c>
      <c r="B209" s="92" t="s">
        <v>17</v>
      </c>
      <c r="C209" s="93" t="s">
        <v>9</v>
      </c>
      <c r="D209" s="94">
        <v>9.0</v>
      </c>
      <c r="E209" s="92" t="s">
        <v>10</v>
      </c>
      <c r="F209" s="92" t="s">
        <v>11</v>
      </c>
      <c r="G209" s="92" t="s">
        <v>35</v>
      </c>
      <c r="H209" s="95">
        <v>9.0</v>
      </c>
      <c r="I209" s="96" t="s">
        <v>13</v>
      </c>
      <c r="J209" s="97"/>
    </row>
    <row r="210" ht="22.5" customHeight="1">
      <c r="A210" s="8">
        <v>45930.0</v>
      </c>
      <c r="B210" s="92" t="s">
        <v>8</v>
      </c>
      <c r="C210" s="93" t="s">
        <v>9</v>
      </c>
      <c r="D210" s="94">
        <v>14.0</v>
      </c>
      <c r="E210" s="92" t="s">
        <v>10</v>
      </c>
      <c r="F210" s="92" t="s">
        <v>11</v>
      </c>
      <c r="G210" s="92" t="s">
        <v>35</v>
      </c>
      <c r="H210" s="95">
        <v>9.0</v>
      </c>
      <c r="I210" s="96" t="s">
        <v>16</v>
      </c>
      <c r="J210" s="97"/>
    </row>
    <row r="211" ht="22.5" customHeight="1">
      <c r="A211" s="8">
        <v>45931.0</v>
      </c>
      <c r="B211" s="92" t="s">
        <v>14</v>
      </c>
      <c r="C211" s="93" t="s">
        <v>9</v>
      </c>
      <c r="D211" s="94">
        <v>21.0</v>
      </c>
      <c r="E211" s="92" t="s">
        <v>10</v>
      </c>
      <c r="F211" s="92" t="s">
        <v>15</v>
      </c>
      <c r="G211" s="92" t="s">
        <v>36</v>
      </c>
      <c r="H211" s="95">
        <v>10.0</v>
      </c>
      <c r="I211" s="96" t="s">
        <v>18</v>
      </c>
      <c r="J211" s="97"/>
    </row>
    <row r="212" ht="22.5" customHeight="1">
      <c r="A212" s="8">
        <v>45933.0</v>
      </c>
      <c r="B212" s="92" t="s">
        <v>8</v>
      </c>
      <c r="C212" s="93" t="s">
        <v>21</v>
      </c>
      <c r="D212" s="94">
        <v>14.0</v>
      </c>
      <c r="E212" s="92" t="s">
        <v>10</v>
      </c>
      <c r="F212" s="92" t="s">
        <v>11</v>
      </c>
      <c r="G212" s="92" t="s">
        <v>36</v>
      </c>
      <c r="H212" s="95">
        <v>10.0</v>
      </c>
      <c r="I212" s="96" t="s">
        <v>20</v>
      </c>
      <c r="J212" s="97"/>
    </row>
    <row r="213" ht="22.5" customHeight="1">
      <c r="A213" s="8">
        <v>45935.0</v>
      </c>
      <c r="B213" s="92" t="s">
        <v>19</v>
      </c>
      <c r="C213" s="93" t="s">
        <v>9</v>
      </c>
      <c r="D213" s="94">
        <v>7.0</v>
      </c>
      <c r="E213" s="92" t="s">
        <v>10</v>
      </c>
      <c r="F213" s="92" t="s">
        <v>11</v>
      </c>
      <c r="G213" s="92" t="s">
        <v>36</v>
      </c>
      <c r="H213" s="95">
        <v>10.0</v>
      </c>
      <c r="I213" s="96" t="s">
        <v>13</v>
      </c>
      <c r="J213" s="97"/>
    </row>
    <row r="214" ht="22.5" customHeight="1">
      <c r="A214" s="8">
        <v>45937.0</v>
      </c>
      <c r="B214" s="92" t="s">
        <v>17</v>
      </c>
      <c r="C214" s="93" t="s">
        <v>9</v>
      </c>
      <c r="D214" s="94">
        <v>11.0</v>
      </c>
      <c r="E214" s="92" t="s">
        <v>10</v>
      </c>
      <c r="F214" s="92" t="s">
        <v>15</v>
      </c>
      <c r="G214" s="92" t="s">
        <v>36</v>
      </c>
      <c r="H214" s="95">
        <v>10.0</v>
      </c>
      <c r="I214" s="96" t="s">
        <v>16</v>
      </c>
      <c r="J214" s="97"/>
    </row>
    <row r="215" ht="22.5" customHeight="1">
      <c r="A215" s="8">
        <v>45938.0</v>
      </c>
      <c r="B215" s="92" t="s">
        <v>8</v>
      </c>
      <c r="C215" s="93" t="s">
        <v>9</v>
      </c>
      <c r="D215" s="94">
        <v>14.0</v>
      </c>
      <c r="E215" s="92" t="s">
        <v>10</v>
      </c>
      <c r="F215" s="92" t="s">
        <v>11</v>
      </c>
      <c r="G215" s="92" t="s">
        <v>36</v>
      </c>
      <c r="H215" s="95">
        <v>10.0</v>
      </c>
      <c r="I215" s="96" t="s">
        <v>18</v>
      </c>
      <c r="J215" s="97"/>
    </row>
    <row r="216" ht="22.5" customHeight="1">
      <c r="A216" s="8">
        <v>45940.0</v>
      </c>
      <c r="B216" s="92" t="s">
        <v>8</v>
      </c>
      <c r="C216" s="93" t="s">
        <v>9</v>
      </c>
      <c r="D216" s="94">
        <v>15.0</v>
      </c>
      <c r="E216" s="92" t="s">
        <v>10</v>
      </c>
      <c r="F216" s="92" t="s">
        <v>11</v>
      </c>
      <c r="G216" s="92" t="s">
        <v>36</v>
      </c>
      <c r="H216" s="95">
        <v>10.0</v>
      </c>
      <c r="I216" s="96" t="s">
        <v>20</v>
      </c>
      <c r="J216" s="97"/>
    </row>
    <row r="217" ht="22.5" customHeight="1">
      <c r="A217" s="8">
        <v>45942.0</v>
      </c>
      <c r="B217" s="92" t="s">
        <v>23</v>
      </c>
      <c r="C217" s="93" t="s">
        <v>9</v>
      </c>
      <c r="D217" s="94">
        <v>20.0</v>
      </c>
      <c r="E217" s="92" t="s">
        <v>10</v>
      </c>
      <c r="F217" s="92" t="s">
        <v>15</v>
      </c>
      <c r="G217" s="92" t="s">
        <v>36</v>
      </c>
      <c r="H217" s="95">
        <v>10.0</v>
      </c>
      <c r="I217" s="96" t="s">
        <v>13</v>
      </c>
      <c r="J217" s="97"/>
    </row>
    <row r="218" ht="22.5" customHeight="1">
      <c r="A218" s="8">
        <v>45944.0</v>
      </c>
      <c r="B218" s="92" t="s">
        <v>17</v>
      </c>
      <c r="C218" s="93" t="s">
        <v>24</v>
      </c>
      <c r="D218" s="94">
        <v>10.0</v>
      </c>
      <c r="E218" s="92" t="s">
        <v>10</v>
      </c>
      <c r="F218" s="92" t="s">
        <v>11</v>
      </c>
      <c r="G218" s="92" t="s">
        <v>36</v>
      </c>
      <c r="H218" s="95">
        <v>10.0</v>
      </c>
      <c r="I218" s="96" t="s">
        <v>16</v>
      </c>
      <c r="J218" s="97"/>
    </row>
    <row r="219" ht="22.5" customHeight="1">
      <c r="A219" s="8">
        <v>45945.0</v>
      </c>
      <c r="B219" s="92" t="s">
        <v>14</v>
      </c>
      <c r="C219" s="93" t="s">
        <v>9</v>
      </c>
      <c r="D219" s="94">
        <v>23.0</v>
      </c>
      <c r="E219" s="92" t="s">
        <v>10</v>
      </c>
      <c r="F219" s="92" t="s">
        <v>11</v>
      </c>
      <c r="G219" s="92" t="s">
        <v>36</v>
      </c>
      <c r="H219" s="95">
        <v>10.0</v>
      </c>
      <c r="I219" s="96" t="s">
        <v>18</v>
      </c>
      <c r="J219" s="97"/>
    </row>
    <row r="220" ht="22.5" customHeight="1">
      <c r="A220" s="8">
        <v>45947.0</v>
      </c>
      <c r="B220" s="92" t="s">
        <v>8</v>
      </c>
      <c r="C220" s="93" t="s">
        <v>9</v>
      </c>
      <c r="D220" s="94">
        <v>14.0</v>
      </c>
      <c r="E220" s="92" t="s">
        <v>10</v>
      </c>
      <c r="F220" s="92" t="s">
        <v>15</v>
      </c>
      <c r="G220" s="92" t="s">
        <v>36</v>
      </c>
      <c r="H220" s="95">
        <v>10.0</v>
      </c>
      <c r="I220" s="96" t="s">
        <v>20</v>
      </c>
      <c r="J220" s="97"/>
    </row>
    <row r="221" ht="22.5" customHeight="1">
      <c r="A221" s="8">
        <v>45949.0</v>
      </c>
      <c r="B221" s="92" t="s">
        <v>19</v>
      </c>
      <c r="C221" s="93" t="s">
        <v>9</v>
      </c>
      <c r="D221" s="94">
        <v>7.0</v>
      </c>
      <c r="E221" s="92" t="s">
        <v>10</v>
      </c>
      <c r="F221" s="92" t="s">
        <v>11</v>
      </c>
      <c r="G221" s="92" t="s">
        <v>36</v>
      </c>
      <c r="H221" s="95">
        <v>10.0</v>
      </c>
      <c r="I221" s="96" t="s">
        <v>13</v>
      </c>
      <c r="J221" s="97"/>
    </row>
    <row r="222" ht="22.5" customHeight="1">
      <c r="A222" s="8">
        <v>45951.0</v>
      </c>
      <c r="B222" s="92" t="s">
        <v>8</v>
      </c>
      <c r="C222" s="93" t="s">
        <v>9</v>
      </c>
      <c r="D222" s="94">
        <v>14.0</v>
      </c>
      <c r="E222" s="92" t="s">
        <v>10</v>
      </c>
      <c r="F222" s="92" t="s">
        <v>11</v>
      </c>
      <c r="G222" s="92" t="s">
        <v>36</v>
      </c>
      <c r="H222" s="95">
        <v>10.0</v>
      </c>
      <c r="I222" s="96" t="s">
        <v>16</v>
      </c>
      <c r="J222" s="97"/>
    </row>
    <row r="223" ht="22.5" customHeight="1">
      <c r="A223" s="8">
        <v>45952.0</v>
      </c>
      <c r="B223" s="92" t="s">
        <v>17</v>
      </c>
      <c r="C223" s="93" t="s">
        <v>9</v>
      </c>
      <c r="D223" s="94">
        <v>9.0</v>
      </c>
      <c r="E223" s="92" t="s">
        <v>10</v>
      </c>
      <c r="F223" s="92" t="s">
        <v>15</v>
      </c>
      <c r="G223" s="92" t="s">
        <v>36</v>
      </c>
      <c r="H223" s="95">
        <v>10.0</v>
      </c>
      <c r="I223" s="96" t="s">
        <v>18</v>
      </c>
      <c r="J223" s="97"/>
    </row>
    <row r="224" ht="22.5" customHeight="1">
      <c r="A224" s="8">
        <v>45954.0</v>
      </c>
      <c r="B224" s="92" t="s">
        <v>26</v>
      </c>
      <c r="C224" s="93" t="s">
        <v>21</v>
      </c>
      <c r="D224" s="94">
        <v>25.0</v>
      </c>
      <c r="E224" s="92" t="s">
        <v>10</v>
      </c>
      <c r="F224" s="92" t="s">
        <v>11</v>
      </c>
      <c r="G224" s="92" t="s">
        <v>36</v>
      </c>
      <c r="H224" s="95">
        <v>10.0</v>
      </c>
      <c r="I224" s="96" t="s">
        <v>20</v>
      </c>
      <c r="J224" s="97"/>
    </row>
    <row r="225" ht="22.5" customHeight="1">
      <c r="A225" s="8">
        <v>45956.0</v>
      </c>
      <c r="B225" s="92" t="s">
        <v>8</v>
      </c>
      <c r="C225" s="93" t="s">
        <v>9</v>
      </c>
      <c r="D225" s="94">
        <v>14.0</v>
      </c>
      <c r="E225" s="92" t="s">
        <v>10</v>
      </c>
      <c r="F225" s="92" t="s">
        <v>11</v>
      </c>
      <c r="G225" s="92" t="s">
        <v>36</v>
      </c>
      <c r="H225" s="95">
        <v>10.0</v>
      </c>
      <c r="I225" s="96" t="s">
        <v>13</v>
      </c>
      <c r="J225" s="97"/>
    </row>
    <row r="226" ht="22.5" customHeight="1">
      <c r="A226" s="8">
        <v>45958.0</v>
      </c>
      <c r="B226" s="92" t="s">
        <v>8</v>
      </c>
      <c r="C226" s="93" t="s">
        <v>24</v>
      </c>
      <c r="D226" s="94">
        <v>16.0</v>
      </c>
      <c r="E226" s="92" t="s">
        <v>10</v>
      </c>
      <c r="F226" s="92" t="s">
        <v>15</v>
      </c>
      <c r="G226" s="92" t="s">
        <v>36</v>
      </c>
      <c r="H226" s="95">
        <v>10.0</v>
      </c>
      <c r="I226" s="96" t="s">
        <v>16</v>
      </c>
      <c r="J226" s="97"/>
    </row>
    <row r="227" ht="22.5" customHeight="1">
      <c r="A227" s="8">
        <v>45959.0</v>
      </c>
      <c r="B227" s="92" t="s">
        <v>14</v>
      </c>
      <c r="C227" s="93" t="s">
        <v>9</v>
      </c>
      <c r="D227" s="94">
        <v>21.0</v>
      </c>
      <c r="E227" s="92" t="s">
        <v>10</v>
      </c>
      <c r="F227" s="92" t="s">
        <v>11</v>
      </c>
      <c r="G227" s="92" t="s">
        <v>36</v>
      </c>
      <c r="H227" s="95">
        <v>10.0</v>
      </c>
      <c r="I227" s="96" t="s">
        <v>18</v>
      </c>
      <c r="J227" s="97"/>
    </row>
    <row r="228" ht="22.5" customHeight="1">
      <c r="A228" s="8">
        <v>45961.0</v>
      </c>
      <c r="B228" s="92" t="s">
        <v>17</v>
      </c>
      <c r="C228" s="93" t="s">
        <v>9</v>
      </c>
      <c r="D228" s="94">
        <v>10.0</v>
      </c>
      <c r="E228" s="92" t="s">
        <v>10</v>
      </c>
      <c r="F228" s="92" t="s">
        <v>11</v>
      </c>
      <c r="G228" s="92" t="s">
        <v>36</v>
      </c>
      <c r="H228" s="95">
        <v>10.0</v>
      </c>
      <c r="I228" s="96" t="s">
        <v>20</v>
      </c>
      <c r="J228" s="97"/>
    </row>
    <row r="229" ht="22.5" customHeight="1">
      <c r="A229" s="8">
        <v>45963.0</v>
      </c>
      <c r="B229" s="92" t="s">
        <v>8</v>
      </c>
      <c r="C229" s="93" t="s">
        <v>9</v>
      </c>
      <c r="D229" s="94">
        <v>14.0</v>
      </c>
      <c r="E229" s="92" t="s">
        <v>10</v>
      </c>
      <c r="F229" s="92" t="s">
        <v>15</v>
      </c>
      <c r="G229" s="92" t="s">
        <v>37</v>
      </c>
      <c r="H229" s="95">
        <v>11.0</v>
      </c>
      <c r="I229" s="96" t="s">
        <v>13</v>
      </c>
      <c r="J229" s="97"/>
    </row>
    <row r="230" ht="22.5" customHeight="1">
      <c r="A230" s="8">
        <v>45965.0</v>
      </c>
      <c r="B230" s="92" t="s">
        <v>19</v>
      </c>
      <c r="C230" s="93" t="s">
        <v>9</v>
      </c>
      <c r="D230" s="94">
        <v>7.0</v>
      </c>
      <c r="E230" s="92" t="s">
        <v>10</v>
      </c>
      <c r="F230" s="92" t="s">
        <v>11</v>
      </c>
      <c r="G230" s="92" t="s">
        <v>37</v>
      </c>
      <c r="H230" s="95">
        <v>11.0</v>
      </c>
      <c r="I230" s="96" t="s">
        <v>16</v>
      </c>
      <c r="J230" s="97"/>
    </row>
    <row r="231" ht="22.5" customHeight="1">
      <c r="A231" s="8">
        <v>45966.0</v>
      </c>
      <c r="B231" s="92" t="s">
        <v>8</v>
      </c>
      <c r="C231" s="93" t="s">
        <v>21</v>
      </c>
      <c r="D231" s="94">
        <v>14.0</v>
      </c>
      <c r="E231" s="92" t="s">
        <v>10</v>
      </c>
      <c r="F231" s="92" t="s">
        <v>11</v>
      </c>
      <c r="G231" s="92" t="s">
        <v>37</v>
      </c>
      <c r="H231" s="95">
        <v>11.0</v>
      </c>
      <c r="I231" s="96" t="s">
        <v>18</v>
      </c>
      <c r="J231" s="97"/>
    </row>
    <row r="232" ht="22.5" customHeight="1">
      <c r="A232" s="8">
        <v>45968.0</v>
      </c>
      <c r="B232" s="92" t="s">
        <v>17</v>
      </c>
      <c r="C232" s="93" t="s">
        <v>9</v>
      </c>
      <c r="D232" s="94">
        <v>12.0</v>
      </c>
      <c r="E232" s="92" t="s">
        <v>10</v>
      </c>
      <c r="F232" s="92" t="s">
        <v>15</v>
      </c>
      <c r="G232" s="92" t="s">
        <v>37</v>
      </c>
      <c r="H232" s="95">
        <v>11.0</v>
      </c>
      <c r="I232" s="96" t="s">
        <v>20</v>
      </c>
      <c r="J232" s="97"/>
    </row>
    <row r="233" ht="22.5" customHeight="1">
      <c r="A233" s="8">
        <v>45970.0</v>
      </c>
      <c r="B233" s="92" t="s">
        <v>14</v>
      </c>
      <c r="C233" s="93" t="s">
        <v>9</v>
      </c>
      <c r="D233" s="94">
        <v>22.0</v>
      </c>
      <c r="E233" s="92" t="s">
        <v>10</v>
      </c>
      <c r="F233" s="92" t="s">
        <v>11</v>
      </c>
      <c r="G233" s="92" t="s">
        <v>37</v>
      </c>
      <c r="H233" s="95">
        <v>11.0</v>
      </c>
      <c r="I233" s="96" t="s">
        <v>13</v>
      </c>
      <c r="J233" s="97"/>
    </row>
    <row r="234" ht="22.5" customHeight="1">
      <c r="A234" s="8">
        <v>45972.0</v>
      </c>
      <c r="B234" s="92" t="s">
        <v>8</v>
      </c>
      <c r="C234" s="93" t="s">
        <v>9</v>
      </c>
      <c r="D234" s="94">
        <v>14.0</v>
      </c>
      <c r="E234" s="92" t="s">
        <v>10</v>
      </c>
      <c r="F234" s="92" t="s">
        <v>11</v>
      </c>
      <c r="G234" s="92" t="s">
        <v>37</v>
      </c>
      <c r="H234" s="95">
        <v>11.0</v>
      </c>
      <c r="I234" s="96" t="s">
        <v>16</v>
      </c>
      <c r="J234" s="97"/>
    </row>
    <row r="235" ht="22.5" customHeight="1">
      <c r="A235" s="8">
        <v>45973.0</v>
      </c>
      <c r="B235" s="92" t="s">
        <v>23</v>
      </c>
      <c r="C235" s="93" t="s">
        <v>9</v>
      </c>
      <c r="D235" s="94">
        <v>19.0</v>
      </c>
      <c r="E235" s="92" t="s">
        <v>10</v>
      </c>
      <c r="F235" s="92" t="s">
        <v>15</v>
      </c>
      <c r="G235" s="92" t="s">
        <v>37</v>
      </c>
      <c r="H235" s="95">
        <v>11.0</v>
      </c>
      <c r="I235" s="96" t="s">
        <v>18</v>
      </c>
      <c r="J235" s="97"/>
    </row>
    <row r="236" ht="22.5" customHeight="1">
      <c r="A236" s="8">
        <v>45975.0</v>
      </c>
      <c r="B236" s="92" t="s">
        <v>17</v>
      </c>
      <c r="C236" s="93" t="s">
        <v>24</v>
      </c>
      <c r="D236" s="94">
        <v>9.0</v>
      </c>
      <c r="E236" s="92" t="s">
        <v>10</v>
      </c>
      <c r="F236" s="92" t="s">
        <v>11</v>
      </c>
      <c r="G236" s="92" t="s">
        <v>37</v>
      </c>
      <c r="H236" s="95">
        <v>11.0</v>
      </c>
      <c r="I236" s="96" t="s">
        <v>20</v>
      </c>
      <c r="J236" s="97"/>
    </row>
    <row r="237" ht="22.5" customHeight="1">
      <c r="A237" s="8">
        <v>45977.0</v>
      </c>
      <c r="B237" s="92" t="s">
        <v>8</v>
      </c>
      <c r="C237" s="93" t="s">
        <v>9</v>
      </c>
      <c r="D237" s="94">
        <v>14.0</v>
      </c>
      <c r="E237" s="92" t="s">
        <v>10</v>
      </c>
      <c r="F237" s="92" t="s">
        <v>11</v>
      </c>
      <c r="G237" s="92" t="s">
        <v>37</v>
      </c>
      <c r="H237" s="95">
        <v>11.0</v>
      </c>
      <c r="I237" s="96" t="s">
        <v>13</v>
      </c>
      <c r="J237" s="97"/>
    </row>
    <row r="238" ht="22.5" customHeight="1">
      <c r="A238" s="8">
        <v>45979.0</v>
      </c>
      <c r="B238" s="92" t="s">
        <v>19</v>
      </c>
      <c r="C238" s="93" t="s">
        <v>9</v>
      </c>
      <c r="D238" s="94">
        <v>7.0</v>
      </c>
      <c r="E238" s="92" t="s">
        <v>10</v>
      </c>
      <c r="F238" s="92" t="s">
        <v>15</v>
      </c>
      <c r="G238" s="92" t="s">
        <v>37</v>
      </c>
      <c r="H238" s="95">
        <v>11.0</v>
      </c>
      <c r="I238" s="96" t="s">
        <v>16</v>
      </c>
      <c r="J238" s="97"/>
    </row>
    <row r="239" ht="22.5" customHeight="1">
      <c r="A239" s="8">
        <v>45980.0</v>
      </c>
      <c r="B239" s="92" t="s">
        <v>14</v>
      </c>
      <c r="C239" s="93" t="s">
        <v>9</v>
      </c>
      <c r="D239" s="94">
        <v>24.0</v>
      </c>
      <c r="E239" s="92" t="s">
        <v>22</v>
      </c>
      <c r="F239" s="92" t="s">
        <v>11</v>
      </c>
      <c r="G239" s="92" t="s">
        <v>37</v>
      </c>
      <c r="H239" s="95">
        <v>11.0</v>
      </c>
      <c r="I239" s="96" t="s">
        <v>18</v>
      </c>
      <c r="J239" s="97"/>
    </row>
    <row r="240" ht="22.5" customHeight="1">
      <c r="A240" s="8">
        <v>45982.0</v>
      </c>
      <c r="B240" s="92" t="s">
        <v>8</v>
      </c>
      <c r="C240" s="93" t="s">
        <v>9</v>
      </c>
      <c r="D240" s="94">
        <v>14.0</v>
      </c>
      <c r="E240" s="92" t="s">
        <v>10</v>
      </c>
      <c r="F240" s="92" t="s">
        <v>11</v>
      </c>
      <c r="G240" s="92" t="s">
        <v>37</v>
      </c>
      <c r="H240" s="95">
        <v>11.0</v>
      </c>
      <c r="I240" s="96" t="s">
        <v>20</v>
      </c>
      <c r="J240" s="97"/>
    </row>
    <row r="241" ht="22.5" customHeight="1">
      <c r="A241" s="8">
        <v>45984.0</v>
      </c>
      <c r="B241" s="92" t="s">
        <v>17</v>
      </c>
      <c r="C241" s="93" t="s">
        <v>9</v>
      </c>
      <c r="D241" s="94">
        <v>10.0</v>
      </c>
      <c r="E241" s="92" t="s">
        <v>10</v>
      </c>
      <c r="F241" s="92" t="s">
        <v>15</v>
      </c>
      <c r="G241" s="92" t="s">
        <v>37</v>
      </c>
      <c r="H241" s="95">
        <v>11.0</v>
      </c>
      <c r="I241" s="96" t="s">
        <v>13</v>
      </c>
      <c r="J241" s="97"/>
    </row>
    <row r="242" ht="22.5" customHeight="1">
      <c r="A242" s="8">
        <v>45986.0</v>
      </c>
      <c r="B242" s="92" t="s">
        <v>26</v>
      </c>
      <c r="C242" s="93" t="s">
        <v>9</v>
      </c>
      <c r="D242" s="94">
        <v>26.0</v>
      </c>
      <c r="E242" s="92" t="s">
        <v>10</v>
      </c>
      <c r="F242" s="92" t="s">
        <v>11</v>
      </c>
      <c r="G242" s="92" t="s">
        <v>37</v>
      </c>
      <c r="H242" s="95">
        <v>11.0</v>
      </c>
      <c r="I242" s="96" t="s">
        <v>16</v>
      </c>
      <c r="J242" s="97"/>
    </row>
    <row r="243" ht="22.5" customHeight="1">
      <c r="A243" s="8">
        <v>45987.0</v>
      </c>
      <c r="B243" s="92" t="s">
        <v>8</v>
      </c>
      <c r="C243" s="93" t="s">
        <v>24</v>
      </c>
      <c r="D243" s="94">
        <v>14.0</v>
      </c>
      <c r="E243" s="92" t="s">
        <v>10</v>
      </c>
      <c r="F243" s="92" t="s">
        <v>11</v>
      </c>
      <c r="G243" s="92" t="s">
        <v>37</v>
      </c>
      <c r="H243" s="95">
        <v>11.0</v>
      </c>
      <c r="I243" s="96" t="s">
        <v>18</v>
      </c>
      <c r="J243" s="97"/>
    </row>
    <row r="244" ht="22.5" customHeight="1">
      <c r="A244" s="8">
        <v>45989.0</v>
      </c>
      <c r="B244" s="92" t="s">
        <v>8</v>
      </c>
      <c r="C244" s="93" t="s">
        <v>9</v>
      </c>
      <c r="D244" s="94">
        <v>15.0</v>
      </c>
      <c r="E244" s="92" t="s">
        <v>10</v>
      </c>
      <c r="F244" s="92" t="s">
        <v>15</v>
      </c>
      <c r="G244" s="92" t="s">
        <v>37</v>
      </c>
      <c r="H244" s="95">
        <v>11.0</v>
      </c>
      <c r="I244" s="96" t="s">
        <v>20</v>
      </c>
      <c r="J244" s="97"/>
    </row>
    <row r="245" ht="22.5" customHeight="1">
      <c r="A245" s="8">
        <v>45991.0</v>
      </c>
      <c r="B245" s="92" t="s">
        <v>17</v>
      </c>
      <c r="C245" s="93" t="s">
        <v>9</v>
      </c>
      <c r="D245" s="94">
        <v>11.0</v>
      </c>
      <c r="E245" s="92" t="s">
        <v>10</v>
      </c>
      <c r="F245" s="92" t="s">
        <v>11</v>
      </c>
      <c r="G245" s="92" t="s">
        <v>37</v>
      </c>
      <c r="H245" s="95">
        <v>11.0</v>
      </c>
      <c r="I245" s="96" t="s">
        <v>13</v>
      </c>
      <c r="J245" s="97"/>
    </row>
    <row r="246" ht="22.5" customHeight="1">
      <c r="A246" s="8">
        <v>45993.0</v>
      </c>
      <c r="B246" s="92" t="s">
        <v>14</v>
      </c>
      <c r="C246" s="93" t="s">
        <v>9</v>
      </c>
      <c r="D246" s="94">
        <v>21.0</v>
      </c>
      <c r="E246" s="92" t="s">
        <v>10</v>
      </c>
      <c r="F246" s="92" t="s">
        <v>11</v>
      </c>
      <c r="G246" s="92" t="s">
        <v>38</v>
      </c>
      <c r="H246" s="95">
        <v>12.0</v>
      </c>
      <c r="I246" s="96" t="s">
        <v>16</v>
      </c>
      <c r="J246" s="97"/>
    </row>
    <row r="247" ht="22.5" customHeight="1">
      <c r="A247" s="8">
        <v>45994.0</v>
      </c>
      <c r="B247" s="92" t="s">
        <v>8</v>
      </c>
      <c r="C247" s="93" t="s">
        <v>9</v>
      </c>
      <c r="D247" s="94">
        <v>14.0</v>
      </c>
      <c r="E247" s="92" t="s">
        <v>10</v>
      </c>
      <c r="F247" s="92" t="s">
        <v>15</v>
      </c>
      <c r="G247" s="92" t="s">
        <v>38</v>
      </c>
      <c r="H247" s="95">
        <v>12.0</v>
      </c>
      <c r="I247" s="96" t="s">
        <v>18</v>
      </c>
      <c r="J247" s="97"/>
    </row>
    <row r="248" ht="22.5" customHeight="1">
      <c r="A248" s="8">
        <v>45996.0</v>
      </c>
      <c r="B248" s="92" t="s">
        <v>19</v>
      </c>
      <c r="C248" s="93" t="s">
        <v>9</v>
      </c>
      <c r="D248" s="94">
        <v>7.0</v>
      </c>
      <c r="E248" s="92" t="s">
        <v>10</v>
      </c>
      <c r="F248" s="92" t="s">
        <v>11</v>
      </c>
      <c r="G248" s="92" t="s">
        <v>38</v>
      </c>
      <c r="H248" s="95">
        <v>12.0</v>
      </c>
      <c r="I248" s="96" t="s">
        <v>20</v>
      </c>
      <c r="J248" s="97"/>
    </row>
    <row r="249" ht="22.5" customHeight="1">
      <c r="A249" s="8">
        <v>45998.0</v>
      </c>
      <c r="B249" s="92" t="s">
        <v>17</v>
      </c>
      <c r="C249" s="93" t="s">
        <v>9</v>
      </c>
      <c r="D249" s="94">
        <v>10.0</v>
      </c>
      <c r="E249" s="92" t="s">
        <v>10</v>
      </c>
      <c r="F249" s="92" t="s">
        <v>11</v>
      </c>
      <c r="G249" s="92" t="s">
        <v>38</v>
      </c>
      <c r="H249" s="95">
        <v>12.0</v>
      </c>
      <c r="I249" s="96" t="s">
        <v>13</v>
      </c>
      <c r="J249" s="97"/>
    </row>
    <row r="250" ht="22.5" customHeight="1">
      <c r="A250" s="8">
        <v>46000.0</v>
      </c>
      <c r="B250" s="92" t="s">
        <v>8</v>
      </c>
      <c r="C250" s="93" t="s">
        <v>21</v>
      </c>
      <c r="D250" s="94">
        <v>14.0</v>
      </c>
      <c r="E250" s="92" t="s">
        <v>10</v>
      </c>
      <c r="F250" s="92" t="s">
        <v>15</v>
      </c>
      <c r="G250" s="92" t="s">
        <v>38</v>
      </c>
      <c r="H250" s="95">
        <v>12.0</v>
      </c>
      <c r="I250" s="96" t="s">
        <v>16</v>
      </c>
      <c r="J250" s="97"/>
    </row>
    <row r="251" ht="22.5" customHeight="1">
      <c r="A251" s="8">
        <v>46001.0</v>
      </c>
      <c r="B251" s="92" t="s">
        <v>8</v>
      </c>
      <c r="C251" s="93" t="s">
        <v>9</v>
      </c>
      <c r="D251" s="94">
        <v>14.0</v>
      </c>
      <c r="E251" s="92" t="s">
        <v>10</v>
      </c>
      <c r="F251" s="92" t="s">
        <v>11</v>
      </c>
      <c r="G251" s="92" t="s">
        <v>38</v>
      </c>
      <c r="H251" s="95">
        <v>12.0</v>
      </c>
      <c r="I251" s="96" t="s">
        <v>18</v>
      </c>
      <c r="J251" s="97"/>
    </row>
    <row r="252" ht="22.5" customHeight="1">
      <c r="A252" s="8">
        <v>46003.0</v>
      </c>
      <c r="B252" s="92" t="s">
        <v>23</v>
      </c>
      <c r="C252" s="93" t="s">
        <v>9</v>
      </c>
      <c r="D252" s="94">
        <v>18.0</v>
      </c>
      <c r="E252" s="92" t="s">
        <v>10</v>
      </c>
      <c r="F252" s="92" t="s">
        <v>11</v>
      </c>
      <c r="G252" s="92" t="s">
        <v>38</v>
      </c>
      <c r="H252" s="95">
        <v>12.0</v>
      </c>
      <c r="I252" s="96" t="s">
        <v>20</v>
      </c>
      <c r="J252" s="97"/>
    </row>
    <row r="253" ht="22.5" customHeight="1">
      <c r="A253" s="8">
        <v>46005.0</v>
      </c>
      <c r="B253" s="92" t="s">
        <v>17</v>
      </c>
      <c r="C253" s="93" t="s">
        <v>24</v>
      </c>
      <c r="D253" s="94">
        <v>12.0</v>
      </c>
      <c r="E253" s="92" t="s">
        <v>10</v>
      </c>
      <c r="F253" s="92" t="s">
        <v>15</v>
      </c>
      <c r="G253" s="92" t="s">
        <v>38</v>
      </c>
      <c r="H253" s="95">
        <v>12.0</v>
      </c>
      <c r="I253" s="96" t="s">
        <v>13</v>
      </c>
      <c r="J253" s="97"/>
    </row>
    <row r="254" ht="22.5" customHeight="1">
      <c r="A254" s="8">
        <v>46007.0</v>
      </c>
      <c r="B254" s="92" t="s">
        <v>14</v>
      </c>
      <c r="C254" s="93" t="s">
        <v>9</v>
      </c>
      <c r="D254" s="94">
        <v>23.0</v>
      </c>
      <c r="E254" s="92" t="s">
        <v>10</v>
      </c>
      <c r="F254" s="92" t="s">
        <v>11</v>
      </c>
      <c r="G254" s="92" t="s">
        <v>38</v>
      </c>
      <c r="H254" s="95">
        <v>12.0</v>
      </c>
      <c r="I254" s="96" t="s">
        <v>16</v>
      </c>
      <c r="J254" s="97"/>
    </row>
    <row r="255" ht="22.5" customHeight="1">
      <c r="A255" s="8">
        <v>46008.0</v>
      </c>
      <c r="B255" s="92" t="s">
        <v>8</v>
      </c>
      <c r="C255" s="93" t="s">
        <v>9</v>
      </c>
      <c r="D255" s="94">
        <v>14.0</v>
      </c>
      <c r="E255" s="92" t="s">
        <v>10</v>
      </c>
      <c r="F255" s="92" t="s">
        <v>11</v>
      </c>
      <c r="G255" s="92" t="s">
        <v>38</v>
      </c>
      <c r="H255" s="95">
        <v>12.0</v>
      </c>
      <c r="I255" s="96" t="s">
        <v>18</v>
      </c>
      <c r="J255" s="97"/>
    </row>
    <row r="256" ht="22.5" customHeight="1">
      <c r="A256" s="8">
        <v>46010.0</v>
      </c>
      <c r="B256" s="92" t="s">
        <v>19</v>
      </c>
      <c r="C256" s="93" t="s">
        <v>9</v>
      </c>
      <c r="D256" s="94">
        <v>7.0</v>
      </c>
      <c r="E256" s="92" t="s">
        <v>10</v>
      </c>
      <c r="F256" s="92" t="s">
        <v>15</v>
      </c>
      <c r="G256" s="92" t="s">
        <v>38</v>
      </c>
      <c r="H256" s="95">
        <v>12.0</v>
      </c>
      <c r="I256" s="96" t="s">
        <v>20</v>
      </c>
      <c r="J256" s="97"/>
    </row>
    <row r="257" ht="22.5" customHeight="1">
      <c r="A257" s="8">
        <v>46012.0</v>
      </c>
      <c r="B257" s="92" t="s">
        <v>8</v>
      </c>
      <c r="C257" s="93" t="s">
        <v>9</v>
      </c>
      <c r="D257" s="94">
        <v>21.0</v>
      </c>
      <c r="E257" s="92" t="s">
        <v>10</v>
      </c>
      <c r="F257" s="92" t="s">
        <v>11</v>
      </c>
      <c r="G257" s="92" t="s">
        <v>38</v>
      </c>
      <c r="H257" s="95">
        <v>12.0</v>
      </c>
      <c r="I257" s="96" t="s">
        <v>13</v>
      </c>
      <c r="J257" s="97"/>
    </row>
    <row r="258" ht="22.5" customHeight="1">
      <c r="A258" s="8">
        <v>46014.0</v>
      </c>
      <c r="B258" s="92" t="s">
        <v>17</v>
      </c>
      <c r="C258" s="93" t="s">
        <v>9</v>
      </c>
      <c r="D258" s="94">
        <v>14.0</v>
      </c>
      <c r="E258" s="92" t="s">
        <v>10</v>
      </c>
      <c r="F258" s="92" t="s">
        <v>11</v>
      </c>
      <c r="G258" s="92" t="s">
        <v>38</v>
      </c>
      <c r="H258" s="95">
        <v>12.0</v>
      </c>
      <c r="I258" s="96" t="s">
        <v>16</v>
      </c>
      <c r="J258" s="97"/>
    </row>
    <row r="259" ht="22.5" customHeight="1">
      <c r="A259" s="8">
        <v>46015.0</v>
      </c>
      <c r="B259" s="92" t="s">
        <v>26</v>
      </c>
      <c r="C259" s="93" t="s">
        <v>9</v>
      </c>
      <c r="D259" s="94">
        <v>28.0</v>
      </c>
      <c r="E259" s="92" t="s">
        <v>22</v>
      </c>
      <c r="F259" s="92" t="s">
        <v>15</v>
      </c>
      <c r="G259" s="92" t="s">
        <v>38</v>
      </c>
      <c r="H259" s="95">
        <v>12.0</v>
      </c>
      <c r="I259" s="96" t="s">
        <v>18</v>
      </c>
      <c r="J259" s="97"/>
    </row>
    <row r="260" ht="22.5" customHeight="1">
      <c r="A260" s="8">
        <v>46017.0</v>
      </c>
      <c r="B260" s="92" t="s">
        <v>8</v>
      </c>
      <c r="C260" s="93" t="s">
        <v>9</v>
      </c>
      <c r="D260" s="94">
        <v>14.0</v>
      </c>
      <c r="E260" s="92" t="s">
        <v>10</v>
      </c>
      <c r="F260" s="92" t="s">
        <v>11</v>
      </c>
      <c r="G260" s="92" t="s">
        <v>38</v>
      </c>
      <c r="H260" s="95">
        <v>12.0</v>
      </c>
      <c r="I260" s="96" t="s">
        <v>20</v>
      </c>
      <c r="J260" s="97"/>
    </row>
    <row r="261" ht="22.5" customHeight="1">
      <c r="A261" s="8">
        <v>46019.0</v>
      </c>
      <c r="B261" s="92" t="s">
        <v>8</v>
      </c>
      <c r="C261" s="93" t="s">
        <v>24</v>
      </c>
      <c r="D261" s="94">
        <v>15.0</v>
      </c>
      <c r="E261" s="92" t="s">
        <v>10</v>
      </c>
      <c r="F261" s="92" t="s">
        <v>11</v>
      </c>
      <c r="G261" s="92" t="s">
        <v>38</v>
      </c>
      <c r="H261" s="95">
        <v>12.0</v>
      </c>
      <c r="I261" s="96" t="s">
        <v>13</v>
      </c>
      <c r="J261" s="97"/>
    </row>
    <row r="262" ht="22.5" customHeight="1">
      <c r="A262" s="8">
        <v>46021.0</v>
      </c>
      <c r="B262" s="92" t="s">
        <v>17</v>
      </c>
      <c r="C262" s="93" t="s">
        <v>9</v>
      </c>
      <c r="D262" s="94">
        <v>10.0</v>
      </c>
      <c r="E262" s="92" t="s">
        <v>10</v>
      </c>
      <c r="F262" s="92" t="s">
        <v>15</v>
      </c>
      <c r="G262" s="92" t="s">
        <v>38</v>
      </c>
      <c r="H262" s="95">
        <v>12.0</v>
      </c>
      <c r="I262" s="96" t="s">
        <v>16</v>
      </c>
      <c r="J262" s="97"/>
    </row>
    <row r="263">
      <c r="A263" s="3"/>
      <c r="C263" s="99"/>
    </row>
    <row r="264">
      <c r="A264" s="3"/>
      <c r="C264" s="99"/>
    </row>
    <row r="265">
      <c r="A265" s="3"/>
      <c r="C265" s="99"/>
    </row>
    <row r="266">
      <c r="A266" s="3"/>
      <c r="C266" s="99"/>
    </row>
    <row r="267">
      <c r="A267" s="3"/>
      <c r="C267" s="99"/>
    </row>
    <row r="268">
      <c r="A268" s="3"/>
      <c r="C268" s="99"/>
    </row>
    <row r="269">
      <c r="A269" s="3"/>
      <c r="C269" s="99"/>
    </row>
    <row r="270">
      <c r="A270" s="3"/>
      <c r="C270" s="99"/>
    </row>
    <row r="271">
      <c r="A271" s="3"/>
      <c r="C271" s="99"/>
    </row>
    <row r="272">
      <c r="A272" s="3"/>
      <c r="C272" s="99"/>
    </row>
    <row r="273">
      <c r="A273" s="3"/>
      <c r="C273" s="99"/>
    </row>
    <row r="274">
      <c r="A274" s="3"/>
      <c r="C274" s="99"/>
    </row>
    <row r="275">
      <c r="A275" s="3"/>
      <c r="C275" s="99"/>
    </row>
    <row r="276">
      <c r="A276" s="3"/>
      <c r="C276" s="99"/>
    </row>
    <row r="277">
      <c r="A277" s="3"/>
      <c r="C277" s="99"/>
    </row>
    <row r="278">
      <c r="A278" s="3"/>
      <c r="C278" s="99"/>
    </row>
    <row r="279">
      <c r="A279" s="3"/>
      <c r="C279" s="99"/>
    </row>
    <row r="280">
      <c r="A280" s="3"/>
      <c r="C280" s="99"/>
    </row>
    <row r="281">
      <c r="A281" s="3"/>
      <c r="C281" s="99"/>
    </row>
    <row r="282">
      <c r="A282" s="3"/>
      <c r="C282" s="99"/>
    </row>
    <row r="283">
      <c r="A283" s="3"/>
      <c r="C283" s="99"/>
    </row>
    <row r="284">
      <c r="A284" s="3"/>
      <c r="C284" s="99"/>
    </row>
    <row r="285">
      <c r="A285" s="3"/>
      <c r="C285" s="99"/>
    </row>
    <row r="286">
      <c r="A286" s="3"/>
      <c r="C286" s="99"/>
    </row>
    <row r="287">
      <c r="A287" s="3"/>
      <c r="C287" s="99"/>
    </row>
    <row r="288">
      <c r="A288" s="3"/>
      <c r="C288" s="99"/>
    </row>
    <row r="289">
      <c r="A289" s="3"/>
      <c r="C289" s="99"/>
    </row>
    <row r="290">
      <c r="A290" s="3"/>
      <c r="C290" s="99"/>
    </row>
    <row r="291">
      <c r="A291" s="3"/>
      <c r="C291" s="99"/>
    </row>
    <row r="292">
      <c r="A292" s="3"/>
      <c r="C292" s="99"/>
    </row>
    <row r="293">
      <c r="A293" s="3"/>
      <c r="C293" s="99"/>
    </row>
    <row r="294">
      <c r="A294" s="3"/>
      <c r="C294" s="99"/>
    </row>
    <row r="295">
      <c r="A295" s="3"/>
      <c r="C295" s="99"/>
    </row>
    <row r="296">
      <c r="A296" s="3"/>
      <c r="C296" s="99"/>
    </row>
    <row r="297">
      <c r="A297" s="3"/>
      <c r="C297" s="99"/>
    </row>
    <row r="298">
      <c r="A298" s="3"/>
      <c r="C298" s="99"/>
    </row>
    <row r="299">
      <c r="A299" s="3"/>
      <c r="C299" s="99"/>
    </row>
    <row r="300">
      <c r="A300" s="3"/>
      <c r="C300" s="99"/>
    </row>
    <row r="301">
      <c r="A301" s="3"/>
      <c r="C301" s="99"/>
    </row>
    <row r="302">
      <c r="A302" s="3"/>
      <c r="C302" s="99"/>
    </row>
    <row r="303">
      <c r="A303" s="3"/>
      <c r="C303" s="99"/>
    </row>
    <row r="304">
      <c r="A304" s="3"/>
      <c r="C304" s="99"/>
    </row>
    <row r="305">
      <c r="A305" s="3"/>
      <c r="C305" s="99"/>
    </row>
    <row r="306">
      <c r="A306" s="3"/>
      <c r="C306" s="99"/>
    </row>
    <row r="307">
      <c r="A307" s="3"/>
      <c r="C307" s="99"/>
    </row>
    <row r="308">
      <c r="A308" s="3"/>
      <c r="C308" s="99"/>
    </row>
    <row r="309">
      <c r="A309" s="3"/>
      <c r="C309" s="99"/>
    </row>
    <row r="310">
      <c r="A310" s="3"/>
      <c r="C310" s="99"/>
    </row>
    <row r="311">
      <c r="A311" s="3"/>
      <c r="C311" s="99"/>
    </row>
    <row r="312">
      <c r="A312" s="3"/>
      <c r="C312" s="99"/>
    </row>
    <row r="313">
      <c r="A313" s="3"/>
      <c r="C313" s="99"/>
    </row>
    <row r="314">
      <c r="A314" s="3"/>
      <c r="C314" s="99"/>
    </row>
    <row r="315">
      <c r="A315" s="3"/>
      <c r="C315" s="99"/>
    </row>
    <row r="316">
      <c r="A316" s="3"/>
      <c r="C316" s="99"/>
    </row>
    <row r="317">
      <c r="A317" s="3"/>
      <c r="C317" s="99"/>
    </row>
    <row r="318">
      <c r="A318" s="3"/>
      <c r="C318" s="99"/>
    </row>
    <row r="319">
      <c r="A319" s="3"/>
      <c r="C319" s="99"/>
    </row>
    <row r="320">
      <c r="A320" s="3"/>
      <c r="C320" s="99"/>
    </row>
    <row r="321">
      <c r="A321" s="3"/>
      <c r="C321" s="99"/>
    </row>
    <row r="322">
      <c r="A322" s="3"/>
      <c r="C322" s="99"/>
    </row>
    <row r="323">
      <c r="A323" s="3"/>
      <c r="C323" s="99"/>
    </row>
    <row r="324">
      <c r="A324" s="3"/>
      <c r="C324" s="99"/>
    </row>
    <row r="325">
      <c r="A325" s="3"/>
      <c r="C325" s="99"/>
    </row>
    <row r="326">
      <c r="A326" s="3"/>
      <c r="C326" s="99"/>
    </row>
    <row r="327">
      <c r="A327" s="3"/>
      <c r="C327" s="99"/>
    </row>
    <row r="328">
      <c r="A328" s="3"/>
      <c r="C328" s="99"/>
    </row>
    <row r="329">
      <c r="A329" s="3"/>
      <c r="C329" s="99"/>
    </row>
    <row r="330">
      <c r="A330" s="3"/>
      <c r="C330" s="99"/>
    </row>
    <row r="331">
      <c r="A331" s="3"/>
      <c r="C331" s="99"/>
    </row>
    <row r="332">
      <c r="A332" s="3"/>
      <c r="C332" s="99"/>
    </row>
    <row r="333">
      <c r="A333" s="3"/>
      <c r="C333" s="99"/>
    </row>
    <row r="334">
      <c r="A334" s="3"/>
      <c r="C334" s="99"/>
    </row>
    <row r="335">
      <c r="A335" s="3"/>
      <c r="C335" s="99"/>
    </row>
    <row r="336">
      <c r="A336" s="3"/>
      <c r="C336" s="99"/>
    </row>
    <row r="337">
      <c r="A337" s="3"/>
      <c r="C337" s="99"/>
    </row>
    <row r="338">
      <c r="A338" s="3"/>
      <c r="C338" s="99"/>
    </row>
    <row r="339">
      <c r="A339" s="3"/>
      <c r="C339" s="99"/>
    </row>
    <row r="340">
      <c r="A340" s="3"/>
      <c r="C340" s="99"/>
    </row>
    <row r="341">
      <c r="A341" s="3"/>
      <c r="C341" s="99"/>
    </row>
    <row r="342">
      <c r="A342" s="3"/>
      <c r="C342" s="99"/>
    </row>
    <row r="343">
      <c r="A343" s="3"/>
      <c r="C343" s="99"/>
    </row>
    <row r="344">
      <c r="A344" s="3"/>
      <c r="C344" s="99"/>
    </row>
    <row r="345">
      <c r="A345" s="3"/>
      <c r="C345" s="99"/>
    </row>
    <row r="346">
      <c r="A346" s="3"/>
      <c r="C346" s="99"/>
    </row>
    <row r="347">
      <c r="A347" s="3"/>
      <c r="C347" s="99"/>
    </row>
    <row r="348">
      <c r="A348" s="3"/>
      <c r="C348" s="99"/>
    </row>
    <row r="349">
      <c r="A349" s="3"/>
      <c r="C349" s="99"/>
    </row>
    <row r="350">
      <c r="A350" s="3"/>
      <c r="C350" s="99"/>
    </row>
    <row r="351">
      <c r="A351" s="3"/>
      <c r="C351" s="99"/>
    </row>
    <row r="352">
      <c r="A352" s="3"/>
      <c r="C352" s="99"/>
    </row>
    <row r="353">
      <c r="A353" s="3"/>
      <c r="C353" s="99"/>
    </row>
    <row r="354">
      <c r="A354" s="3"/>
      <c r="C354" s="99"/>
    </row>
    <row r="355">
      <c r="A355" s="3"/>
      <c r="C355" s="99"/>
    </row>
    <row r="356">
      <c r="A356" s="3"/>
      <c r="C356" s="99"/>
    </row>
    <row r="357">
      <c r="A357" s="3"/>
      <c r="C357" s="99"/>
    </row>
    <row r="358">
      <c r="A358" s="3"/>
      <c r="C358" s="99"/>
    </row>
    <row r="359">
      <c r="A359" s="3"/>
      <c r="C359" s="99"/>
    </row>
    <row r="360">
      <c r="A360" s="3"/>
      <c r="C360" s="99"/>
    </row>
    <row r="361">
      <c r="A361" s="3"/>
      <c r="C361" s="99"/>
    </row>
    <row r="362">
      <c r="A362" s="3"/>
      <c r="C362" s="99"/>
    </row>
    <row r="363">
      <c r="A363" s="3"/>
      <c r="C363" s="99"/>
    </row>
    <row r="364">
      <c r="A364" s="3"/>
      <c r="C364" s="99"/>
    </row>
    <row r="365">
      <c r="A365" s="3"/>
      <c r="C365" s="99"/>
    </row>
    <row r="366">
      <c r="A366" s="3"/>
      <c r="C366" s="99"/>
    </row>
    <row r="367">
      <c r="A367" s="3"/>
      <c r="C367" s="99"/>
    </row>
    <row r="368">
      <c r="A368" s="3"/>
      <c r="C368" s="99"/>
    </row>
    <row r="369">
      <c r="A369" s="3"/>
      <c r="C369" s="99"/>
    </row>
    <row r="370">
      <c r="A370" s="3"/>
      <c r="C370" s="99"/>
    </row>
    <row r="371">
      <c r="A371" s="3"/>
      <c r="C371" s="99"/>
    </row>
    <row r="372">
      <c r="A372" s="3"/>
      <c r="C372" s="99"/>
    </row>
    <row r="373">
      <c r="A373" s="3"/>
      <c r="C373" s="99"/>
    </row>
    <row r="374">
      <c r="A374" s="3"/>
      <c r="C374" s="99"/>
    </row>
    <row r="375">
      <c r="A375" s="3"/>
      <c r="C375" s="99"/>
    </row>
    <row r="376">
      <c r="A376" s="3"/>
      <c r="C376" s="99"/>
    </row>
    <row r="377">
      <c r="A377" s="3"/>
      <c r="C377" s="99"/>
    </row>
    <row r="378">
      <c r="A378" s="3"/>
      <c r="C378" s="99"/>
    </row>
    <row r="379">
      <c r="A379" s="3"/>
      <c r="C379" s="99"/>
    </row>
    <row r="380">
      <c r="A380" s="3"/>
      <c r="C380" s="99"/>
    </row>
    <row r="381">
      <c r="A381" s="3"/>
      <c r="C381" s="99"/>
    </row>
    <row r="382">
      <c r="A382" s="3"/>
      <c r="C382" s="99"/>
    </row>
    <row r="383">
      <c r="A383" s="3"/>
      <c r="C383" s="99"/>
    </row>
    <row r="384">
      <c r="A384" s="3"/>
      <c r="C384" s="99"/>
    </row>
    <row r="385">
      <c r="A385" s="3"/>
      <c r="C385" s="99"/>
    </row>
    <row r="386">
      <c r="A386" s="3"/>
      <c r="C386" s="99"/>
    </row>
    <row r="387">
      <c r="A387" s="3"/>
      <c r="C387" s="99"/>
    </row>
    <row r="388">
      <c r="A388" s="3"/>
      <c r="C388" s="99"/>
    </row>
    <row r="389">
      <c r="A389" s="3"/>
      <c r="C389" s="99"/>
    </row>
    <row r="390">
      <c r="A390" s="3"/>
      <c r="C390" s="99"/>
    </row>
    <row r="391">
      <c r="A391" s="3"/>
      <c r="C391" s="99"/>
    </row>
    <row r="392">
      <c r="A392" s="3"/>
      <c r="C392" s="99"/>
    </row>
    <row r="393">
      <c r="A393" s="3"/>
      <c r="C393" s="99"/>
    </row>
    <row r="394">
      <c r="A394" s="3"/>
      <c r="C394" s="99"/>
    </row>
    <row r="395">
      <c r="A395" s="3"/>
      <c r="C395" s="99"/>
    </row>
    <row r="396">
      <c r="A396" s="3"/>
      <c r="C396" s="99"/>
    </row>
    <row r="397">
      <c r="A397" s="3"/>
      <c r="C397" s="99"/>
    </row>
    <row r="398">
      <c r="A398" s="3"/>
      <c r="C398" s="99"/>
    </row>
    <row r="399">
      <c r="A399" s="3"/>
      <c r="C399" s="99"/>
    </row>
    <row r="400">
      <c r="A400" s="3"/>
      <c r="C400" s="99"/>
    </row>
    <row r="401">
      <c r="A401" s="3"/>
      <c r="C401" s="99"/>
    </row>
    <row r="402">
      <c r="A402" s="3"/>
      <c r="C402" s="99"/>
    </row>
    <row r="403">
      <c r="A403" s="3"/>
      <c r="C403" s="99"/>
    </row>
    <row r="404">
      <c r="A404" s="3"/>
      <c r="C404" s="99"/>
    </row>
    <row r="405">
      <c r="A405" s="3"/>
      <c r="C405" s="99"/>
    </row>
    <row r="406">
      <c r="A406" s="3"/>
      <c r="C406" s="99"/>
    </row>
    <row r="407">
      <c r="A407" s="3"/>
      <c r="C407" s="99"/>
    </row>
    <row r="408">
      <c r="A408" s="3"/>
      <c r="C408" s="99"/>
    </row>
    <row r="409">
      <c r="A409" s="3"/>
      <c r="C409" s="99"/>
    </row>
    <row r="410">
      <c r="A410" s="3"/>
      <c r="C410" s="99"/>
    </row>
    <row r="411">
      <c r="A411" s="3"/>
      <c r="C411" s="99"/>
    </row>
    <row r="412">
      <c r="A412" s="3"/>
      <c r="C412" s="99"/>
    </row>
    <row r="413">
      <c r="A413" s="3"/>
      <c r="C413" s="99"/>
    </row>
    <row r="414">
      <c r="A414" s="3"/>
      <c r="C414" s="99"/>
    </row>
    <row r="415">
      <c r="A415" s="3"/>
      <c r="C415" s="99"/>
    </row>
    <row r="416">
      <c r="A416" s="3"/>
      <c r="C416" s="99"/>
    </row>
    <row r="417">
      <c r="A417" s="3"/>
      <c r="C417" s="99"/>
    </row>
    <row r="418">
      <c r="A418" s="3"/>
      <c r="C418" s="99"/>
    </row>
    <row r="419">
      <c r="A419" s="3"/>
      <c r="C419" s="99"/>
    </row>
    <row r="420">
      <c r="A420" s="3"/>
      <c r="C420" s="99"/>
    </row>
    <row r="421">
      <c r="A421" s="3"/>
      <c r="C421" s="99"/>
    </row>
    <row r="422">
      <c r="A422" s="3"/>
      <c r="C422" s="99"/>
    </row>
    <row r="423">
      <c r="A423" s="3"/>
      <c r="C423" s="99"/>
    </row>
    <row r="424">
      <c r="A424" s="3"/>
      <c r="C424" s="99"/>
    </row>
    <row r="425">
      <c r="A425" s="3"/>
      <c r="C425" s="99"/>
    </row>
    <row r="426">
      <c r="A426" s="3"/>
      <c r="C426" s="99"/>
    </row>
    <row r="427">
      <c r="A427" s="3"/>
      <c r="C427" s="99"/>
    </row>
    <row r="428">
      <c r="A428" s="3"/>
      <c r="C428" s="99"/>
    </row>
    <row r="429">
      <c r="A429" s="3"/>
      <c r="C429" s="99"/>
    </row>
    <row r="430">
      <c r="A430" s="3"/>
      <c r="C430" s="99"/>
    </row>
    <row r="431">
      <c r="A431" s="3"/>
      <c r="C431" s="99"/>
    </row>
    <row r="432">
      <c r="A432" s="3"/>
      <c r="C432" s="99"/>
    </row>
    <row r="433">
      <c r="A433" s="3"/>
      <c r="C433" s="99"/>
    </row>
    <row r="434">
      <c r="A434" s="3"/>
      <c r="C434" s="99"/>
    </row>
    <row r="435">
      <c r="A435" s="3"/>
      <c r="C435" s="99"/>
    </row>
    <row r="436">
      <c r="A436" s="3"/>
      <c r="C436" s="99"/>
    </row>
    <row r="437">
      <c r="A437" s="3"/>
      <c r="C437" s="99"/>
    </row>
    <row r="438">
      <c r="A438" s="3"/>
      <c r="C438" s="99"/>
    </row>
    <row r="439">
      <c r="A439" s="3"/>
      <c r="C439" s="99"/>
    </row>
    <row r="440">
      <c r="A440" s="3"/>
      <c r="C440" s="99"/>
    </row>
    <row r="441">
      <c r="A441" s="3"/>
      <c r="C441" s="99"/>
    </row>
    <row r="442">
      <c r="A442" s="3"/>
      <c r="C442" s="99"/>
    </row>
    <row r="443">
      <c r="A443" s="3"/>
      <c r="C443" s="99"/>
    </row>
    <row r="444">
      <c r="A444" s="3"/>
      <c r="C444" s="99"/>
    </row>
    <row r="445">
      <c r="A445" s="3"/>
      <c r="C445" s="99"/>
    </row>
    <row r="446">
      <c r="A446" s="3"/>
      <c r="C446" s="99"/>
    </row>
    <row r="447">
      <c r="A447" s="3"/>
      <c r="C447" s="99"/>
    </row>
    <row r="448">
      <c r="A448" s="3"/>
      <c r="C448" s="99"/>
    </row>
    <row r="449">
      <c r="A449" s="3"/>
      <c r="C449" s="99"/>
    </row>
    <row r="450">
      <c r="A450" s="3"/>
      <c r="C450" s="99"/>
    </row>
    <row r="451">
      <c r="A451" s="3"/>
      <c r="C451" s="99"/>
    </row>
    <row r="452">
      <c r="A452" s="3"/>
      <c r="C452" s="99"/>
    </row>
    <row r="453">
      <c r="A453" s="3"/>
      <c r="C453" s="99"/>
    </row>
    <row r="454">
      <c r="A454" s="3"/>
      <c r="C454" s="99"/>
    </row>
    <row r="455">
      <c r="A455" s="3"/>
      <c r="C455" s="99"/>
    </row>
    <row r="456">
      <c r="A456" s="3"/>
      <c r="C456" s="99"/>
    </row>
    <row r="457">
      <c r="A457" s="3"/>
      <c r="C457" s="99"/>
    </row>
    <row r="458">
      <c r="A458" s="3"/>
      <c r="C458" s="99"/>
    </row>
    <row r="459">
      <c r="A459" s="3"/>
      <c r="C459" s="99"/>
    </row>
    <row r="460">
      <c r="A460" s="3"/>
      <c r="C460" s="99"/>
    </row>
    <row r="461">
      <c r="A461" s="3"/>
      <c r="C461" s="99"/>
    </row>
    <row r="462">
      <c r="A462" s="3"/>
      <c r="C462" s="99"/>
    </row>
    <row r="463">
      <c r="A463" s="3"/>
      <c r="C463" s="99"/>
    </row>
    <row r="464">
      <c r="A464" s="3"/>
      <c r="C464" s="99"/>
    </row>
    <row r="465">
      <c r="A465" s="3"/>
      <c r="C465" s="99"/>
    </row>
    <row r="466">
      <c r="A466" s="3"/>
      <c r="C466" s="99"/>
    </row>
    <row r="467">
      <c r="A467" s="3"/>
      <c r="C467" s="99"/>
    </row>
    <row r="468">
      <c r="A468" s="3"/>
      <c r="C468" s="99"/>
    </row>
    <row r="469">
      <c r="A469" s="3"/>
      <c r="C469" s="99"/>
    </row>
    <row r="470">
      <c r="A470" s="3"/>
      <c r="C470" s="99"/>
    </row>
    <row r="471">
      <c r="A471" s="3"/>
      <c r="C471" s="99"/>
    </row>
    <row r="472">
      <c r="A472" s="3"/>
      <c r="C472" s="99"/>
    </row>
    <row r="473">
      <c r="A473" s="3"/>
      <c r="C473" s="99"/>
    </row>
    <row r="474">
      <c r="A474" s="3"/>
      <c r="C474" s="99"/>
    </row>
    <row r="475">
      <c r="A475" s="3"/>
      <c r="C475" s="99"/>
    </row>
    <row r="476">
      <c r="A476" s="3"/>
      <c r="C476" s="99"/>
    </row>
    <row r="477">
      <c r="A477" s="3"/>
      <c r="C477" s="99"/>
    </row>
    <row r="478">
      <c r="A478" s="3"/>
      <c r="C478" s="99"/>
    </row>
    <row r="479">
      <c r="A479" s="3"/>
      <c r="C479" s="99"/>
    </row>
    <row r="480">
      <c r="A480" s="3"/>
      <c r="C480" s="99"/>
    </row>
    <row r="481">
      <c r="A481" s="3"/>
      <c r="C481" s="99"/>
    </row>
    <row r="482">
      <c r="A482" s="3"/>
      <c r="C482" s="99"/>
    </row>
    <row r="483">
      <c r="A483" s="3"/>
      <c r="C483" s="99"/>
    </row>
    <row r="484">
      <c r="A484" s="3"/>
      <c r="C484" s="99"/>
    </row>
    <row r="485">
      <c r="A485" s="3"/>
      <c r="C485" s="99"/>
    </row>
    <row r="486">
      <c r="A486" s="3"/>
      <c r="C486" s="99"/>
    </row>
    <row r="487">
      <c r="A487" s="3"/>
      <c r="C487" s="99"/>
    </row>
    <row r="488">
      <c r="A488" s="3"/>
      <c r="C488" s="99"/>
    </row>
    <row r="489">
      <c r="A489" s="3"/>
      <c r="C489" s="99"/>
    </row>
    <row r="490">
      <c r="A490" s="3"/>
      <c r="C490" s="99"/>
    </row>
    <row r="491">
      <c r="A491" s="3"/>
      <c r="C491" s="99"/>
    </row>
    <row r="492">
      <c r="A492" s="3"/>
      <c r="C492" s="99"/>
    </row>
    <row r="493">
      <c r="A493" s="3"/>
      <c r="C493" s="99"/>
    </row>
    <row r="494">
      <c r="A494" s="3"/>
      <c r="C494" s="99"/>
    </row>
    <row r="495">
      <c r="A495" s="3"/>
      <c r="C495" s="99"/>
    </row>
    <row r="496">
      <c r="A496" s="3"/>
      <c r="C496" s="99"/>
    </row>
    <row r="497">
      <c r="A497" s="3"/>
      <c r="C497" s="99"/>
    </row>
    <row r="498">
      <c r="A498" s="3"/>
      <c r="C498" s="99"/>
    </row>
    <row r="499">
      <c r="A499" s="3"/>
      <c r="C499" s="99"/>
    </row>
    <row r="500">
      <c r="A500" s="3"/>
      <c r="C500" s="99"/>
    </row>
    <row r="501">
      <c r="A501" s="3"/>
      <c r="C501" s="99"/>
    </row>
    <row r="502">
      <c r="A502" s="3"/>
      <c r="C502" s="99"/>
    </row>
    <row r="503">
      <c r="A503" s="3"/>
      <c r="C503" s="99"/>
    </row>
    <row r="504">
      <c r="A504" s="3"/>
      <c r="C504" s="99"/>
    </row>
    <row r="505">
      <c r="A505" s="3"/>
      <c r="C505" s="99"/>
    </row>
    <row r="506">
      <c r="A506" s="3"/>
      <c r="C506" s="99"/>
    </row>
    <row r="507">
      <c r="A507" s="3"/>
      <c r="C507" s="99"/>
    </row>
    <row r="508">
      <c r="A508" s="3"/>
      <c r="C508" s="99"/>
    </row>
    <row r="509">
      <c r="A509" s="3"/>
      <c r="C509" s="99"/>
    </row>
    <row r="510">
      <c r="A510" s="3"/>
      <c r="C510" s="99"/>
    </row>
    <row r="511">
      <c r="A511" s="3"/>
      <c r="C511" s="99"/>
    </row>
    <row r="512">
      <c r="A512" s="3"/>
      <c r="C512" s="99"/>
    </row>
    <row r="513">
      <c r="A513" s="3"/>
      <c r="C513" s="99"/>
    </row>
    <row r="514">
      <c r="A514" s="3"/>
      <c r="C514" s="99"/>
    </row>
    <row r="515">
      <c r="A515" s="3"/>
      <c r="C515" s="99"/>
    </row>
    <row r="516">
      <c r="A516" s="3"/>
      <c r="C516" s="99"/>
    </row>
    <row r="517">
      <c r="A517" s="3"/>
      <c r="C517" s="99"/>
    </row>
    <row r="518">
      <c r="A518" s="3"/>
      <c r="C518" s="99"/>
    </row>
    <row r="519">
      <c r="A519" s="3"/>
      <c r="C519" s="99"/>
    </row>
    <row r="520">
      <c r="A520" s="3"/>
      <c r="C520" s="99"/>
    </row>
    <row r="521">
      <c r="A521" s="3"/>
      <c r="C521" s="99"/>
    </row>
    <row r="522">
      <c r="A522" s="3"/>
      <c r="C522" s="99"/>
    </row>
    <row r="523">
      <c r="A523" s="3"/>
      <c r="C523" s="99"/>
    </row>
    <row r="524">
      <c r="A524" s="3"/>
      <c r="C524" s="99"/>
    </row>
    <row r="525">
      <c r="A525" s="3"/>
      <c r="C525" s="99"/>
    </row>
    <row r="526">
      <c r="A526" s="3"/>
      <c r="C526" s="99"/>
    </row>
    <row r="527">
      <c r="A527" s="3"/>
      <c r="C527" s="99"/>
    </row>
    <row r="528">
      <c r="A528" s="3"/>
      <c r="C528" s="99"/>
    </row>
    <row r="529">
      <c r="A529" s="3"/>
      <c r="C529" s="99"/>
    </row>
    <row r="530">
      <c r="A530" s="3"/>
      <c r="C530" s="99"/>
    </row>
    <row r="531">
      <c r="A531" s="3"/>
      <c r="C531" s="99"/>
    </row>
    <row r="532">
      <c r="A532" s="3"/>
      <c r="C532" s="99"/>
    </row>
    <row r="533">
      <c r="A533" s="3"/>
      <c r="C533" s="99"/>
    </row>
    <row r="534">
      <c r="A534" s="3"/>
      <c r="C534" s="99"/>
    </row>
    <row r="535">
      <c r="A535" s="3"/>
      <c r="C535" s="99"/>
    </row>
    <row r="536">
      <c r="A536" s="3"/>
      <c r="C536" s="99"/>
    </row>
    <row r="537">
      <c r="A537" s="3"/>
      <c r="C537" s="99"/>
    </row>
    <row r="538">
      <c r="A538" s="3"/>
      <c r="C538" s="99"/>
    </row>
    <row r="539">
      <c r="A539" s="3"/>
      <c r="C539" s="99"/>
    </row>
    <row r="540">
      <c r="A540" s="3"/>
      <c r="C540" s="99"/>
    </row>
    <row r="541">
      <c r="A541" s="3"/>
      <c r="C541" s="99"/>
    </row>
    <row r="542">
      <c r="A542" s="3"/>
      <c r="C542" s="99"/>
    </row>
    <row r="543">
      <c r="A543" s="3"/>
      <c r="C543" s="99"/>
    </row>
    <row r="544">
      <c r="A544" s="3"/>
      <c r="C544" s="99"/>
    </row>
    <row r="545">
      <c r="A545" s="3"/>
      <c r="C545" s="99"/>
    </row>
    <row r="546">
      <c r="A546" s="3"/>
      <c r="C546" s="99"/>
    </row>
    <row r="547">
      <c r="A547" s="3"/>
      <c r="C547" s="99"/>
    </row>
    <row r="548">
      <c r="A548" s="3"/>
      <c r="C548" s="99"/>
    </row>
    <row r="549">
      <c r="A549" s="3"/>
      <c r="C549" s="99"/>
    </row>
    <row r="550">
      <c r="A550" s="3"/>
      <c r="C550" s="99"/>
    </row>
    <row r="551">
      <c r="A551" s="3"/>
      <c r="C551" s="99"/>
    </row>
    <row r="552">
      <c r="A552" s="3"/>
      <c r="C552" s="99"/>
    </row>
    <row r="553">
      <c r="A553" s="3"/>
      <c r="C553" s="99"/>
    </row>
    <row r="554">
      <c r="A554" s="3"/>
      <c r="C554" s="99"/>
    </row>
    <row r="555">
      <c r="A555" s="3"/>
      <c r="C555" s="99"/>
    </row>
    <row r="556">
      <c r="A556" s="3"/>
      <c r="C556" s="99"/>
    </row>
    <row r="557">
      <c r="A557" s="3"/>
      <c r="C557" s="99"/>
    </row>
    <row r="558">
      <c r="A558" s="3"/>
      <c r="C558" s="99"/>
    </row>
    <row r="559">
      <c r="A559" s="3"/>
      <c r="C559" s="99"/>
    </row>
    <row r="560">
      <c r="A560" s="3"/>
      <c r="C560" s="99"/>
    </row>
    <row r="561">
      <c r="A561" s="3"/>
      <c r="C561" s="99"/>
    </row>
    <row r="562">
      <c r="A562" s="3"/>
      <c r="C562" s="99"/>
    </row>
    <row r="563">
      <c r="A563" s="3"/>
      <c r="C563" s="99"/>
    </row>
    <row r="564">
      <c r="A564" s="3"/>
      <c r="C564" s="99"/>
    </row>
    <row r="565">
      <c r="A565" s="3"/>
      <c r="C565" s="99"/>
    </row>
    <row r="566">
      <c r="A566" s="3"/>
      <c r="C566" s="99"/>
    </row>
    <row r="567">
      <c r="A567" s="3"/>
      <c r="C567" s="99"/>
    </row>
    <row r="568">
      <c r="A568" s="3"/>
      <c r="C568" s="99"/>
    </row>
    <row r="569">
      <c r="A569" s="3"/>
      <c r="C569" s="99"/>
    </row>
    <row r="570">
      <c r="A570" s="3"/>
      <c r="C570" s="99"/>
    </row>
    <row r="571">
      <c r="A571" s="3"/>
      <c r="C571" s="99"/>
    </row>
    <row r="572">
      <c r="A572" s="3"/>
      <c r="C572" s="99"/>
    </row>
    <row r="573">
      <c r="A573" s="3"/>
      <c r="C573" s="99"/>
    </row>
    <row r="574">
      <c r="A574" s="3"/>
      <c r="C574" s="99"/>
    </row>
    <row r="575">
      <c r="A575" s="3"/>
      <c r="C575" s="99"/>
    </row>
    <row r="576">
      <c r="A576" s="3"/>
      <c r="C576" s="99"/>
    </row>
    <row r="577">
      <c r="A577" s="3"/>
      <c r="C577" s="99"/>
    </row>
    <row r="578">
      <c r="A578" s="3"/>
      <c r="C578" s="99"/>
    </row>
    <row r="579">
      <c r="A579" s="3"/>
      <c r="C579" s="99"/>
    </row>
    <row r="580">
      <c r="A580" s="3"/>
      <c r="C580" s="99"/>
    </row>
    <row r="581">
      <c r="A581" s="3"/>
      <c r="C581" s="99"/>
    </row>
    <row r="582">
      <c r="A582" s="3"/>
      <c r="C582" s="99"/>
    </row>
    <row r="583">
      <c r="A583" s="3"/>
      <c r="C583" s="99"/>
    </row>
    <row r="584">
      <c r="A584" s="3"/>
      <c r="C584" s="99"/>
    </row>
    <row r="585">
      <c r="A585" s="3"/>
      <c r="C585" s="99"/>
    </row>
    <row r="586">
      <c r="A586" s="3"/>
      <c r="C586" s="99"/>
    </row>
    <row r="587">
      <c r="A587" s="3"/>
      <c r="C587" s="99"/>
    </row>
    <row r="588">
      <c r="A588" s="3"/>
      <c r="C588" s="99"/>
    </row>
    <row r="589">
      <c r="A589" s="3"/>
      <c r="C589" s="99"/>
    </row>
    <row r="590">
      <c r="A590" s="3"/>
      <c r="C590" s="99"/>
    </row>
    <row r="591">
      <c r="A591" s="3"/>
      <c r="C591" s="99"/>
    </row>
    <row r="592">
      <c r="A592" s="3"/>
      <c r="C592" s="99"/>
    </row>
    <row r="593">
      <c r="A593" s="3"/>
      <c r="C593" s="99"/>
    </row>
    <row r="594">
      <c r="A594" s="3"/>
      <c r="C594" s="99"/>
    </row>
    <row r="595">
      <c r="A595" s="3"/>
      <c r="C595" s="99"/>
    </row>
    <row r="596">
      <c r="A596" s="3"/>
      <c r="C596" s="99"/>
    </row>
    <row r="597">
      <c r="A597" s="3"/>
      <c r="C597" s="99"/>
    </row>
    <row r="598">
      <c r="A598" s="3"/>
      <c r="C598" s="99"/>
    </row>
    <row r="599">
      <c r="A599" s="3"/>
      <c r="C599" s="99"/>
    </row>
    <row r="600">
      <c r="A600" s="3"/>
      <c r="C600" s="99"/>
    </row>
    <row r="601">
      <c r="A601" s="3"/>
      <c r="C601" s="99"/>
    </row>
    <row r="602">
      <c r="A602" s="3"/>
      <c r="C602" s="99"/>
    </row>
    <row r="603">
      <c r="A603" s="3"/>
      <c r="C603" s="99"/>
    </row>
    <row r="604">
      <c r="A604" s="3"/>
      <c r="C604" s="99"/>
    </row>
    <row r="605">
      <c r="A605" s="3"/>
      <c r="C605" s="99"/>
    </row>
    <row r="606">
      <c r="A606" s="3"/>
      <c r="C606" s="99"/>
    </row>
    <row r="607">
      <c r="A607" s="3"/>
      <c r="C607" s="99"/>
    </row>
    <row r="608">
      <c r="A608" s="3"/>
      <c r="C608" s="99"/>
    </row>
    <row r="609">
      <c r="A609" s="3"/>
      <c r="C609" s="99"/>
    </row>
    <row r="610">
      <c r="A610" s="3"/>
      <c r="C610" s="99"/>
    </row>
    <row r="611">
      <c r="A611" s="3"/>
      <c r="C611" s="99"/>
    </row>
    <row r="612">
      <c r="A612" s="3"/>
      <c r="C612" s="99"/>
    </row>
    <row r="613">
      <c r="A613" s="3"/>
      <c r="C613" s="99"/>
    </row>
    <row r="614">
      <c r="A614" s="3"/>
      <c r="C614" s="99"/>
    </row>
    <row r="615">
      <c r="A615" s="3"/>
      <c r="C615" s="99"/>
    </row>
    <row r="616">
      <c r="A616" s="3"/>
      <c r="C616" s="99"/>
    </row>
    <row r="617">
      <c r="A617" s="3"/>
      <c r="C617" s="99"/>
    </row>
    <row r="618">
      <c r="A618" s="3"/>
      <c r="C618" s="99"/>
    </row>
    <row r="619">
      <c r="A619" s="3"/>
      <c r="C619" s="99"/>
    </row>
    <row r="620">
      <c r="A620" s="3"/>
      <c r="C620" s="99"/>
    </row>
    <row r="621">
      <c r="A621" s="3"/>
      <c r="C621" s="99"/>
    </row>
    <row r="622">
      <c r="A622" s="3"/>
      <c r="C622" s="99"/>
    </row>
    <row r="623">
      <c r="A623" s="3"/>
      <c r="C623" s="99"/>
    </row>
    <row r="624">
      <c r="A624" s="3"/>
      <c r="C624" s="99"/>
    </row>
    <row r="625">
      <c r="A625" s="3"/>
      <c r="C625" s="99"/>
    </row>
    <row r="626">
      <c r="A626" s="3"/>
      <c r="C626" s="99"/>
    </row>
    <row r="627">
      <c r="A627" s="3"/>
      <c r="C627" s="99"/>
    </row>
    <row r="628">
      <c r="A628" s="3"/>
      <c r="C628" s="99"/>
    </row>
    <row r="629">
      <c r="A629" s="3"/>
      <c r="C629" s="99"/>
    </row>
    <row r="630">
      <c r="A630" s="3"/>
      <c r="C630" s="99"/>
    </row>
    <row r="631">
      <c r="A631" s="3"/>
      <c r="C631" s="99"/>
    </row>
    <row r="632">
      <c r="A632" s="3"/>
      <c r="C632" s="99"/>
    </row>
    <row r="633">
      <c r="A633" s="3"/>
      <c r="C633" s="99"/>
    </row>
    <row r="634">
      <c r="A634" s="3"/>
      <c r="C634" s="99"/>
    </row>
    <row r="635">
      <c r="A635" s="3"/>
      <c r="C635" s="99"/>
    </row>
    <row r="636">
      <c r="A636" s="3"/>
      <c r="C636" s="99"/>
    </row>
    <row r="637">
      <c r="A637" s="3"/>
      <c r="C637" s="99"/>
    </row>
    <row r="638">
      <c r="A638" s="3"/>
      <c r="C638" s="99"/>
    </row>
    <row r="639">
      <c r="A639" s="3"/>
      <c r="C639" s="99"/>
    </row>
    <row r="640">
      <c r="A640" s="3"/>
      <c r="C640" s="99"/>
    </row>
    <row r="641">
      <c r="A641" s="3"/>
      <c r="C641" s="99"/>
    </row>
    <row r="642">
      <c r="A642" s="3"/>
      <c r="C642" s="99"/>
    </row>
    <row r="643">
      <c r="A643" s="3"/>
      <c r="C643" s="99"/>
    </row>
    <row r="644">
      <c r="A644" s="3"/>
      <c r="C644" s="99"/>
    </row>
    <row r="645">
      <c r="A645" s="3"/>
      <c r="C645" s="99"/>
    </row>
    <row r="646">
      <c r="A646" s="3"/>
      <c r="C646" s="99"/>
    </row>
    <row r="647">
      <c r="A647" s="3"/>
      <c r="C647" s="99"/>
    </row>
    <row r="648">
      <c r="A648" s="3"/>
      <c r="C648" s="99"/>
    </row>
    <row r="649">
      <c r="A649" s="3"/>
      <c r="C649" s="99"/>
    </row>
    <row r="650">
      <c r="A650" s="3"/>
      <c r="C650" s="99"/>
    </row>
    <row r="651">
      <c r="A651" s="3"/>
      <c r="C651" s="99"/>
    </row>
    <row r="652">
      <c r="A652" s="3"/>
      <c r="C652" s="99"/>
    </row>
    <row r="653">
      <c r="A653" s="3"/>
      <c r="C653" s="99"/>
    </row>
    <row r="654">
      <c r="A654" s="3"/>
      <c r="C654" s="99"/>
    </row>
    <row r="655">
      <c r="A655" s="3"/>
      <c r="C655" s="99"/>
    </row>
    <row r="656">
      <c r="A656" s="3"/>
      <c r="C656" s="99"/>
    </row>
    <row r="657">
      <c r="A657" s="3"/>
      <c r="C657" s="99"/>
    </row>
    <row r="658">
      <c r="A658" s="3"/>
      <c r="C658" s="99"/>
    </row>
    <row r="659">
      <c r="A659" s="3"/>
      <c r="C659" s="99"/>
    </row>
    <row r="660">
      <c r="A660" s="3"/>
      <c r="C660" s="99"/>
    </row>
    <row r="661">
      <c r="A661" s="3"/>
      <c r="C661" s="99"/>
    </row>
    <row r="662">
      <c r="A662" s="3"/>
      <c r="C662" s="99"/>
    </row>
    <row r="663">
      <c r="A663" s="3"/>
      <c r="C663" s="99"/>
    </row>
    <row r="664">
      <c r="A664" s="3"/>
      <c r="C664" s="99"/>
    </row>
    <row r="665">
      <c r="A665" s="3"/>
      <c r="C665" s="99"/>
    </row>
    <row r="666">
      <c r="A666" s="3"/>
      <c r="C666" s="99"/>
    </row>
    <row r="667">
      <c r="A667" s="3"/>
      <c r="C667" s="99"/>
    </row>
    <row r="668">
      <c r="A668" s="3"/>
      <c r="C668" s="99"/>
    </row>
    <row r="669">
      <c r="A669" s="3"/>
      <c r="C669" s="99"/>
    </row>
    <row r="670">
      <c r="A670" s="3"/>
      <c r="C670" s="99"/>
    </row>
    <row r="671">
      <c r="A671" s="3"/>
      <c r="C671" s="99"/>
    </row>
    <row r="672">
      <c r="A672" s="3"/>
      <c r="C672" s="99"/>
    </row>
    <row r="673">
      <c r="A673" s="3"/>
      <c r="C673" s="99"/>
    </row>
    <row r="674">
      <c r="A674" s="3"/>
      <c r="C674" s="99"/>
    </row>
    <row r="675">
      <c r="A675" s="3"/>
      <c r="C675" s="99"/>
    </row>
    <row r="676">
      <c r="A676" s="3"/>
      <c r="C676" s="99"/>
    </row>
    <row r="677">
      <c r="A677" s="3"/>
      <c r="C677" s="99"/>
    </row>
    <row r="678">
      <c r="A678" s="3"/>
      <c r="C678" s="99"/>
    </row>
    <row r="679">
      <c r="A679" s="3"/>
      <c r="C679" s="99"/>
    </row>
    <row r="680">
      <c r="A680" s="3"/>
      <c r="C680" s="99"/>
    </row>
    <row r="681">
      <c r="A681" s="3"/>
      <c r="C681" s="99"/>
    </row>
    <row r="682">
      <c r="A682" s="3"/>
      <c r="C682" s="99"/>
    </row>
    <row r="683">
      <c r="A683" s="3"/>
      <c r="C683" s="99"/>
    </row>
    <row r="684">
      <c r="A684" s="3"/>
      <c r="C684" s="99"/>
    </row>
    <row r="685">
      <c r="A685" s="3"/>
      <c r="C685" s="99"/>
    </row>
    <row r="686">
      <c r="A686" s="3"/>
      <c r="C686" s="99"/>
    </row>
    <row r="687">
      <c r="A687" s="3"/>
      <c r="C687" s="99"/>
    </row>
    <row r="688">
      <c r="A688" s="3"/>
      <c r="C688" s="99"/>
    </row>
    <row r="689">
      <c r="A689" s="3"/>
      <c r="C689" s="99"/>
    </row>
    <row r="690">
      <c r="A690" s="3"/>
      <c r="C690" s="99"/>
    </row>
    <row r="691">
      <c r="A691" s="3"/>
      <c r="C691" s="99"/>
    </row>
    <row r="692">
      <c r="A692" s="3"/>
      <c r="C692" s="99"/>
    </row>
    <row r="693">
      <c r="A693" s="3"/>
      <c r="C693" s="99"/>
    </row>
    <row r="694">
      <c r="A694" s="3"/>
      <c r="C694" s="99"/>
    </row>
    <row r="695">
      <c r="A695" s="3"/>
      <c r="C695" s="99"/>
    </row>
    <row r="696">
      <c r="A696" s="3"/>
      <c r="C696" s="99"/>
    </row>
    <row r="697">
      <c r="A697" s="3"/>
      <c r="C697" s="99"/>
    </row>
    <row r="698">
      <c r="A698" s="3"/>
      <c r="C698" s="99"/>
    </row>
    <row r="699">
      <c r="A699" s="3"/>
      <c r="C699" s="99"/>
    </row>
    <row r="700">
      <c r="A700" s="3"/>
      <c r="C700" s="99"/>
    </row>
    <row r="701">
      <c r="A701" s="3"/>
      <c r="C701" s="99"/>
    </row>
    <row r="702">
      <c r="A702" s="3"/>
      <c r="C702" s="99"/>
    </row>
    <row r="703">
      <c r="A703" s="3"/>
      <c r="C703" s="99"/>
    </row>
    <row r="704">
      <c r="A704" s="3"/>
      <c r="C704" s="99"/>
    </row>
    <row r="705">
      <c r="A705" s="3"/>
      <c r="C705" s="99"/>
    </row>
    <row r="706">
      <c r="A706" s="3"/>
      <c r="C706" s="99"/>
    </row>
    <row r="707">
      <c r="A707" s="3"/>
      <c r="C707" s="99"/>
    </row>
    <row r="708">
      <c r="A708" s="3"/>
      <c r="C708" s="99"/>
    </row>
    <row r="709">
      <c r="A709" s="3"/>
      <c r="C709" s="99"/>
    </row>
    <row r="710">
      <c r="A710" s="3"/>
      <c r="C710" s="99"/>
    </row>
    <row r="711">
      <c r="A711" s="3"/>
      <c r="C711" s="99"/>
    </row>
    <row r="712">
      <c r="A712" s="3"/>
      <c r="C712" s="99"/>
    </row>
    <row r="713">
      <c r="A713" s="3"/>
      <c r="C713" s="99"/>
    </row>
    <row r="714">
      <c r="A714" s="3"/>
      <c r="C714" s="99"/>
    </row>
    <row r="715">
      <c r="A715" s="3"/>
      <c r="C715" s="99"/>
    </row>
    <row r="716">
      <c r="A716" s="3"/>
      <c r="C716" s="99"/>
    </row>
    <row r="717">
      <c r="A717" s="3"/>
      <c r="C717" s="99"/>
    </row>
    <row r="718">
      <c r="A718" s="3"/>
      <c r="C718" s="99"/>
    </row>
    <row r="719">
      <c r="A719" s="3"/>
      <c r="C719" s="99"/>
    </row>
    <row r="720">
      <c r="A720" s="3"/>
      <c r="C720" s="99"/>
    </row>
    <row r="721">
      <c r="A721" s="3"/>
      <c r="C721" s="99"/>
    </row>
    <row r="722">
      <c r="A722" s="3"/>
      <c r="C722" s="99"/>
    </row>
    <row r="723">
      <c r="A723" s="3"/>
      <c r="C723" s="99"/>
    </row>
    <row r="724">
      <c r="A724" s="3"/>
      <c r="C724" s="99"/>
    </row>
    <row r="725">
      <c r="A725" s="3"/>
      <c r="C725" s="99"/>
    </row>
    <row r="726">
      <c r="A726" s="3"/>
      <c r="C726" s="99"/>
    </row>
    <row r="727">
      <c r="A727" s="3"/>
      <c r="C727" s="99"/>
    </row>
    <row r="728">
      <c r="A728" s="3"/>
      <c r="C728" s="99"/>
    </row>
    <row r="729">
      <c r="A729" s="3"/>
      <c r="C729" s="99"/>
    </row>
    <row r="730">
      <c r="A730" s="3"/>
      <c r="C730" s="99"/>
    </row>
    <row r="731">
      <c r="A731" s="3"/>
      <c r="C731" s="99"/>
    </row>
    <row r="732">
      <c r="A732" s="3"/>
      <c r="C732" s="99"/>
    </row>
    <row r="733">
      <c r="A733" s="3"/>
      <c r="C733" s="99"/>
    </row>
    <row r="734">
      <c r="A734" s="3"/>
      <c r="C734" s="99"/>
    </row>
    <row r="735">
      <c r="A735" s="3"/>
      <c r="C735" s="99"/>
    </row>
    <row r="736">
      <c r="A736" s="3"/>
      <c r="C736" s="99"/>
    </row>
    <row r="737">
      <c r="A737" s="3"/>
      <c r="C737" s="99"/>
    </row>
    <row r="738">
      <c r="A738" s="3"/>
      <c r="C738" s="99"/>
    </row>
    <row r="739">
      <c r="A739" s="3"/>
      <c r="C739" s="99"/>
    </row>
    <row r="740">
      <c r="A740" s="3"/>
      <c r="C740" s="99"/>
    </row>
    <row r="741">
      <c r="A741" s="3"/>
      <c r="C741" s="99"/>
    </row>
    <row r="742">
      <c r="A742" s="3"/>
      <c r="C742" s="99"/>
    </row>
    <row r="743">
      <c r="A743" s="3"/>
      <c r="C743" s="99"/>
    </row>
    <row r="744">
      <c r="A744" s="3"/>
      <c r="C744" s="99"/>
    </row>
    <row r="745">
      <c r="A745" s="3"/>
      <c r="C745" s="99"/>
    </row>
    <row r="746">
      <c r="A746" s="3"/>
      <c r="C746" s="99"/>
    </row>
    <row r="747">
      <c r="A747" s="3"/>
      <c r="C747" s="99"/>
    </row>
    <row r="748">
      <c r="A748" s="3"/>
      <c r="C748" s="99"/>
    </row>
    <row r="749">
      <c r="A749" s="3"/>
      <c r="C749" s="99"/>
    </row>
    <row r="750">
      <c r="A750" s="3"/>
      <c r="C750" s="99"/>
    </row>
    <row r="751">
      <c r="A751" s="3"/>
      <c r="C751" s="99"/>
    </row>
    <row r="752">
      <c r="A752" s="3"/>
      <c r="C752" s="99"/>
    </row>
    <row r="753">
      <c r="A753" s="3"/>
      <c r="C753" s="99"/>
    </row>
    <row r="754">
      <c r="A754" s="3"/>
      <c r="C754" s="99"/>
    </row>
    <row r="755">
      <c r="A755" s="3"/>
      <c r="C755" s="99"/>
    </row>
    <row r="756">
      <c r="A756" s="3"/>
      <c r="C756" s="99"/>
    </row>
    <row r="757">
      <c r="A757" s="3"/>
      <c r="C757" s="99"/>
    </row>
    <row r="758">
      <c r="A758" s="3"/>
      <c r="C758" s="99"/>
    </row>
    <row r="759">
      <c r="A759" s="3"/>
      <c r="C759" s="99"/>
    </row>
    <row r="760">
      <c r="A760" s="3"/>
      <c r="C760" s="99"/>
    </row>
    <row r="761">
      <c r="A761" s="3"/>
      <c r="C761" s="99"/>
    </row>
    <row r="762">
      <c r="A762" s="3"/>
      <c r="C762" s="99"/>
    </row>
    <row r="763">
      <c r="A763" s="3"/>
      <c r="C763" s="99"/>
    </row>
    <row r="764">
      <c r="A764" s="3"/>
      <c r="C764" s="99"/>
    </row>
    <row r="765">
      <c r="A765" s="3"/>
      <c r="C765" s="99"/>
    </row>
    <row r="766">
      <c r="A766" s="3"/>
      <c r="C766" s="99"/>
    </row>
    <row r="767">
      <c r="A767" s="3"/>
      <c r="C767" s="99"/>
    </row>
    <row r="768">
      <c r="A768" s="3"/>
      <c r="C768" s="99"/>
    </row>
    <row r="769">
      <c r="A769" s="3"/>
      <c r="C769" s="99"/>
    </row>
    <row r="770">
      <c r="A770" s="3"/>
      <c r="C770" s="99"/>
    </row>
    <row r="771">
      <c r="A771" s="3"/>
      <c r="C771" s="99"/>
    </row>
    <row r="772">
      <c r="A772" s="3"/>
      <c r="C772" s="99"/>
    </row>
    <row r="773">
      <c r="A773" s="3"/>
      <c r="C773" s="99"/>
    </row>
    <row r="774">
      <c r="A774" s="3"/>
      <c r="C774" s="99"/>
    </row>
    <row r="775">
      <c r="A775" s="3"/>
      <c r="C775" s="99"/>
    </row>
    <row r="776">
      <c r="A776" s="3"/>
      <c r="C776" s="99"/>
    </row>
    <row r="777">
      <c r="A777" s="3"/>
      <c r="C777" s="99"/>
    </row>
    <row r="778">
      <c r="A778" s="3"/>
      <c r="C778" s="99"/>
    </row>
    <row r="779">
      <c r="A779" s="3"/>
      <c r="C779" s="99"/>
    </row>
    <row r="780">
      <c r="A780" s="3"/>
      <c r="C780" s="99"/>
    </row>
    <row r="781">
      <c r="A781" s="3"/>
      <c r="C781" s="99"/>
    </row>
    <row r="782">
      <c r="A782" s="3"/>
      <c r="C782" s="99"/>
    </row>
    <row r="783">
      <c r="A783" s="3"/>
      <c r="C783" s="99"/>
    </row>
    <row r="784">
      <c r="A784" s="3"/>
      <c r="C784" s="99"/>
    </row>
    <row r="785">
      <c r="A785" s="3"/>
      <c r="C785" s="99"/>
    </row>
    <row r="786">
      <c r="A786" s="3"/>
      <c r="C786" s="99"/>
    </row>
    <row r="787">
      <c r="A787" s="3"/>
      <c r="C787" s="99"/>
    </row>
    <row r="788">
      <c r="A788" s="3"/>
      <c r="C788" s="99"/>
    </row>
    <row r="789">
      <c r="A789" s="3"/>
      <c r="C789" s="99"/>
    </row>
    <row r="790">
      <c r="A790" s="3"/>
      <c r="C790" s="99"/>
    </row>
    <row r="791">
      <c r="A791" s="3"/>
      <c r="C791" s="99"/>
    </row>
    <row r="792">
      <c r="A792" s="3"/>
      <c r="C792" s="99"/>
    </row>
    <row r="793">
      <c r="A793" s="3"/>
      <c r="C793" s="99"/>
    </row>
    <row r="794">
      <c r="A794" s="3"/>
      <c r="C794" s="99"/>
    </row>
    <row r="795">
      <c r="A795" s="3"/>
      <c r="C795" s="99"/>
    </row>
    <row r="796">
      <c r="A796" s="3"/>
      <c r="C796" s="99"/>
    </row>
    <row r="797">
      <c r="A797" s="3"/>
      <c r="C797" s="99"/>
    </row>
    <row r="798">
      <c r="A798" s="3"/>
      <c r="C798" s="99"/>
    </row>
    <row r="799">
      <c r="A799" s="3"/>
      <c r="C799" s="99"/>
    </row>
    <row r="800">
      <c r="A800" s="3"/>
      <c r="C800" s="99"/>
    </row>
    <row r="801">
      <c r="A801" s="3"/>
      <c r="C801" s="99"/>
    </row>
    <row r="802">
      <c r="A802" s="3"/>
      <c r="C802" s="99"/>
    </row>
    <row r="803">
      <c r="A803" s="3"/>
      <c r="C803" s="99"/>
    </row>
    <row r="804">
      <c r="A804" s="3"/>
      <c r="C804" s="99"/>
    </row>
    <row r="805">
      <c r="A805" s="3"/>
      <c r="C805" s="99"/>
    </row>
    <row r="806">
      <c r="A806" s="3"/>
      <c r="C806" s="99"/>
    </row>
    <row r="807">
      <c r="A807" s="3"/>
      <c r="C807" s="99"/>
    </row>
    <row r="808">
      <c r="A808" s="3"/>
      <c r="C808" s="99"/>
    </row>
    <row r="809">
      <c r="A809" s="3"/>
      <c r="C809" s="99"/>
    </row>
    <row r="810">
      <c r="A810" s="3"/>
      <c r="C810" s="99"/>
    </row>
    <row r="811">
      <c r="A811" s="3"/>
      <c r="C811" s="99"/>
    </row>
    <row r="812">
      <c r="A812" s="3"/>
      <c r="C812" s="99"/>
    </row>
    <row r="813">
      <c r="A813" s="3"/>
      <c r="C813" s="99"/>
    </row>
    <row r="814">
      <c r="A814" s="3"/>
      <c r="C814" s="99"/>
    </row>
    <row r="815">
      <c r="A815" s="3"/>
      <c r="C815" s="99"/>
    </row>
    <row r="816">
      <c r="A816" s="3"/>
      <c r="C816" s="99"/>
    </row>
    <row r="817">
      <c r="A817" s="3"/>
      <c r="C817" s="99"/>
    </row>
    <row r="818">
      <c r="A818" s="3"/>
      <c r="C818" s="99"/>
    </row>
    <row r="819">
      <c r="A819" s="3"/>
      <c r="C819" s="99"/>
    </row>
    <row r="820">
      <c r="A820" s="3"/>
      <c r="C820" s="99"/>
    </row>
    <row r="821">
      <c r="A821" s="3"/>
      <c r="C821" s="99"/>
    </row>
    <row r="822">
      <c r="A822" s="3"/>
      <c r="C822" s="99"/>
    </row>
    <row r="823">
      <c r="A823" s="3"/>
      <c r="C823" s="99"/>
    </row>
    <row r="824">
      <c r="A824" s="3"/>
      <c r="C824" s="99"/>
    </row>
    <row r="825">
      <c r="A825" s="3"/>
      <c r="C825" s="99"/>
    </row>
    <row r="826">
      <c r="A826" s="3"/>
      <c r="C826" s="99"/>
    </row>
    <row r="827">
      <c r="A827" s="3"/>
      <c r="C827" s="99"/>
    </row>
    <row r="828">
      <c r="A828" s="3"/>
      <c r="C828" s="99"/>
    </row>
    <row r="829">
      <c r="A829" s="3"/>
      <c r="C829" s="99"/>
    </row>
    <row r="830">
      <c r="A830" s="3"/>
      <c r="C830" s="99"/>
    </row>
    <row r="831">
      <c r="A831" s="3"/>
      <c r="C831" s="99"/>
    </row>
    <row r="832">
      <c r="A832" s="3"/>
      <c r="C832" s="99"/>
    </row>
    <row r="833">
      <c r="A833" s="3"/>
      <c r="C833" s="99"/>
    </row>
    <row r="834">
      <c r="A834" s="3"/>
      <c r="C834" s="99"/>
    </row>
    <row r="835">
      <c r="A835" s="3"/>
      <c r="C835" s="99"/>
    </row>
    <row r="836">
      <c r="A836" s="3"/>
      <c r="C836" s="99"/>
    </row>
    <row r="837">
      <c r="A837" s="3"/>
      <c r="C837" s="99"/>
    </row>
    <row r="838">
      <c r="A838" s="3"/>
      <c r="C838" s="99"/>
    </row>
    <row r="839">
      <c r="A839" s="3"/>
      <c r="C839" s="99"/>
    </row>
    <row r="840">
      <c r="A840" s="3"/>
      <c r="C840" s="99"/>
    </row>
    <row r="841">
      <c r="A841" s="3"/>
      <c r="C841" s="99"/>
    </row>
    <row r="842">
      <c r="A842" s="3"/>
      <c r="C842" s="99"/>
    </row>
    <row r="843">
      <c r="A843" s="3"/>
      <c r="C843" s="99"/>
    </row>
    <row r="844">
      <c r="A844" s="3"/>
      <c r="C844" s="99"/>
    </row>
    <row r="845">
      <c r="A845" s="3"/>
      <c r="C845" s="99"/>
    </row>
    <row r="846">
      <c r="A846" s="3"/>
      <c r="C846" s="99"/>
    </row>
    <row r="847">
      <c r="A847" s="3"/>
      <c r="C847" s="99"/>
    </row>
    <row r="848">
      <c r="A848" s="3"/>
      <c r="C848" s="99"/>
    </row>
    <row r="849">
      <c r="A849" s="3"/>
      <c r="C849" s="99"/>
    </row>
    <row r="850">
      <c r="A850" s="3"/>
      <c r="C850" s="99"/>
    </row>
    <row r="851">
      <c r="A851" s="3"/>
      <c r="C851" s="99"/>
    </row>
    <row r="852">
      <c r="A852" s="3"/>
      <c r="C852" s="99"/>
    </row>
    <row r="853">
      <c r="A853" s="3"/>
      <c r="C853" s="99"/>
    </row>
    <row r="854">
      <c r="A854" s="3"/>
      <c r="C854" s="99"/>
    </row>
    <row r="855">
      <c r="A855" s="3"/>
      <c r="C855" s="99"/>
    </row>
    <row r="856">
      <c r="A856" s="3"/>
      <c r="C856" s="99"/>
    </row>
    <row r="857">
      <c r="A857" s="3"/>
      <c r="C857" s="99"/>
    </row>
    <row r="858">
      <c r="A858" s="3"/>
      <c r="C858" s="99"/>
    </row>
    <row r="859">
      <c r="A859" s="3"/>
      <c r="C859" s="99"/>
    </row>
    <row r="860">
      <c r="A860" s="3"/>
      <c r="C860" s="99"/>
    </row>
    <row r="861">
      <c r="A861" s="3"/>
      <c r="C861" s="99"/>
    </row>
    <row r="862">
      <c r="A862" s="3"/>
      <c r="C862" s="99"/>
    </row>
    <row r="863">
      <c r="A863" s="3"/>
      <c r="C863" s="99"/>
    </row>
    <row r="864">
      <c r="A864" s="3"/>
      <c r="C864" s="99"/>
    </row>
    <row r="865">
      <c r="A865" s="3"/>
      <c r="C865" s="99"/>
    </row>
    <row r="866">
      <c r="A866" s="3"/>
      <c r="C866" s="99"/>
    </row>
    <row r="867">
      <c r="A867" s="3"/>
      <c r="C867" s="99"/>
    </row>
    <row r="868">
      <c r="A868" s="3"/>
      <c r="C868" s="99"/>
    </row>
    <row r="869">
      <c r="A869" s="3"/>
      <c r="C869" s="99"/>
    </row>
    <row r="870">
      <c r="A870" s="3"/>
      <c r="C870" s="99"/>
    </row>
    <row r="871">
      <c r="A871" s="3"/>
      <c r="C871" s="99"/>
    </row>
    <row r="872">
      <c r="A872" s="3"/>
      <c r="C872" s="99"/>
    </row>
    <row r="873">
      <c r="A873" s="3"/>
      <c r="C873" s="99"/>
    </row>
    <row r="874">
      <c r="A874" s="3"/>
      <c r="C874" s="99"/>
    </row>
    <row r="875">
      <c r="A875" s="3"/>
      <c r="C875" s="99"/>
    </row>
    <row r="876">
      <c r="A876" s="3"/>
      <c r="C876" s="99"/>
    </row>
    <row r="877">
      <c r="A877" s="3"/>
      <c r="C877" s="99"/>
    </row>
    <row r="878">
      <c r="A878" s="3"/>
      <c r="C878" s="99"/>
    </row>
    <row r="879">
      <c r="A879" s="3"/>
      <c r="C879" s="99"/>
    </row>
    <row r="880">
      <c r="A880" s="3"/>
      <c r="C880" s="99"/>
    </row>
    <row r="881">
      <c r="A881" s="3"/>
      <c r="C881" s="99"/>
    </row>
    <row r="882">
      <c r="A882" s="3"/>
      <c r="C882" s="99"/>
    </row>
    <row r="883">
      <c r="A883" s="3"/>
      <c r="C883" s="99"/>
    </row>
    <row r="884">
      <c r="A884" s="3"/>
      <c r="C884" s="99"/>
    </row>
    <row r="885">
      <c r="A885" s="3"/>
      <c r="C885" s="99"/>
    </row>
    <row r="886">
      <c r="A886" s="3"/>
      <c r="C886" s="99"/>
    </row>
    <row r="887">
      <c r="A887" s="3"/>
      <c r="C887" s="99"/>
    </row>
    <row r="888">
      <c r="A888" s="3"/>
      <c r="C888" s="99"/>
    </row>
    <row r="889">
      <c r="A889" s="3"/>
      <c r="C889" s="99"/>
    </row>
    <row r="890">
      <c r="A890" s="3"/>
      <c r="C890" s="99"/>
    </row>
    <row r="891">
      <c r="A891" s="3"/>
      <c r="C891" s="99"/>
    </row>
    <row r="892">
      <c r="A892" s="3"/>
      <c r="C892" s="99"/>
    </row>
    <row r="893">
      <c r="A893" s="3"/>
      <c r="C893" s="99"/>
    </row>
    <row r="894">
      <c r="A894" s="3"/>
      <c r="C894" s="99"/>
    </row>
    <row r="895">
      <c r="A895" s="3"/>
      <c r="C895" s="99"/>
    </row>
    <row r="896">
      <c r="A896" s="3"/>
      <c r="C896" s="99"/>
    </row>
    <row r="897">
      <c r="A897" s="3"/>
      <c r="C897" s="99"/>
    </row>
    <row r="898">
      <c r="A898" s="3"/>
      <c r="C898" s="99"/>
    </row>
    <row r="899">
      <c r="A899" s="3"/>
      <c r="C899" s="99"/>
    </row>
    <row r="900">
      <c r="A900" s="3"/>
      <c r="C900" s="99"/>
    </row>
    <row r="901">
      <c r="A901" s="3"/>
      <c r="C901" s="99"/>
    </row>
    <row r="902">
      <c r="A902" s="3"/>
      <c r="C902" s="99"/>
    </row>
    <row r="903">
      <c r="A903" s="3"/>
      <c r="C903" s="99"/>
    </row>
    <row r="904">
      <c r="A904" s="3"/>
      <c r="C904" s="99"/>
    </row>
    <row r="905">
      <c r="A905" s="3"/>
      <c r="C905" s="99"/>
    </row>
    <row r="906">
      <c r="A906" s="3"/>
      <c r="C906" s="99"/>
    </row>
    <row r="907">
      <c r="A907" s="3"/>
      <c r="C907" s="99"/>
    </row>
    <row r="908">
      <c r="A908" s="3"/>
      <c r="C908" s="99"/>
    </row>
    <row r="909">
      <c r="A909" s="3"/>
      <c r="C909" s="99"/>
    </row>
    <row r="910">
      <c r="A910" s="3"/>
      <c r="C910" s="99"/>
    </row>
    <row r="911">
      <c r="A911" s="3"/>
      <c r="C911" s="99"/>
    </row>
    <row r="912">
      <c r="A912" s="3"/>
      <c r="C912" s="99"/>
    </row>
    <row r="913">
      <c r="A913" s="3"/>
      <c r="C913" s="99"/>
    </row>
    <row r="914">
      <c r="A914" s="3"/>
      <c r="C914" s="99"/>
    </row>
    <row r="915">
      <c r="A915" s="3"/>
      <c r="C915" s="99"/>
    </row>
    <row r="916">
      <c r="A916" s="3"/>
      <c r="C916" s="99"/>
    </row>
    <row r="917">
      <c r="A917" s="3"/>
      <c r="C917" s="99"/>
    </row>
    <row r="918">
      <c r="A918" s="3"/>
      <c r="C918" s="99"/>
    </row>
    <row r="919">
      <c r="A919" s="3"/>
      <c r="C919" s="99"/>
    </row>
    <row r="920">
      <c r="A920" s="3"/>
      <c r="C920" s="99"/>
    </row>
    <row r="921">
      <c r="A921" s="3"/>
      <c r="C921" s="99"/>
    </row>
    <row r="922">
      <c r="A922" s="3"/>
      <c r="C922" s="99"/>
    </row>
    <row r="923">
      <c r="A923" s="3"/>
      <c r="C923" s="99"/>
    </row>
    <row r="924">
      <c r="A924" s="3"/>
      <c r="C924" s="99"/>
    </row>
    <row r="925">
      <c r="A925" s="3"/>
      <c r="C925" s="99"/>
    </row>
    <row r="926">
      <c r="A926" s="3"/>
      <c r="C926" s="99"/>
    </row>
    <row r="927">
      <c r="A927" s="3"/>
      <c r="C927" s="99"/>
    </row>
    <row r="928">
      <c r="A928" s="3"/>
      <c r="C928" s="99"/>
    </row>
    <row r="929">
      <c r="A929" s="3"/>
      <c r="C929" s="99"/>
    </row>
    <row r="930">
      <c r="A930" s="3"/>
      <c r="C930" s="99"/>
    </row>
    <row r="931">
      <c r="A931" s="3"/>
      <c r="C931" s="99"/>
    </row>
    <row r="932">
      <c r="A932" s="3"/>
      <c r="C932" s="99"/>
    </row>
    <row r="933">
      <c r="A933" s="3"/>
      <c r="C933" s="99"/>
    </row>
    <row r="934">
      <c r="A934" s="3"/>
      <c r="C934" s="99"/>
    </row>
    <row r="935">
      <c r="A935" s="3"/>
      <c r="C935" s="99"/>
    </row>
    <row r="936">
      <c r="A936" s="3"/>
      <c r="C936" s="99"/>
    </row>
    <row r="937">
      <c r="A937" s="3"/>
      <c r="C937" s="99"/>
    </row>
    <row r="938">
      <c r="A938" s="3"/>
      <c r="C938" s="99"/>
    </row>
    <row r="939">
      <c r="A939" s="3"/>
      <c r="C939" s="99"/>
    </row>
    <row r="940">
      <c r="A940" s="3"/>
      <c r="C940" s="99"/>
    </row>
    <row r="941">
      <c r="A941" s="3"/>
      <c r="C941" s="99"/>
    </row>
    <row r="942">
      <c r="A942" s="3"/>
      <c r="C942" s="99"/>
    </row>
    <row r="943">
      <c r="A943" s="3"/>
      <c r="C943" s="99"/>
    </row>
    <row r="944">
      <c r="A944" s="3"/>
      <c r="C944" s="99"/>
    </row>
    <row r="945">
      <c r="A945" s="3"/>
      <c r="C945" s="99"/>
    </row>
    <row r="946">
      <c r="A946" s="3"/>
      <c r="C946" s="99"/>
    </row>
    <row r="947">
      <c r="A947" s="3"/>
      <c r="C947" s="99"/>
    </row>
    <row r="948">
      <c r="A948" s="3"/>
      <c r="C948" s="99"/>
    </row>
    <row r="949">
      <c r="A949" s="3"/>
      <c r="C949" s="99"/>
    </row>
    <row r="950">
      <c r="A950" s="3"/>
      <c r="C950" s="99"/>
    </row>
    <row r="951">
      <c r="A951" s="3"/>
      <c r="C951" s="99"/>
    </row>
    <row r="952">
      <c r="A952" s="3"/>
      <c r="C952" s="99"/>
    </row>
    <row r="953">
      <c r="A953" s="3"/>
      <c r="C953" s="99"/>
    </row>
    <row r="954">
      <c r="A954" s="3"/>
      <c r="C954" s="99"/>
    </row>
    <row r="955">
      <c r="A955" s="3"/>
      <c r="C955" s="99"/>
    </row>
    <row r="956">
      <c r="A956" s="3"/>
      <c r="C956" s="99"/>
    </row>
    <row r="957">
      <c r="A957" s="3"/>
      <c r="C957" s="99"/>
    </row>
    <row r="958">
      <c r="A958" s="3"/>
      <c r="C958" s="99"/>
    </row>
    <row r="959">
      <c r="A959" s="3"/>
      <c r="C959" s="99"/>
    </row>
    <row r="960">
      <c r="A960" s="3"/>
      <c r="C960" s="99"/>
    </row>
    <row r="961">
      <c r="A961" s="3"/>
      <c r="C961" s="99"/>
    </row>
    <row r="962">
      <c r="A962" s="3"/>
      <c r="C962" s="99"/>
    </row>
    <row r="963">
      <c r="A963" s="3"/>
      <c r="C963" s="99"/>
    </row>
    <row r="964">
      <c r="A964" s="3"/>
      <c r="C964" s="99"/>
    </row>
    <row r="965">
      <c r="A965" s="3"/>
      <c r="C965" s="99"/>
    </row>
    <row r="966">
      <c r="A966" s="3"/>
      <c r="C966" s="99"/>
    </row>
    <row r="967">
      <c r="A967" s="3"/>
      <c r="C967" s="99"/>
    </row>
    <row r="968">
      <c r="A968" s="3"/>
      <c r="C968" s="99"/>
    </row>
    <row r="969">
      <c r="A969" s="3"/>
      <c r="C969" s="99"/>
    </row>
    <row r="970">
      <c r="A970" s="3"/>
      <c r="C970" s="99"/>
    </row>
    <row r="971">
      <c r="A971" s="3"/>
      <c r="C971" s="99"/>
    </row>
    <row r="972">
      <c r="A972" s="3"/>
      <c r="C972" s="99"/>
    </row>
    <row r="973">
      <c r="A973" s="3"/>
      <c r="C973" s="99"/>
    </row>
    <row r="974">
      <c r="A974" s="3"/>
      <c r="C974" s="99"/>
    </row>
    <row r="975">
      <c r="A975" s="3"/>
      <c r="C975" s="99"/>
    </row>
    <row r="976">
      <c r="A976" s="3"/>
      <c r="C976" s="99"/>
    </row>
    <row r="977">
      <c r="A977" s="3"/>
      <c r="C977" s="99"/>
    </row>
    <row r="978">
      <c r="A978" s="3"/>
      <c r="C978" s="99"/>
    </row>
    <row r="979">
      <c r="A979" s="3"/>
      <c r="C979" s="99"/>
    </row>
    <row r="980">
      <c r="A980" s="3"/>
      <c r="C980" s="99"/>
    </row>
    <row r="981">
      <c r="A981" s="3"/>
      <c r="C981" s="99"/>
    </row>
    <row r="982">
      <c r="A982" s="3"/>
      <c r="C982" s="99"/>
    </row>
    <row r="983">
      <c r="A983" s="3"/>
      <c r="C983" s="99"/>
    </row>
    <row r="984">
      <c r="A984" s="3"/>
      <c r="C984" s="99"/>
    </row>
    <row r="985">
      <c r="A985" s="3"/>
      <c r="C985" s="99"/>
    </row>
    <row r="986">
      <c r="A986" s="3"/>
      <c r="C986" s="99"/>
    </row>
    <row r="987">
      <c r="A987" s="3"/>
      <c r="C987" s="99"/>
    </row>
    <row r="988">
      <c r="A988" s="3"/>
      <c r="C988" s="99"/>
    </row>
    <row r="989">
      <c r="A989" s="3"/>
      <c r="C989" s="99"/>
    </row>
    <row r="990">
      <c r="A990" s="3"/>
      <c r="C990" s="99"/>
    </row>
    <row r="991">
      <c r="A991" s="3"/>
      <c r="C991" s="99"/>
    </row>
    <row r="992">
      <c r="A992" s="3"/>
      <c r="C992" s="99"/>
    </row>
    <row r="993">
      <c r="A993" s="3"/>
      <c r="C993" s="99"/>
    </row>
    <row r="994">
      <c r="A994" s="3"/>
      <c r="C994" s="99"/>
    </row>
    <row r="995">
      <c r="A995" s="3"/>
      <c r="C995" s="99"/>
    </row>
    <row r="996">
      <c r="A996" s="3"/>
      <c r="C996" s="99"/>
    </row>
    <row r="997">
      <c r="A997" s="3"/>
      <c r="C997" s="99"/>
    </row>
    <row r="998">
      <c r="A998" s="3"/>
      <c r="C998" s="99"/>
    </row>
    <row r="999">
      <c r="A999" s="3"/>
      <c r="C999" s="99"/>
    </row>
    <row r="1000">
      <c r="A1000" s="3"/>
      <c r="C1000" s="99"/>
    </row>
  </sheetData>
  <conditionalFormatting sqref="F1:F1000">
    <cfRule type="beginsWith" dxfId="5" priority="1" operator="beginsWith" text="t">
      <formula>LEFT((F1),LEN("t"))=("t")</formula>
    </cfRule>
  </conditionalFormatting>
  <conditionalFormatting sqref="F1:F1000">
    <cfRule type="beginsWith" dxfId="6" priority="2" operator="beginsWith" text="m">
      <formula>LEFT((F1),LEN("m"))=("m")</formula>
    </cfRule>
  </conditionalFormatting>
  <conditionalFormatting sqref="E1:E1000">
    <cfRule type="cellIs" dxfId="7" priority="3" operator="equal">
      <formula>"si"</formula>
    </cfRule>
  </conditionalFormatting>
  <conditionalFormatting sqref="E1:E1000">
    <cfRule type="cellIs" dxfId="8" priority="4" operator="equal">
      <formula>"no"</formula>
    </cfRule>
  </conditionalFormatting>
  <conditionalFormatting sqref="E1:E1000">
    <cfRule type="notContainsBlanks" dxfId="5" priority="5">
      <formula>LEN(TRIM(E1))&gt;0</formula>
    </cfRule>
  </conditionalFormatting>
  <dataValidations>
    <dataValidation type="list" allowBlank="1" showDropDown="1" showErrorMessage="1" sqref="C2:C262">
      <formula1>"español,inglés,catalán"</formula1>
    </dataValidation>
    <dataValidation type="custom" allowBlank="1" showDropDown="1" sqref="A2:A262">
      <formula1>OR(NOT(ISERROR(DATEVALUE(A2))), AND(ISNUMBER(A2), LEFT(CELL("format", A2))="D"))</formula1>
    </dataValidation>
    <dataValidation type="list" allowBlank="1" showDropDown="1" showErrorMessage="1" sqref="F2:F262">
      <formula1>"tarde,mañana"</formula1>
    </dataValidation>
    <dataValidation type="custom" allowBlank="1" showDropDown="1" sqref="D2:D262">
      <formula1>AND(ISNUMBER(D2),(NOT(OR(NOT(ISERROR(DATEVALUE(D2))), AND(ISNUMBER(D2), LEFT(CELL("format", D2))="D")))))</formula1>
    </dataValidation>
    <dataValidation type="list" allowBlank="1" sqref="E2:E262">
      <formula1>"si,no"</formula1>
    </dataValidation>
    <dataValidation type="list" allowBlank="1" showDropDown="1" showErrorMessage="1" sqref="G2:G262">
      <formula1>"enero,febrero,marzo,abril,mayo,junio,julio,agosto,septiembre,octubre,noviembre,diciembre"</formula1>
    </dataValidation>
    <dataValidation type="list" allowBlank="1" showDropDown="1" showErrorMessage="1" sqref="I2:I262">
      <formula1>"domingo,martes,miércoles,viernes,jueves,lunes,sábado"</formula1>
    </dataValidation>
    <dataValidation type="list" allowBlank="1" showDropDown="1" showErrorMessage="1" sqref="B2:B262">
      <formula1>"ficcion,ensayo,infantil,comic,novela_grafica,poesia,divulgacion"</formula1>
    </dataValidation>
  </dataValidations>
  <drawing r:id="rId2"/>
  <tableParts count="1">
    <tablePart r:id="rId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2.5" customHeight="1">
      <c r="A1" s="105" t="s">
        <v>0</v>
      </c>
      <c r="B1" s="105" t="s">
        <v>1</v>
      </c>
      <c r="C1" s="105" t="s">
        <v>2</v>
      </c>
      <c r="D1" s="105" t="s">
        <v>3</v>
      </c>
      <c r="E1" s="105" t="s">
        <v>4</v>
      </c>
      <c r="F1" s="105" t="s">
        <v>5</v>
      </c>
      <c r="G1" s="105" t="s">
        <v>6</v>
      </c>
      <c r="H1" s="105" t="s">
        <v>87</v>
      </c>
      <c r="I1" s="105" t="s">
        <v>7</v>
      </c>
      <c r="J1" s="106" t="s">
        <v>88</v>
      </c>
      <c r="K1" s="106" t="s">
        <v>89</v>
      </c>
    </row>
    <row r="2" ht="22.5" customHeight="1">
      <c r="A2" s="107">
        <v>45660.0</v>
      </c>
      <c r="B2" s="108" t="s">
        <v>14</v>
      </c>
      <c r="C2" s="109" t="s">
        <v>9</v>
      </c>
      <c r="D2" s="110">
        <v>22.0</v>
      </c>
      <c r="E2" s="111" t="s">
        <v>10</v>
      </c>
      <c r="F2" s="112" t="s">
        <v>11</v>
      </c>
      <c r="G2" s="113" t="s">
        <v>12</v>
      </c>
      <c r="H2" s="114">
        <f t="shared" ref="H2:H262" si="1"> MONTH(A2)</f>
        <v>1</v>
      </c>
      <c r="I2" s="115" t="s">
        <v>20</v>
      </c>
      <c r="J2" s="116">
        <f t="shared" ref="J2:J262" si="2">WEEKDAY(A2,2)</f>
        <v>5</v>
      </c>
      <c r="K2" s="116" t="str">
        <f t="shared" ref="K2:K262" si="3">CONCAT(J2,I2)</f>
        <v>5viernes</v>
      </c>
    </row>
    <row r="3" ht="22.5" customHeight="1">
      <c r="A3" s="117">
        <v>45662.0</v>
      </c>
      <c r="B3" s="118" t="s">
        <v>8</v>
      </c>
      <c r="C3" s="119" t="s">
        <v>9</v>
      </c>
      <c r="D3" s="120">
        <v>14.0</v>
      </c>
      <c r="E3" s="121" t="s">
        <v>10</v>
      </c>
      <c r="F3" s="122" t="s">
        <v>11</v>
      </c>
      <c r="G3" s="123" t="s">
        <v>12</v>
      </c>
      <c r="H3" s="124">
        <f t="shared" si="1"/>
        <v>1</v>
      </c>
      <c r="I3" s="125" t="s">
        <v>13</v>
      </c>
      <c r="J3" s="116">
        <f t="shared" si="2"/>
        <v>7</v>
      </c>
      <c r="K3" s="116" t="str">
        <f t="shared" si="3"/>
        <v>7domingo</v>
      </c>
    </row>
    <row r="4" ht="22.5" customHeight="1">
      <c r="A4" s="126">
        <v>45663.0</v>
      </c>
      <c r="B4" s="127" t="s">
        <v>8</v>
      </c>
      <c r="C4" s="128" t="s">
        <v>9</v>
      </c>
      <c r="D4" s="129">
        <v>14.0</v>
      </c>
      <c r="E4" s="130" t="s">
        <v>10</v>
      </c>
      <c r="F4" s="131" t="s">
        <v>11</v>
      </c>
      <c r="G4" s="132" t="s">
        <v>12</v>
      </c>
      <c r="H4" s="133">
        <f t="shared" si="1"/>
        <v>1</v>
      </c>
      <c r="I4" s="134" t="s">
        <v>39</v>
      </c>
      <c r="J4" s="116">
        <f t="shared" si="2"/>
        <v>1</v>
      </c>
      <c r="K4" s="116" t="str">
        <f t="shared" si="3"/>
        <v>1lunes</v>
      </c>
    </row>
    <row r="5" ht="22.5" customHeight="1">
      <c r="A5" s="135">
        <v>45664.0</v>
      </c>
      <c r="B5" s="136" t="s">
        <v>14</v>
      </c>
      <c r="C5" s="137" t="s">
        <v>9</v>
      </c>
      <c r="D5" s="138">
        <v>21.0</v>
      </c>
      <c r="E5" s="139" t="s">
        <v>10</v>
      </c>
      <c r="F5" s="140" t="s">
        <v>15</v>
      </c>
      <c r="G5" s="141" t="s">
        <v>12</v>
      </c>
      <c r="H5" s="142">
        <f t="shared" si="1"/>
        <v>1</v>
      </c>
      <c r="I5" s="143" t="s">
        <v>16</v>
      </c>
      <c r="J5" s="116">
        <f t="shared" si="2"/>
        <v>2</v>
      </c>
      <c r="K5" s="116" t="str">
        <f t="shared" si="3"/>
        <v>2martes</v>
      </c>
    </row>
    <row r="6" ht="22.5" customHeight="1">
      <c r="A6" s="126">
        <v>45665.0</v>
      </c>
      <c r="B6" s="144" t="s">
        <v>17</v>
      </c>
      <c r="C6" s="128" t="s">
        <v>9</v>
      </c>
      <c r="D6" s="129">
        <v>10.0</v>
      </c>
      <c r="E6" s="130" t="s">
        <v>10</v>
      </c>
      <c r="F6" s="131" t="s">
        <v>11</v>
      </c>
      <c r="G6" s="132" t="s">
        <v>12</v>
      </c>
      <c r="H6" s="145">
        <f t="shared" si="1"/>
        <v>1</v>
      </c>
      <c r="I6" s="146" t="s">
        <v>18</v>
      </c>
      <c r="J6" s="116">
        <f t="shared" si="2"/>
        <v>3</v>
      </c>
      <c r="K6" s="116" t="str">
        <f t="shared" si="3"/>
        <v>3miércoles</v>
      </c>
    </row>
    <row r="7" ht="22.5" customHeight="1">
      <c r="A7" s="135">
        <v>45666.0</v>
      </c>
      <c r="B7" s="147" t="s">
        <v>19</v>
      </c>
      <c r="C7" s="137" t="s">
        <v>9</v>
      </c>
      <c r="D7" s="138">
        <v>7.0</v>
      </c>
      <c r="E7" s="139" t="s">
        <v>10</v>
      </c>
      <c r="F7" s="140" t="s">
        <v>15</v>
      </c>
      <c r="G7" s="141" t="s">
        <v>12</v>
      </c>
      <c r="H7" s="148">
        <f t="shared" si="1"/>
        <v>1</v>
      </c>
      <c r="I7" s="149" t="s">
        <v>33</v>
      </c>
      <c r="J7" s="116">
        <f t="shared" si="2"/>
        <v>4</v>
      </c>
      <c r="K7" s="116" t="str">
        <f t="shared" si="3"/>
        <v>4jueves</v>
      </c>
    </row>
    <row r="8" ht="22.5" customHeight="1">
      <c r="A8" s="107">
        <v>45667.0</v>
      </c>
      <c r="B8" s="150" t="s">
        <v>19</v>
      </c>
      <c r="C8" s="109" t="s">
        <v>9</v>
      </c>
      <c r="D8" s="110">
        <v>7.0</v>
      </c>
      <c r="E8" s="111" t="s">
        <v>10</v>
      </c>
      <c r="F8" s="112" t="s">
        <v>11</v>
      </c>
      <c r="G8" s="113" t="s">
        <v>12</v>
      </c>
      <c r="H8" s="114">
        <f t="shared" si="1"/>
        <v>1</v>
      </c>
      <c r="I8" s="115" t="s">
        <v>20</v>
      </c>
      <c r="J8" s="116">
        <f t="shared" si="2"/>
        <v>5</v>
      </c>
      <c r="K8" s="116" t="str">
        <f t="shared" si="3"/>
        <v>5viernes</v>
      </c>
    </row>
    <row r="9" ht="22.5" customHeight="1">
      <c r="A9" s="117">
        <v>45668.0</v>
      </c>
      <c r="B9" s="151" t="s">
        <v>17</v>
      </c>
      <c r="C9" s="119" t="s">
        <v>9</v>
      </c>
      <c r="D9" s="120">
        <v>9.0</v>
      </c>
      <c r="E9" s="121" t="s">
        <v>10</v>
      </c>
      <c r="F9" s="122" t="s">
        <v>11</v>
      </c>
      <c r="G9" s="123" t="s">
        <v>12</v>
      </c>
      <c r="H9" s="152">
        <f t="shared" si="1"/>
        <v>1</v>
      </c>
      <c r="I9" s="153" t="s">
        <v>40</v>
      </c>
      <c r="J9" s="116">
        <f t="shared" si="2"/>
        <v>6</v>
      </c>
      <c r="K9" s="116" t="str">
        <f t="shared" si="3"/>
        <v>6sábado</v>
      </c>
    </row>
    <row r="10" ht="22.5" customHeight="1">
      <c r="A10" s="126">
        <v>45669.0</v>
      </c>
      <c r="B10" s="127" t="s">
        <v>8</v>
      </c>
      <c r="C10" s="154" t="s">
        <v>21</v>
      </c>
      <c r="D10" s="129">
        <v>15.0</v>
      </c>
      <c r="E10" s="155" t="s">
        <v>22</v>
      </c>
      <c r="F10" s="156" t="s">
        <v>15</v>
      </c>
      <c r="G10" s="132" t="s">
        <v>12</v>
      </c>
      <c r="H10" s="157">
        <f t="shared" si="1"/>
        <v>1</v>
      </c>
      <c r="I10" s="158" t="s">
        <v>13</v>
      </c>
      <c r="J10" s="116">
        <f t="shared" si="2"/>
        <v>7</v>
      </c>
      <c r="K10" s="116" t="str">
        <f t="shared" si="3"/>
        <v>7domingo</v>
      </c>
    </row>
    <row r="11" ht="22.5" customHeight="1">
      <c r="A11" s="135">
        <v>45670.0</v>
      </c>
      <c r="B11" s="159" t="s">
        <v>8</v>
      </c>
      <c r="C11" s="160" t="s">
        <v>21</v>
      </c>
      <c r="D11" s="138">
        <v>14.0</v>
      </c>
      <c r="E11" s="139" t="s">
        <v>10</v>
      </c>
      <c r="F11" s="161" t="s">
        <v>11</v>
      </c>
      <c r="G11" s="141" t="s">
        <v>12</v>
      </c>
      <c r="H11" s="162">
        <f t="shared" si="1"/>
        <v>1</v>
      </c>
      <c r="I11" s="163" t="s">
        <v>39</v>
      </c>
      <c r="J11" s="116">
        <f t="shared" si="2"/>
        <v>1</v>
      </c>
      <c r="K11" s="116" t="str">
        <f t="shared" si="3"/>
        <v>1lunes</v>
      </c>
    </row>
    <row r="12" ht="22.5" customHeight="1">
      <c r="A12" s="107">
        <v>45671.0</v>
      </c>
      <c r="B12" s="164" t="s">
        <v>8</v>
      </c>
      <c r="C12" s="109" t="s">
        <v>9</v>
      </c>
      <c r="D12" s="110">
        <v>14.0</v>
      </c>
      <c r="E12" s="111" t="s">
        <v>10</v>
      </c>
      <c r="F12" s="112" t="s">
        <v>11</v>
      </c>
      <c r="G12" s="113" t="s">
        <v>12</v>
      </c>
      <c r="H12" s="165">
        <f t="shared" si="1"/>
        <v>1</v>
      </c>
      <c r="I12" s="166" t="s">
        <v>16</v>
      </c>
      <c r="J12" s="116">
        <f t="shared" si="2"/>
        <v>2</v>
      </c>
      <c r="K12" s="116" t="str">
        <f t="shared" si="3"/>
        <v>2martes</v>
      </c>
    </row>
    <row r="13" ht="22.5" customHeight="1">
      <c r="A13" s="117">
        <v>45672.0</v>
      </c>
      <c r="B13" s="167" t="s">
        <v>23</v>
      </c>
      <c r="C13" s="119" t="s">
        <v>9</v>
      </c>
      <c r="D13" s="120">
        <v>18.0</v>
      </c>
      <c r="E13" s="121" t="s">
        <v>10</v>
      </c>
      <c r="F13" s="168" t="s">
        <v>15</v>
      </c>
      <c r="G13" s="123" t="s">
        <v>12</v>
      </c>
      <c r="H13" s="169">
        <f t="shared" si="1"/>
        <v>1</v>
      </c>
      <c r="I13" s="170" t="s">
        <v>18</v>
      </c>
      <c r="J13" s="116">
        <f t="shared" si="2"/>
        <v>3</v>
      </c>
      <c r="K13" s="116" t="str">
        <f t="shared" si="3"/>
        <v>3miércoles</v>
      </c>
    </row>
    <row r="14" ht="22.5" customHeight="1">
      <c r="A14" s="126">
        <v>45673.0</v>
      </c>
      <c r="B14" s="171" t="s">
        <v>23</v>
      </c>
      <c r="C14" s="128" t="s">
        <v>9</v>
      </c>
      <c r="D14" s="129">
        <v>20.0</v>
      </c>
      <c r="E14" s="130" t="s">
        <v>10</v>
      </c>
      <c r="F14" s="156" t="s">
        <v>15</v>
      </c>
      <c r="G14" s="132" t="s">
        <v>12</v>
      </c>
      <c r="H14" s="157">
        <f t="shared" si="1"/>
        <v>1</v>
      </c>
      <c r="I14" s="158" t="s">
        <v>33</v>
      </c>
      <c r="J14" s="116">
        <f t="shared" si="2"/>
        <v>4</v>
      </c>
      <c r="K14" s="116" t="str">
        <f t="shared" si="3"/>
        <v>4jueves</v>
      </c>
    </row>
    <row r="15" ht="22.5" customHeight="1">
      <c r="A15" s="135">
        <v>45674.0</v>
      </c>
      <c r="B15" s="136" t="s">
        <v>14</v>
      </c>
      <c r="C15" s="172" t="s">
        <v>24</v>
      </c>
      <c r="D15" s="138">
        <v>25.0</v>
      </c>
      <c r="E15" s="139" t="s">
        <v>10</v>
      </c>
      <c r="F15" s="161" t="s">
        <v>11</v>
      </c>
      <c r="G15" s="141" t="s">
        <v>12</v>
      </c>
      <c r="H15" s="173">
        <f t="shared" si="1"/>
        <v>1</v>
      </c>
      <c r="I15" s="174" t="s">
        <v>20</v>
      </c>
      <c r="J15" s="116">
        <f t="shared" si="2"/>
        <v>5</v>
      </c>
      <c r="K15" s="116" t="str">
        <f t="shared" si="3"/>
        <v>5viernes</v>
      </c>
    </row>
    <row r="16" ht="22.5" customHeight="1">
      <c r="A16" s="107">
        <v>45675.0</v>
      </c>
      <c r="B16" s="175" t="s">
        <v>17</v>
      </c>
      <c r="C16" s="176" t="s">
        <v>24</v>
      </c>
      <c r="D16" s="110">
        <v>11.0</v>
      </c>
      <c r="E16" s="111" t="s">
        <v>10</v>
      </c>
      <c r="F16" s="112" t="s">
        <v>11</v>
      </c>
      <c r="G16" s="113" t="s">
        <v>12</v>
      </c>
      <c r="H16" s="177">
        <f t="shared" si="1"/>
        <v>1</v>
      </c>
      <c r="I16" s="178" t="s">
        <v>40</v>
      </c>
      <c r="J16" s="116">
        <f t="shared" si="2"/>
        <v>6</v>
      </c>
      <c r="K16" s="116" t="str">
        <f t="shared" si="3"/>
        <v>6sábado</v>
      </c>
    </row>
    <row r="17" ht="22.5" customHeight="1">
      <c r="A17" s="117">
        <v>45676.0</v>
      </c>
      <c r="B17" s="151" t="s">
        <v>17</v>
      </c>
      <c r="C17" s="119" t="s">
        <v>9</v>
      </c>
      <c r="D17" s="120">
        <v>8.0</v>
      </c>
      <c r="E17" s="121" t="s">
        <v>10</v>
      </c>
      <c r="F17" s="122" t="s">
        <v>11</v>
      </c>
      <c r="G17" s="123" t="s">
        <v>12</v>
      </c>
      <c r="H17" s="124">
        <f t="shared" si="1"/>
        <v>1</v>
      </c>
      <c r="I17" s="125" t="s">
        <v>13</v>
      </c>
      <c r="J17" s="116">
        <f t="shared" si="2"/>
        <v>7</v>
      </c>
      <c r="K17" s="116" t="str">
        <f t="shared" si="3"/>
        <v>7domingo</v>
      </c>
    </row>
    <row r="18" ht="22.5" customHeight="1">
      <c r="A18" s="126">
        <v>45677.0</v>
      </c>
      <c r="B18" s="127" t="s">
        <v>8</v>
      </c>
      <c r="C18" s="128" t="s">
        <v>9</v>
      </c>
      <c r="D18" s="129">
        <v>14.0</v>
      </c>
      <c r="E18" s="130" t="s">
        <v>10</v>
      </c>
      <c r="F18" s="131" t="s">
        <v>11</v>
      </c>
      <c r="G18" s="132" t="s">
        <v>12</v>
      </c>
      <c r="H18" s="133">
        <f t="shared" si="1"/>
        <v>1</v>
      </c>
      <c r="I18" s="134" t="s">
        <v>39</v>
      </c>
      <c r="J18" s="116">
        <f t="shared" si="2"/>
        <v>1</v>
      </c>
      <c r="K18" s="116" t="str">
        <f t="shared" si="3"/>
        <v>1lunes</v>
      </c>
    </row>
    <row r="19" ht="22.5" customHeight="1">
      <c r="A19" s="135">
        <v>45678.0</v>
      </c>
      <c r="B19" s="159" t="s">
        <v>8</v>
      </c>
      <c r="C19" s="137" t="s">
        <v>9</v>
      </c>
      <c r="D19" s="138">
        <v>14.0</v>
      </c>
      <c r="E19" s="139" t="s">
        <v>10</v>
      </c>
      <c r="F19" s="140" t="s">
        <v>15</v>
      </c>
      <c r="G19" s="141" t="s">
        <v>12</v>
      </c>
      <c r="H19" s="142">
        <f t="shared" si="1"/>
        <v>1</v>
      </c>
      <c r="I19" s="143" t="s">
        <v>16</v>
      </c>
      <c r="J19" s="116">
        <f t="shared" si="2"/>
        <v>2</v>
      </c>
      <c r="K19" s="116" t="str">
        <f t="shared" si="3"/>
        <v>2martes</v>
      </c>
    </row>
    <row r="20" ht="22.5" customHeight="1">
      <c r="A20" s="126">
        <v>45679.0</v>
      </c>
      <c r="B20" s="179" t="s">
        <v>25</v>
      </c>
      <c r="C20" s="128" t="s">
        <v>9</v>
      </c>
      <c r="D20" s="129">
        <v>30.0</v>
      </c>
      <c r="E20" s="155" t="s">
        <v>22</v>
      </c>
      <c r="F20" s="131" t="s">
        <v>11</v>
      </c>
      <c r="G20" s="132" t="s">
        <v>12</v>
      </c>
      <c r="H20" s="145">
        <f t="shared" si="1"/>
        <v>1</v>
      </c>
      <c r="I20" s="146" t="s">
        <v>18</v>
      </c>
      <c r="J20" s="116">
        <f t="shared" si="2"/>
        <v>3</v>
      </c>
      <c r="K20" s="116" t="str">
        <f t="shared" si="3"/>
        <v>3miércoles</v>
      </c>
    </row>
    <row r="21" ht="22.5" customHeight="1">
      <c r="A21" s="135">
        <v>45680.0</v>
      </c>
      <c r="B21" s="136" t="s">
        <v>14</v>
      </c>
      <c r="C21" s="137" t="s">
        <v>9</v>
      </c>
      <c r="D21" s="138">
        <v>24.0</v>
      </c>
      <c r="E21" s="139" t="s">
        <v>10</v>
      </c>
      <c r="F21" s="140" t="s">
        <v>15</v>
      </c>
      <c r="G21" s="141" t="s">
        <v>12</v>
      </c>
      <c r="H21" s="148">
        <f t="shared" si="1"/>
        <v>1</v>
      </c>
      <c r="I21" s="149" t="s">
        <v>33</v>
      </c>
      <c r="J21" s="116">
        <f t="shared" si="2"/>
        <v>4</v>
      </c>
      <c r="K21" s="116" t="str">
        <f t="shared" si="3"/>
        <v>4jueves</v>
      </c>
    </row>
    <row r="22" ht="22.5" customHeight="1">
      <c r="A22" s="107">
        <v>45681.0</v>
      </c>
      <c r="B22" s="164" t="s">
        <v>8</v>
      </c>
      <c r="C22" s="180" t="s">
        <v>21</v>
      </c>
      <c r="D22" s="110">
        <v>14.0</v>
      </c>
      <c r="E22" s="111" t="s">
        <v>10</v>
      </c>
      <c r="F22" s="112" t="s">
        <v>11</v>
      </c>
      <c r="G22" s="113" t="s">
        <v>12</v>
      </c>
      <c r="H22" s="114">
        <f t="shared" si="1"/>
        <v>1</v>
      </c>
      <c r="I22" s="115" t="s">
        <v>20</v>
      </c>
      <c r="J22" s="116">
        <f t="shared" si="2"/>
        <v>5</v>
      </c>
      <c r="K22" s="116" t="str">
        <f t="shared" si="3"/>
        <v>5viernes</v>
      </c>
    </row>
    <row r="23" ht="22.5" customHeight="1">
      <c r="A23" s="117">
        <v>45682.0</v>
      </c>
      <c r="B23" s="181" t="s">
        <v>19</v>
      </c>
      <c r="C23" s="119" t="s">
        <v>9</v>
      </c>
      <c r="D23" s="120">
        <v>7.0</v>
      </c>
      <c r="E23" s="121" t="s">
        <v>10</v>
      </c>
      <c r="F23" s="122" t="s">
        <v>11</v>
      </c>
      <c r="G23" s="123" t="s">
        <v>12</v>
      </c>
      <c r="H23" s="152">
        <f t="shared" si="1"/>
        <v>1</v>
      </c>
      <c r="I23" s="153" t="s">
        <v>40</v>
      </c>
      <c r="J23" s="116">
        <f t="shared" si="2"/>
        <v>6</v>
      </c>
      <c r="K23" s="116" t="str">
        <f t="shared" si="3"/>
        <v>6sábado</v>
      </c>
    </row>
    <row r="24" ht="22.5" customHeight="1">
      <c r="A24" s="126">
        <v>45683.0</v>
      </c>
      <c r="B24" s="182" t="s">
        <v>19</v>
      </c>
      <c r="C24" s="128" t="s">
        <v>9</v>
      </c>
      <c r="D24" s="129">
        <v>7.0</v>
      </c>
      <c r="E24" s="130" t="s">
        <v>10</v>
      </c>
      <c r="F24" s="156" t="s">
        <v>15</v>
      </c>
      <c r="G24" s="132" t="s">
        <v>12</v>
      </c>
      <c r="H24" s="157">
        <f t="shared" si="1"/>
        <v>1</v>
      </c>
      <c r="I24" s="158" t="s">
        <v>13</v>
      </c>
      <c r="J24" s="116">
        <f t="shared" si="2"/>
        <v>7</v>
      </c>
      <c r="K24" s="116" t="str">
        <f t="shared" si="3"/>
        <v>7domingo</v>
      </c>
    </row>
    <row r="25" ht="22.5" customHeight="1">
      <c r="A25" s="135">
        <v>45684.0</v>
      </c>
      <c r="B25" s="159" t="s">
        <v>8</v>
      </c>
      <c r="C25" s="137" t="s">
        <v>9</v>
      </c>
      <c r="D25" s="138">
        <v>14.0</v>
      </c>
      <c r="E25" s="139" t="s">
        <v>10</v>
      </c>
      <c r="F25" s="161" t="s">
        <v>11</v>
      </c>
      <c r="G25" s="141" t="s">
        <v>12</v>
      </c>
      <c r="H25" s="162">
        <f t="shared" si="1"/>
        <v>1</v>
      </c>
      <c r="I25" s="163" t="s">
        <v>39</v>
      </c>
      <c r="J25" s="116">
        <f t="shared" si="2"/>
        <v>1</v>
      </c>
      <c r="K25" s="116" t="str">
        <f t="shared" si="3"/>
        <v>1lunes</v>
      </c>
    </row>
    <row r="26" ht="22.5" customHeight="1">
      <c r="A26" s="107">
        <v>45685.0</v>
      </c>
      <c r="B26" s="164" t="s">
        <v>8</v>
      </c>
      <c r="C26" s="109" t="s">
        <v>9</v>
      </c>
      <c r="D26" s="110">
        <v>16.0</v>
      </c>
      <c r="E26" s="111" t="s">
        <v>10</v>
      </c>
      <c r="F26" s="112" t="s">
        <v>11</v>
      </c>
      <c r="G26" s="113" t="s">
        <v>12</v>
      </c>
      <c r="H26" s="165">
        <f t="shared" si="1"/>
        <v>1</v>
      </c>
      <c r="I26" s="166" t="s">
        <v>16</v>
      </c>
      <c r="J26" s="116">
        <f t="shared" si="2"/>
        <v>2</v>
      </c>
      <c r="K26" s="116" t="str">
        <f t="shared" si="3"/>
        <v>2martes</v>
      </c>
    </row>
    <row r="27" ht="22.5" customHeight="1">
      <c r="A27" s="117">
        <v>45686.0</v>
      </c>
      <c r="B27" s="151" t="s">
        <v>17</v>
      </c>
      <c r="C27" s="119" t="s">
        <v>9</v>
      </c>
      <c r="D27" s="120">
        <v>9.0</v>
      </c>
      <c r="E27" s="121" t="s">
        <v>10</v>
      </c>
      <c r="F27" s="122" t="s">
        <v>11</v>
      </c>
      <c r="G27" s="123" t="s">
        <v>12</v>
      </c>
      <c r="H27" s="169">
        <f t="shared" si="1"/>
        <v>1</v>
      </c>
      <c r="I27" s="170" t="s">
        <v>18</v>
      </c>
      <c r="J27" s="116">
        <f t="shared" si="2"/>
        <v>3</v>
      </c>
      <c r="K27" s="116" t="str">
        <f t="shared" si="3"/>
        <v>3miércoles</v>
      </c>
    </row>
    <row r="28" ht="22.5" customHeight="1">
      <c r="A28" s="126">
        <v>45687.0</v>
      </c>
      <c r="B28" s="183" t="s">
        <v>26</v>
      </c>
      <c r="C28" s="154" t="s">
        <v>21</v>
      </c>
      <c r="D28" s="129">
        <v>27.0</v>
      </c>
      <c r="E28" s="155" t="s">
        <v>22</v>
      </c>
      <c r="F28" s="156" t="s">
        <v>15</v>
      </c>
      <c r="G28" s="132" t="s">
        <v>12</v>
      </c>
      <c r="H28" s="157">
        <f t="shared" si="1"/>
        <v>1</v>
      </c>
      <c r="I28" s="158" t="s">
        <v>33</v>
      </c>
      <c r="J28" s="116">
        <f t="shared" si="2"/>
        <v>4</v>
      </c>
      <c r="K28" s="116" t="str">
        <f t="shared" si="3"/>
        <v>4jueves</v>
      </c>
    </row>
    <row r="29" ht="22.5" customHeight="1">
      <c r="A29" s="135">
        <v>45688.0</v>
      </c>
      <c r="B29" s="184" t="s">
        <v>26</v>
      </c>
      <c r="C29" s="137" t="s">
        <v>9</v>
      </c>
      <c r="D29" s="138">
        <v>21.0</v>
      </c>
      <c r="E29" s="139" t="s">
        <v>10</v>
      </c>
      <c r="F29" s="140" t="s">
        <v>15</v>
      </c>
      <c r="G29" s="141" t="s">
        <v>12</v>
      </c>
      <c r="H29" s="173">
        <f t="shared" si="1"/>
        <v>1</v>
      </c>
      <c r="I29" s="174" t="s">
        <v>20</v>
      </c>
      <c r="J29" s="116">
        <f t="shared" si="2"/>
        <v>5</v>
      </c>
      <c r="K29" s="116" t="str">
        <f t="shared" si="3"/>
        <v>5viernes</v>
      </c>
    </row>
    <row r="30" ht="22.5" customHeight="1">
      <c r="A30" s="107">
        <v>45689.0</v>
      </c>
      <c r="B30" s="175" t="s">
        <v>17</v>
      </c>
      <c r="C30" s="109" t="s">
        <v>9</v>
      </c>
      <c r="D30" s="110">
        <v>10.0</v>
      </c>
      <c r="E30" s="111" t="s">
        <v>10</v>
      </c>
      <c r="F30" s="112" t="s">
        <v>11</v>
      </c>
      <c r="G30" s="113" t="s">
        <v>27</v>
      </c>
      <c r="H30" s="177">
        <f t="shared" si="1"/>
        <v>2</v>
      </c>
      <c r="I30" s="178" t="s">
        <v>40</v>
      </c>
      <c r="J30" s="116">
        <f t="shared" si="2"/>
        <v>6</v>
      </c>
      <c r="K30" s="116" t="str">
        <f t="shared" si="3"/>
        <v>6sábado</v>
      </c>
    </row>
    <row r="31" ht="22.5" customHeight="1">
      <c r="A31" s="117">
        <v>45690.0</v>
      </c>
      <c r="B31" s="118" t="s">
        <v>8</v>
      </c>
      <c r="C31" s="119" t="s">
        <v>9</v>
      </c>
      <c r="D31" s="120">
        <v>14.0</v>
      </c>
      <c r="E31" s="121" t="s">
        <v>10</v>
      </c>
      <c r="F31" s="122" t="s">
        <v>11</v>
      </c>
      <c r="G31" s="123" t="s">
        <v>27</v>
      </c>
      <c r="H31" s="124">
        <f t="shared" si="1"/>
        <v>2</v>
      </c>
      <c r="I31" s="125" t="s">
        <v>13</v>
      </c>
      <c r="J31" s="116">
        <f t="shared" si="2"/>
        <v>7</v>
      </c>
      <c r="K31" s="116" t="str">
        <f t="shared" si="3"/>
        <v>7domingo</v>
      </c>
    </row>
    <row r="32" ht="22.5" customHeight="1">
      <c r="A32" s="126">
        <v>45691.0</v>
      </c>
      <c r="B32" s="127" t="s">
        <v>8</v>
      </c>
      <c r="C32" s="128" t="s">
        <v>9</v>
      </c>
      <c r="D32" s="129">
        <v>14.0</v>
      </c>
      <c r="E32" s="130" t="s">
        <v>10</v>
      </c>
      <c r="F32" s="131" t="s">
        <v>11</v>
      </c>
      <c r="G32" s="132" t="s">
        <v>27</v>
      </c>
      <c r="H32" s="133">
        <f t="shared" si="1"/>
        <v>2</v>
      </c>
      <c r="I32" s="134" t="s">
        <v>39</v>
      </c>
      <c r="J32" s="116">
        <f t="shared" si="2"/>
        <v>1</v>
      </c>
      <c r="K32" s="116" t="str">
        <f t="shared" si="3"/>
        <v>1lunes</v>
      </c>
    </row>
    <row r="33" ht="22.5" customHeight="1">
      <c r="A33" s="135">
        <v>45692.0</v>
      </c>
      <c r="B33" s="185" t="s">
        <v>17</v>
      </c>
      <c r="C33" s="172" t="s">
        <v>24</v>
      </c>
      <c r="D33" s="138">
        <v>12.0</v>
      </c>
      <c r="E33" s="139" t="s">
        <v>10</v>
      </c>
      <c r="F33" s="161" t="s">
        <v>11</v>
      </c>
      <c r="G33" s="141" t="s">
        <v>27</v>
      </c>
      <c r="H33" s="142">
        <f t="shared" si="1"/>
        <v>2</v>
      </c>
      <c r="I33" s="143" t="s">
        <v>16</v>
      </c>
      <c r="J33" s="116">
        <f t="shared" si="2"/>
        <v>2</v>
      </c>
      <c r="K33" s="116" t="str">
        <f t="shared" si="3"/>
        <v>2martes</v>
      </c>
    </row>
    <row r="34" ht="22.5" customHeight="1">
      <c r="A34" s="126">
        <v>45693.0</v>
      </c>
      <c r="B34" s="127" t="s">
        <v>8</v>
      </c>
      <c r="C34" s="128" t="s">
        <v>9</v>
      </c>
      <c r="D34" s="129">
        <v>14.0</v>
      </c>
      <c r="E34" s="130" t="s">
        <v>10</v>
      </c>
      <c r="F34" s="156" t="s">
        <v>15</v>
      </c>
      <c r="G34" s="132" t="s">
        <v>27</v>
      </c>
      <c r="H34" s="145">
        <f t="shared" si="1"/>
        <v>2</v>
      </c>
      <c r="I34" s="146" t="s">
        <v>18</v>
      </c>
      <c r="J34" s="116">
        <f t="shared" si="2"/>
        <v>3</v>
      </c>
      <c r="K34" s="116" t="str">
        <f t="shared" si="3"/>
        <v>3miércoles</v>
      </c>
    </row>
    <row r="35" ht="22.5" customHeight="1">
      <c r="A35" s="135">
        <v>45694.0</v>
      </c>
      <c r="B35" s="136" t="s">
        <v>14</v>
      </c>
      <c r="C35" s="172" t="s">
        <v>24</v>
      </c>
      <c r="D35" s="138">
        <v>21.0</v>
      </c>
      <c r="E35" s="139" t="s">
        <v>10</v>
      </c>
      <c r="F35" s="140" t="s">
        <v>15</v>
      </c>
      <c r="G35" s="141" t="s">
        <v>27</v>
      </c>
      <c r="H35" s="148">
        <f t="shared" si="1"/>
        <v>2</v>
      </c>
      <c r="I35" s="149" t="s">
        <v>33</v>
      </c>
      <c r="J35" s="116">
        <f t="shared" si="2"/>
        <v>4</v>
      </c>
      <c r="K35" s="116" t="str">
        <f t="shared" si="3"/>
        <v>4jueves</v>
      </c>
    </row>
    <row r="36" ht="22.5" customHeight="1">
      <c r="A36" s="107">
        <v>45695.0</v>
      </c>
      <c r="B36" s="108" t="s">
        <v>14</v>
      </c>
      <c r="C36" s="109" t="s">
        <v>9</v>
      </c>
      <c r="D36" s="110">
        <v>28.0</v>
      </c>
      <c r="E36" s="186" t="s">
        <v>22</v>
      </c>
      <c r="F36" s="112" t="s">
        <v>11</v>
      </c>
      <c r="G36" s="113" t="s">
        <v>27</v>
      </c>
      <c r="H36" s="114">
        <f t="shared" si="1"/>
        <v>2</v>
      </c>
      <c r="I36" s="115" t="s">
        <v>20</v>
      </c>
      <c r="J36" s="116">
        <f t="shared" si="2"/>
        <v>5</v>
      </c>
      <c r="K36" s="116" t="str">
        <f t="shared" si="3"/>
        <v>5viernes</v>
      </c>
    </row>
    <row r="37" ht="22.5" customHeight="1">
      <c r="A37" s="117">
        <v>45696.0</v>
      </c>
      <c r="B37" s="181" t="s">
        <v>19</v>
      </c>
      <c r="C37" s="119" t="s">
        <v>9</v>
      </c>
      <c r="D37" s="120">
        <v>7.0</v>
      </c>
      <c r="E37" s="121" t="s">
        <v>10</v>
      </c>
      <c r="F37" s="122" t="s">
        <v>11</v>
      </c>
      <c r="G37" s="123" t="s">
        <v>27</v>
      </c>
      <c r="H37" s="152">
        <f t="shared" si="1"/>
        <v>2</v>
      </c>
      <c r="I37" s="153" t="s">
        <v>40</v>
      </c>
      <c r="J37" s="116">
        <f t="shared" si="2"/>
        <v>6</v>
      </c>
      <c r="K37" s="116" t="str">
        <f t="shared" si="3"/>
        <v>6sábado</v>
      </c>
    </row>
    <row r="38" ht="22.5" customHeight="1">
      <c r="A38" s="126">
        <v>45697.0</v>
      </c>
      <c r="B38" s="182" t="s">
        <v>19</v>
      </c>
      <c r="C38" s="128" t="s">
        <v>9</v>
      </c>
      <c r="D38" s="129">
        <v>7.0</v>
      </c>
      <c r="E38" s="130" t="s">
        <v>10</v>
      </c>
      <c r="F38" s="131" t="s">
        <v>11</v>
      </c>
      <c r="G38" s="132" t="s">
        <v>27</v>
      </c>
      <c r="H38" s="157">
        <f t="shared" si="1"/>
        <v>2</v>
      </c>
      <c r="I38" s="158" t="s">
        <v>13</v>
      </c>
      <c r="J38" s="116">
        <f t="shared" si="2"/>
        <v>7</v>
      </c>
      <c r="K38" s="116" t="str">
        <f t="shared" si="3"/>
        <v>7domingo</v>
      </c>
    </row>
    <row r="39" ht="22.5" customHeight="1">
      <c r="A39" s="135">
        <v>45698.0</v>
      </c>
      <c r="B39" s="159" t="s">
        <v>8</v>
      </c>
      <c r="C39" s="137" t="s">
        <v>9</v>
      </c>
      <c r="D39" s="138">
        <v>14.0</v>
      </c>
      <c r="E39" s="139" t="s">
        <v>10</v>
      </c>
      <c r="F39" s="161" t="s">
        <v>11</v>
      </c>
      <c r="G39" s="141" t="s">
        <v>27</v>
      </c>
      <c r="H39" s="162">
        <f t="shared" si="1"/>
        <v>2</v>
      </c>
      <c r="I39" s="163" t="s">
        <v>39</v>
      </c>
      <c r="J39" s="116">
        <f t="shared" si="2"/>
        <v>1</v>
      </c>
      <c r="K39" s="116" t="str">
        <f t="shared" si="3"/>
        <v>1lunes</v>
      </c>
    </row>
    <row r="40" ht="22.5" customHeight="1">
      <c r="A40" s="107">
        <v>45699.0</v>
      </c>
      <c r="B40" s="164" t="s">
        <v>8</v>
      </c>
      <c r="C40" s="180" t="s">
        <v>21</v>
      </c>
      <c r="D40" s="110">
        <v>14.0</v>
      </c>
      <c r="E40" s="111" t="s">
        <v>10</v>
      </c>
      <c r="F40" s="187" t="s">
        <v>15</v>
      </c>
      <c r="G40" s="113" t="s">
        <v>27</v>
      </c>
      <c r="H40" s="165">
        <f t="shared" si="1"/>
        <v>2</v>
      </c>
      <c r="I40" s="166" t="s">
        <v>16</v>
      </c>
      <c r="J40" s="116">
        <f t="shared" si="2"/>
        <v>2</v>
      </c>
      <c r="K40" s="116" t="str">
        <f t="shared" si="3"/>
        <v>2martes</v>
      </c>
    </row>
    <row r="41" ht="22.5" customHeight="1">
      <c r="A41" s="117">
        <v>45700.0</v>
      </c>
      <c r="B41" s="151" t="s">
        <v>17</v>
      </c>
      <c r="C41" s="119" t="s">
        <v>9</v>
      </c>
      <c r="D41" s="120">
        <v>10.0</v>
      </c>
      <c r="E41" s="121" t="s">
        <v>10</v>
      </c>
      <c r="F41" s="122" t="s">
        <v>11</v>
      </c>
      <c r="G41" s="123" t="s">
        <v>27</v>
      </c>
      <c r="H41" s="169">
        <f t="shared" si="1"/>
        <v>2</v>
      </c>
      <c r="I41" s="170" t="s">
        <v>18</v>
      </c>
      <c r="J41" s="116">
        <f t="shared" si="2"/>
        <v>3</v>
      </c>
      <c r="K41" s="116" t="str">
        <f t="shared" si="3"/>
        <v>3miércoles</v>
      </c>
    </row>
    <row r="42" ht="22.5" customHeight="1">
      <c r="A42" s="126">
        <v>45701.0</v>
      </c>
      <c r="B42" s="144" t="s">
        <v>17</v>
      </c>
      <c r="C42" s="128" t="s">
        <v>9</v>
      </c>
      <c r="D42" s="129">
        <v>12.0</v>
      </c>
      <c r="E42" s="130" t="s">
        <v>10</v>
      </c>
      <c r="F42" s="156" t="s">
        <v>15</v>
      </c>
      <c r="G42" s="132" t="s">
        <v>27</v>
      </c>
      <c r="H42" s="157">
        <f t="shared" si="1"/>
        <v>2</v>
      </c>
      <c r="I42" s="158" t="s">
        <v>33</v>
      </c>
      <c r="J42" s="116">
        <f t="shared" si="2"/>
        <v>4</v>
      </c>
      <c r="K42" s="116" t="str">
        <f t="shared" si="3"/>
        <v>4jueves</v>
      </c>
    </row>
    <row r="43" ht="22.5" customHeight="1">
      <c r="A43" s="135">
        <v>45702.0</v>
      </c>
      <c r="B43" s="159" t="s">
        <v>8</v>
      </c>
      <c r="C43" s="137" t="s">
        <v>9</v>
      </c>
      <c r="D43" s="138">
        <v>14.0</v>
      </c>
      <c r="E43" s="139" t="s">
        <v>10</v>
      </c>
      <c r="F43" s="161" t="s">
        <v>11</v>
      </c>
      <c r="G43" s="141" t="s">
        <v>27</v>
      </c>
      <c r="H43" s="173">
        <f t="shared" si="1"/>
        <v>2</v>
      </c>
      <c r="I43" s="174" t="s">
        <v>20</v>
      </c>
      <c r="J43" s="116">
        <f t="shared" si="2"/>
        <v>5</v>
      </c>
      <c r="K43" s="116" t="str">
        <f t="shared" si="3"/>
        <v>5viernes</v>
      </c>
    </row>
    <row r="44" ht="22.5" customHeight="1">
      <c r="A44" s="107">
        <v>45703.0</v>
      </c>
      <c r="B44" s="164" t="s">
        <v>8</v>
      </c>
      <c r="C44" s="180" t="s">
        <v>21</v>
      </c>
      <c r="D44" s="110">
        <v>15.0</v>
      </c>
      <c r="E44" s="111" t="s">
        <v>10</v>
      </c>
      <c r="F44" s="112" t="s">
        <v>11</v>
      </c>
      <c r="G44" s="113" t="s">
        <v>27</v>
      </c>
      <c r="H44" s="177">
        <f t="shared" si="1"/>
        <v>2</v>
      </c>
      <c r="I44" s="178" t="s">
        <v>40</v>
      </c>
      <c r="J44" s="116">
        <f t="shared" si="2"/>
        <v>6</v>
      </c>
      <c r="K44" s="116" t="str">
        <f t="shared" si="3"/>
        <v>6sábado</v>
      </c>
    </row>
    <row r="45" ht="22.5" customHeight="1">
      <c r="A45" s="117">
        <v>45704.0</v>
      </c>
      <c r="B45" s="167" t="s">
        <v>23</v>
      </c>
      <c r="C45" s="119" t="s">
        <v>9</v>
      </c>
      <c r="D45" s="120">
        <v>21.0</v>
      </c>
      <c r="E45" s="121" t="s">
        <v>10</v>
      </c>
      <c r="F45" s="168" t="s">
        <v>15</v>
      </c>
      <c r="G45" s="123" t="s">
        <v>27</v>
      </c>
      <c r="H45" s="124">
        <f t="shared" si="1"/>
        <v>2</v>
      </c>
      <c r="I45" s="125" t="s">
        <v>13</v>
      </c>
      <c r="J45" s="116">
        <f t="shared" si="2"/>
        <v>7</v>
      </c>
      <c r="K45" s="116" t="str">
        <f t="shared" si="3"/>
        <v>7domingo</v>
      </c>
    </row>
    <row r="46" ht="22.5" customHeight="1">
      <c r="A46" s="126">
        <v>45705.0</v>
      </c>
      <c r="B46" s="171" t="s">
        <v>23</v>
      </c>
      <c r="C46" s="128" t="s">
        <v>9</v>
      </c>
      <c r="D46" s="129">
        <v>19.0</v>
      </c>
      <c r="E46" s="130" t="s">
        <v>10</v>
      </c>
      <c r="F46" s="131" t="s">
        <v>11</v>
      </c>
      <c r="G46" s="132" t="s">
        <v>27</v>
      </c>
      <c r="H46" s="133">
        <f t="shared" si="1"/>
        <v>2</v>
      </c>
      <c r="I46" s="134" t="s">
        <v>39</v>
      </c>
      <c r="J46" s="116">
        <f t="shared" si="2"/>
        <v>1</v>
      </c>
      <c r="K46" s="116" t="str">
        <f t="shared" si="3"/>
        <v>1lunes</v>
      </c>
    </row>
    <row r="47" ht="22.5" customHeight="1">
      <c r="A47" s="135">
        <v>45706.0</v>
      </c>
      <c r="B47" s="136" t="s">
        <v>14</v>
      </c>
      <c r="C47" s="137" t="s">
        <v>9</v>
      </c>
      <c r="D47" s="138">
        <v>23.0</v>
      </c>
      <c r="E47" s="139" t="s">
        <v>10</v>
      </c>
      <c r="F47" s="161" t="s">
        <v>11</v>
      </c>
      <c r="G47" s="141" t="s">
        <v>27</v>
      </c>
      <c r="H47" s="142">
        <f t="shared" si="1"/>
        <v>2</v>
      </c>
      <c r="I47" s="143" t="s">
        <v>16</v>
      </c>
      <c r="J47" s="116">
        <f t="shared" si="2"/>
        <v>2</v>
      </c>
      <c r="K47" s="116" t="str">
        <f t="shared" si="3"/>
        <v>2martes</v>
      </c>
    </row>
    <row r="48" ht="22.5" customHeight="1">
      <c r="A48" s="126">
        <v>45707.0</v>
      </c>
      <c r="B48" s="127" t="s">
        <v>8</v>
      </c>
      <c r="C48" s="128" t="s">
        <v>9</v>
      </c>
      <c r="D48" s="129">
        <v>15.0</v>
      </c>
      <c r="E48" s="130" t="s">
        <v>10</v>
      </c>
      <c r="F48" s="131" t="s">
        <v>11</v>
      </c>
      <c r="G48" s="132" t="s">
        <v>27</v>
      </c>
      <c r="H48" s="145">
        <f t="shared" si="1"/>
        <v>2</v>
      </c>
      <c r="I48" s="146" t="s">
        <v>18</v>
      </c>
      <c r="J48" s="116">
        <f t="shared" si="2"/>
        <v>3</v>
      </c>
      <c r="K48" s="116" t="str">
        <f t="shared" si="3"/>
        <v>3miércoles</v>
      </c>
    </row>
    <row r="49" ht="22.5" customHeight="1">
      <c r="A49" s="135">
        <v>45708.0</v>
      </c>
      <c r="B49" s="136" t="s">
        <v>14</v>
      </c>
      <c r="C49" s="137" t="s">
        <v>9</v>
      </c>
      <c r="D49" s="138">
        <v>22.0</v>
      </c>
      <c r="E49" s="139" t="s">
        <v>10</v>
      </c>
      <c r="F49" s="140" t="s">
        <v>15</v>
      </c>
      <c r="G49" s="141" t="s">
        <v>27</v>
      </c>
      <c r="H49" s="148">
        <f t="shared" si="1"/>
        <v>2</v>
      </c>
      <c r="I49" s="149" t="s">
        <v>33</v>
      </c>
      <c r="J49" s="116">
        <f t="shared" si="2"/>
        <v>4</v>
      </c>
      <c r="K49" s="116" t="str">
        <f t="shared" si="3"/>
        <v>4jueves</v>
      </c>
    </row>
    <row r="50" ht="22.5" customHeight="1">
      <c r="A50" s="107">
        <v>45709.0</v>
      </c>
      <c r="B50" s="175" t="s">
        <v>17</v>
      </c>
      <c r="C50" s="109" t="s">
        <v>9</v>
      </c>
      <c r="D50" s="110">
        <v>11.0</v>
      </c>
      <c r="E50" s="111" t="s">
        <v>10</v>
      </c>
      <c r="F50" s="187" t="s">
        <v>15</v>
      </c>
      <c r="G50" s="113" t="s">
        <v>27</v>
      </c>
      <c r="H50" s="114">
        <f t="shared" si="1"/>
        <v>2</v>
      </c>
      <c r="I50" s="115" t="s">
        <v>20</v>
      </c>
      <c r="J50" s="116">
        <f t="shared" si="2"/>
        <v>5</v>
      </c>
      <c r="K50" s="116" t="str">
        <f t="shared" si="3"/>
        <v>5viernes</v>
      </c>
    </row>
    <row r="51" ht="22.5" customHeight="1">
      <c r="A51" s="117">
        <v>45710.0</v>
      </c>
      <c r="B51" s="118" t="s">
        <v>8</v>
      </c>
      <c r="C51" s="119" t="s">
        <v>9</v>
      </c>
      <c r="D51" s="120">
        <v>14.0</v>
      </c>
      <c r="E51" s="121" t="s">
        <v>10</v>
      </c>
      <c r="F51" s="122" t="s">
        <v>11</v>
      </c>
      <c r="G51" s="123" t="s">
        <v>27</v>
      </c>
      <c r="H51" s="152">
        <f t="shared" si="1"/>
        <v>2</v>
      </c>
      <c r="I51" s="153" t="s">
        <v>40</v>
      </c>
      <c r="J51" s="116">
        <f t="shared" si="2"/>
        <v>6</v>
      </c>
      <c r="K51" s="116" t="str">
        <f t="shared" si="3"/>
        <v>6sábado</v>
      </c>
    </row>
    <row r="52" ht="22.5" customHeight="1">
      <c r="A52" s="126">
        <v>45711.0</v>
      </c>
      <c r="B52" s="127" t="s">
        <v>8</v>
      </c>
      <c r="C52" s="188" t="s">
        <v>24</v>
      </c>
      <c r="D52" s="129">
        <v>14.0</v>
      </c>
      <c r="E52" s="130" t="s">
        <v>10</v>
      </c>
      <c r="F52" s="131" t="s">
        <v>11</v>
      </c>
      <c r="G52" s="132" t="s">
        <v>27</v>
      </c>
      <c r="H52" s="157">
        <f t="shared" si="1"/>
        <v>2</v>
      </c>
      <c r="I52" s="158" t="s">
        <v>13</v>
      </c>
      <c r="J52" s="116">
        <f t="shared" si="2"/>
        <v>7</v>
      </c>
      <c r="K52" s="116" t="str">
        <f t="shared" si="3"/>
        <v>7domingo</v>
      </c>
    </row>
    <row r="53" ht="22.5" customHeight="1">
      <c r="A53" s="135">
        <v>45712.0</v>
      </c>
      <c r="B53" s="147" t="s">
        <v>19</v>
      </c>
      <c r="C53" s="137" t="s">
        <v>9</v>
      </c>
      <c r="D53" s="138">
        <v>7.0</v>
      </c>
      <c r="E53" s="139" t="s">
        <v>10</v>
      </c>
      <c r="F53" s="161" t="s">
        <v>11</v>
      </c>
      <c r="G53" s="141" t="s">
        <v>27</v>
      </c>
      <c r="H53" s="162">
        <f t="shared" si="1"/>
        <v>2</v>
      </c>
      <c r="I53" s="163" t="s">
        <v>39</v>
      </c>
      <c r="J53" s="116">
        <f t="shared" si="2"/>
        <v>1</v>
      </c>
      <c r="K53" s="116" t="str">
        <f t="shared" si="3"/>
        <v>1lunes</v>
      </c>
    </row>
    <row r="54" ht="22.5" customHeight="1">
      <c r="A54" s="107">
        <v>45713.0</v>
      </c>
      <c r="B54" s="150" t="s">
        <v>19</v>
      </c>
      <c r="C54" s="109" t="s">
        <v>9</v>
      </c>
      <c r="D54" s="110">
        <v>7.0</v>
      </c>
      <c r="E54" s="111" t="s">
        <v>10</v>
      </c>
      <c r="F54" s="112" t="s">
        <v>11</v>
      </c>
      <c r="G54" s="113" t="s">
        <v>27</v>
      </c>
      <c r="H54" s="165">
        <f t="shared" si="1"/>
        <v>2</v>
      </c>
      <c r="I54" s="166" t="s">
        <v>16</v>
      </c>
      <c r="J54" s="116">
        <f t="shared" si="2"/>
        <v>2</v>
      </c>
      <c r="K54" s="116" t="str">
        <f t="shared" si="3"/>
        <v>2martes</v>
      </c>
    </row>
    <row r="55" ht="22.5" customHeight="1">
      <c r="A55" s="117">
        <v>45714.0</v>
      </c>
      <c r="B55" s="189" t="s">
        <v>26</v>
      </c>
      <c r="C55" s="190" t="s">
        <v>21</v>
      </c>
      <c r="D55" s="120">
        <v>25.0</v>
      </c>
      <c r="E55" s="121" t="s">
        <v>10</v>
      </c>
      <c r="F55" s="168" t="s">
        <v>15</v>
      </c>
      <c r="G55" s="123" t="s">
        <v>27</v>
      </c>
      <c r="H55" s="169">
        <f t="shared" si="1"/>
        <v>2</v>
      </c>
      <c r="I55" s="170" t="s">
        <v>18</v>
      </c>
      <c r="J55" s="116">
        <f t="shared" si="2"/>
        <v>3</v>
      </c>
      <c r="K55" s="116" t="str">
        <f t="shared" si="3"/>
        <v>3miércoles</v>
      </c>
    </row>
    <row r="56" ht="22.5" customHeight="1">
      <c r="A56" s="126">
        <v>45715.0</v>
      </c>
      <c r="B56" s="144" t="s">
        <v>17</v>
      </c>
      <c r="C56" s="188" t="s">
        <v>24</v>
      </c>
      <c r="D56" s="129">
        <v>10.0</v>
      </c>
      <c r="E56" s="130" t="s">
        <v>10</v>
      </c>
      <c r="F56" s="156" t="s">
        <v>15</v>
      </c>
      <c r="G56" s="132" t="s">
        <v>27</v>
      </c>
      <c r="H56" s="157">
        <f t="shared" si="1"/>
        <v>2</v>
      </c>
      <c r="I56" s="158" t="s">
        <v>33</v>
      </c>
      <c r="J56" s="116">
        <f t="shared" si="2"/>
        <v>4</v>
      </c>
      <c r="K56" s="116" t="str">
        <f t="shared" si="3"/>
        <v>4jueves</v>
      </c>
    </row>
    <row r="57" ht="22.5" customHeight="1">
      <c r="A57" s="135">
        <v>45716.0</v>
      </c>
      <c r="B57" s="159" t="s">
        <v>8</v>
      </c>
      <c r="C57" s="137" t="s">
        <v>9</v>
      </c>
      <c r="D57" s="138">
        <v>14.0</v>
      </c>
      <c r="E57" s="139" t="s">
        <v>10</v>
      </c>
      <c r="F57" s="161" t="s">
        <v>11</v>
      </c>
      <c r="G57" s="141" t="s">
        <v>27</v>
      </c>
      <c r="H57" s="173">
        <f t="shared" si="1"/>
        <v>2</v>
      </c>
      <c r="I57" s="174" t="s">
        <v>20</v>
      </c>
      <c r="J57" s="116">
        <f t="shared" si="2"/>
        <v>5</v>
      </c>
      <c r="K57" s="116" t="str">
        <f t="shared" si="3"/>
        <v>5viernes</v>
      </c>
    </row>
    <row r="58" ht="22.5" customHeight="1">
      <c r="A58" s="107">
        <v>45717.0</v>
      </c>
      <c r="B58" s="164" t="s">
        <v>8</v>
      </c>
      <c r="C58" s="109" t="s">
        <v>9</v>
      </c>
      <c r="D58" s="110">
        <v>14.0</v>
      </c>
      <c r="E58" s="111" t="s">
        <v>10</v>
      </c>
      <c r="F58" s="112" t="s">
        <v>11</v>
      </c>
      <c r="G58" s="113" t="s">
        <v>28</v>
      </c>
      <c r="H58" s="177">
        <f t="shared" si="1"/>
        <v>3</v>
      </c>
      <c r="I58" s="178" t="s">
        <v>40</v>
      </c>
      <c r="J58" s="116">
        <f t="shared" si="2"/>
        <v>6</v>
      </c>
      <c r="K58" s="116" t="str">
        <f t="shared" si="3"/>
        <v>6sábado</v>
      </c>
    </row>
    <row r="59" ht="22.5" customHeight="1">
      <c r="A59" s="117">
        <v>45718.0</v>
      </c>
      <c r="B59" s="151" t="s">
        <v>17</v>
      </c>
      <c r="C59" s="119" t="s">
        <v>9</v>
      </c>
      <c r="D59" s="120">
        <v>9.0</v>
      </c>
      <c r="E59" s="121" t="s">
        <v>10</v>
      </c>
      <c r="F59" s="122" t="s">
        <v>11</v>
      </c>
      <c r="G59" s="123" t="s">
        <v>28</v>
      </c>
      <c r="H59" s="124">
        <f t="shared" si="1"/>
        <v>3</v>
      </c>
      <c r="I59" s="125" t="s">
        <v>13</v>
      </c>
      <c r="J59" s="116">
        <f t="shared" si="2"/>
        <v>7</v>
      </c>
      <c r="K59" s="116" t="str">
        <f t="shared" si="3"/>
        <v>7domingo</v>
      </c>
    </row>
    <row r="60" ht="22.5" customHeight="1">
      <c r="A60" s="126">
        <v>45719.0</v>
      </c>
      <c r="B60" s="191" t="s">
        <v>14</v>
      </c>
      <c r="C60" s="128" t="s">
        <v>9</v>
      </c>
      <c r="D60" s="129">
        <v>23.0</v>
      </c>
      <c r="E60" s="130" t="s">
        <v>10</v>
      </c>
      <c r="F60" s="131" t="s">
        <v>11</v>
      </c>
      <c r="G60" s="132" t="s">
        <v>28</v>
      </c>
      <c r="H60" s="133">
        <f t="shared" si="1"/>
        <v>3</v>
      </c>
      <c r="I60" s="134" t="s">
        <v>39</v>
      </c>
      <c r="J60" s="116">
        <f t="shared" si="2"/>
        <v>1</v>
      </c>
      <c r="K60" s="116" t="str">
        <f t="shared" si="3"/>
        <v>1lunes</v>
      </c>
    </row>
    <row r="61" ht="22.5" customHeight="1">
      <c r="A61" s="135">
        <v>45720.0</v>
      </c>
      <c r="B61" s="159" t="s">
        <v>8</v>
      </c>
      <c r="C61" s="137" t="s">
        <v>9</v>
      </c>
      <c r="D61" s="138">
        <v>14.0</v>
      </c>
      <c r="E61" s="139" t="s">
        <v>10</v>
      </c>
      <c r="F61" s="140" t="s">
        <v>15</v>
      </c>
      <c r="G61" s="141" t="s">
        <v>28</v>
      </c>
      <c r="H61" s="142">
        <f t="shared" si="1"/>
        <v>3</v>
      </c>
      <c r="I61" s="143" t="s">
        <v>16</v>
      </c>
      <c r="J61" s="116">
        <f t="shared" si="2"/>
        <v>2</v>
      </c>
      <c r="K61" s="116" t="str">
        <f t="shared" si="3"/>
        <v>2martes</v>
      </c>
    </row>
    <row r="62" ht="22.5" customHeight="1">
      <c r="A62" s="126">
        <v>45721.0</v>
      </c>
      <c r="B62" s="191" t="s">
        <v>14</v>
      </c>
      <c r="C62" s="128" t="s">
        <v>9</v>
      </c>
      <c r="D62" s="129">
        <v>22.0</v>
      </c>
      <c r="E62" s="130" t="s">
        <v>10</v>
      </c>
      <c r="F62" s="131" t="s">
        <v>11</v>
      </c>
      <c r="G62" s="132" t="s">
        <v>28</v>
      </c>
      <c r="H62" s="145">
        <f t="shared" si="1"/>
        <v>3</v>
      </c>
      <c r="I62" s="146" t="s">
        <v>18</v>
      </c>
      <c r="J62" s="116">
        <f t="shared" si="2"/>
        <v>3</v>
      </c>
      <c r="K62" s="116" t="str">
        <f t="shared" si="3"/>
        <v>3miércoles</v>
      </c>
    </row>
    <row r="63" ht="22.5" customHeight="1">
      <c r="A63" s="135">
        <v>45722.0</v>
      </c>
      <c r="B63" s="159" t="s">
        <v>8</v>
      </c>
      <c r="C63" s="137" t="s">
        <v>9</v>
      </c>
      <c r="D63" s="138">
        <v>14.0</v>
      </c>
      <c r="E63" s="139" t="s">
        <v>10</v>
      </c>
      <c r="F63" s="140" t="s">
        <v>15</v>
      </c>
      <c r="G63" s="141" t="s">
        <v>28</v>
      </c>
      <c r="H63" s="148">
        <f t="shared" si="1"/>
        <v>3</v>
      </c>
      <c r="I63" s="149" t="s">
        <v>33</v>
      </c>
      <c r="J63" s="116">
        <f t="shared" si="2"/>
        <v>4</v>
      </c>
      <c r="K63" s="116" t="str">
        <f t="shared" si="3"/>
        <v>4jueves</v>
      </c>
    </row>
    <row r="64" ht="22.5" customHeight="1">
      <c r="A64" s="107">
        <v>45723.0</v>
      </c>
      <c r="B64" s="164" t="s">
        <v>8</v>
      </c>
      <c r="C64" s="180" t="s">
        <v>21</v>
      </c>
      <c r="D64" s="110">
        <v>17.0</v>
      </c>
      <c r="E64" s="186" t="s">
        <v>22</v>
      </c>
      <c r="F64" s="112" t="s">
        <v>11</v>
      </c>
      <c r="G64" s="113" t="s">
        <v>28</v>
      </c>
      <c r="H64" s="114">
        <f t="shared" si="1"/>
        <v>3</v>
      </c>
      <c r="I64" s="115" t="s">
        <v>20</v>
      </c>
      <c r="J64" s="116">
        <f t="shared" si="2"/>
        <v>5</v>
      </c>
      <c r="K64" s="116" t="str">
        <f t="shared" si="3"/>
        <v>5viernes</v>
      </c>
    </row>
    <row r="65" ht="22.5" customHeight="1">
      <c r="A65" s="117">
        <v>45724.0</v>
      </c>
      <c r="B65" s="181" t="s">
        <v>19</v>
      </c>
      <c r="C65" s="119" t="s">
        <v>9</v>
      </c>
      <c r="D65" s="120">
        <v>7.0</v>
      </c>
      <c r="E65" s="121" t="s">
        <v>10</v>
      </c>
      <c r="F65" s="122" t="s">
        <v>11</v>
      </c>
      <c r="G65" s="123" t="s">
        <v>28</v>
      </c>
      <c r="H65" s="152">
        <f t="shared" si="1"/>
        <v>3</v>
      </c>
      <c r="I65" s="153" t="s">
        <v>40</v>
      </c>
      <c r="J65" s="116">
        <f t="shared" si="2"/>
        <v>6</v>
      </c>
      <c r="K65" s="116" t="str">
        <f t="shared" si="3"/>
        <v>6sábado</v>
      </c>
    </row>
    <row r="66" ht="22.5" customHeight="1">
      <c r="A66" s="126">
        <v>45725.0</v>
      </c>
      <c r="B66" s="182" t="s">
        <v>19</v>
      </c>
      <c r="C66" s="128" t="s">
        <v>9</v>
      </c>
      <c r="D66" s="129">
        <v>7.0</v>
      </c>
      <c r="E66" s="130" t="s">
        <v>10</v>
      </c>
      <c r="F66" s="156" t="s">
        <v>15</v>
      </c>
      <c r="G66" s="132" t="s">
        <v>28</v>
      </c>
      <c r="H66" s="157">
        <f t="shared" si="1"/>
        <v>3</v>
      </c>
      <c r="I66" s="158" t="s">
        <v>13</v>
      </c>
      <c r="J66" s="116">
        <f t="shared" si="2"/>
        <v>7</v>
      </c>
      <c r="K66" s="116" t="str">
        <f t="shared" si="3"/>
        <v>7domingo</v>
      </c>
    </row>
    <row r="67" ht="22.5" customHeight="1">
      <c r="A67" s="135">
        <v>45726.0</v>
      </c>
      <c r="B67" s="185" t="s">
        <v>17</v>
      </c>
      <c r="C67" s="137" t="s">
        <v>9</v>
      </c>
      <c r="D67" s="138">
        <v>11.0</v>
      </c>
      <c r="E67" s="139" t="s">
        <v>10</v>
      </c>
      <c r="F67" s="161" t="s">
        <v>11</v>
      </c>
      <c r="G67" s="141" t="s">
        <v>28</v>
      </c>
      <c r="H67" s="162">
        <f t="shared" si="1"/>
        <v>3</v>
      </c>
      <c r="I67" s="163" t="s">
        <v>39</v>
      </c>
      <c r="J67" s="116">
        <f t="shared" si="2"/>
        <v>1</v>
      </c>
      <c r="K67" s="116" t="str">
        <f t="shared" si="3"/>
        <v>1lunes</v>
      </c>
    </row>
    <row r="68" ht="22.5" customHeight="1">
      <c r="A68" s="107">
        <v>45727.0</v>
      </c>
      <c r="B68" s="175" t="s">
        <v>17</v>
      </c>
      <c r="C68" s="176" t="s">
        <v>24</v>
      </c>
      <c r="D68" s="110">
        <v>10.0</v>
      </c>
      <c r="E68" s="111" t="s">
        <v>10</v>
      </c>
      <c r="F68" s="112" t="s">
        <v>11</v>
      </c>
      <c r="G68" s="113" t="s">
        <v>28</v>
      </c>
      <c r="H68" s="165">
        <f t="shared" si="1"/>
        <v>3</v>
      </c>
      <c r="I68" s="166" t="s">
        <v>16</v>
      </c>
      <c r="J68" s="116">
        <f t="shared" si="2"/>
        <v>2</v>
      </c>
      <c r="K68" s="116" t="str">
        <f t="shared" si="3"/>
        <v>2martes</v>
      </c>
    </row>
    <row r="69" ht="22.5" customHeight="1">
      <c r="A69" s="117">
        <v>45728.0</v>
      </c>
      <c r="B69" s="118" t="s">
        <v>8</v>
      </c>
      <c r="C69" s="119" t="s">
        <v>9</v>
      </c>
      <c r="D69" s="120">
        <v>14.0</v>
      </c>
      <c r="E69" s="121" t="s">
        <v>10</v>
      </c>
      <c r="F69" s="122" t="s">
        <v>11</v>
      </c>
      <c r="G69" s="123" t="s">
        <v>28</v>
      </c>
      <c r="H69" s="169">
        <f t="shared" si="1"/>
        <v>3</v>
      </c>
      <c r="I69" s="170" t="s">
        <v>18</v>
      </c>
      <c r="J69" s="116">
        <f t="shared" si="2"/>
        <v>3</v>
      </c>
      <c r="K69" s="116" t="str">
        <f t="shared" si="3"/>
        <v>3miércoles</v>
      </c>
    </row>
    <row r="70" ht="22.5" customHeight="1">
      <c r="A70" s="126">
        <v>45729.0</v>
      </c>
      <c r="B70" s="183" t="s">
        <v>26</v>
      </c>
      <c r="C70" s="128" t="s">
        <v>9</v>
      </c>
      <c r="D70" s="129">
        <v>25.0</v>
      </c>
      <c r="E70" s="130" t="s">
        <v>10</v>
      </c>
      <c r="F70" s="156" t="s">
        <v>15</v>
      </c>
      <c r="G70" s="132" t="s">
        <v>28</v>
      </c>
      <c r="H70" s="157">
        <f t="shared" si="1"/>
        <v>3</v>
      </c>
      <c r="I70" s="158" t="s">
        <v>33</v>
      </c>
      <c r="J70" s="116">
        <f t="shared" si="2"/>
        <v>4</v>
      </c>
      <c r="K70" s="116" t="str">
        <f t="shared" si="3"/>
        <v>4jueves</v>
      </c>
    </row>
    <row r="71" ht="22.5" customHeight="1">
      <c r="A71" s="135">
        <v>45730.0</v>
      </c>
      <c r="B71" s="192" t="s">
        <v>25</v>
      </c>
      <c r="C71" s="137" t="s">
        <v>9</v>
      </c>
      <c r="D71" s="138">
        <v>35.0</v>
      </c>
      <c r="E71" s="193" t="s">
        <v>22</v>
      </c>
      <c r="F71" s="140" t="s">
        <v>15</v>
      </c>
      <c r="G71" s="141" t="s">
        <v>28</v>
      </c>
      <c r="H71" s="173">
        <f t="shared" si="1"/>
        <v>3</v>
      </c>
      <c r="I71" s="174" t="s">
        <v>20</v>
      </c>
      <c r="J71" s="116">
        <f t="shared" si="2"/>
        <v>5</v>
      </c>
      <c r="K71" s="116" t="str">
        <f t="shared" si="3"/>
        <v>5viernes</v>
      </c>
    </row>
    <row r="72" ht="22.5" customHeight="1">
      <c r="A72" s="107">
        <v>45731.0</v>
      </c>
      <c r="B72" s="164" t="s">
        <v>8</v>
      </c>
      <c r="C72" s="180" t="s">
        <v>21</v>
      </c>
      <c r="D72" s="110">
        <v>14.0</v>
      </c>
      <c r="E72" s="111" t="s">
        <v>10</v>
      </c>
      <c r="F72" s="112" t="s">
        <v>11</v>
      </c>
      <c r="G72" s="113" t="s">
        <v>28</v>
      </c>
      <c r="H72" s="177">
        <f t="shared" si="1"/>
        <v>3</v>
      </c>
      <c r="I72" s="178" t="s">
        <v>40</v>
      </c>
      <c r="J72" s="116">
        <f t="shared" si="2"/>
        <v>6</v>
      </c>
      <c r="K72" s="116" t="str">
        <f t="shared" si="3"/>
        <v>6sábado</v>
      </c>
    </row>
    <row r="73" ht="22.5" customHeight="1">
      <c r="A73" s="117">
        <v>45732.0</v>
      </c>
      <c r="B73" s="118" t="s">
        <v>8</v>
      </c>
      <c r="C73" s="119" t="s">
        <v>9</v>
      </c>
      <c r="D73" s="120">
        <v>14.0</v>
      </c>
      <c r="E73" s="121" t="s">
        <v>10</v>
      </c>
      <c r="F73" s="122" t="s">
        <v>11</v>
      </c>
      <c r="G73" s="123" t="s">
        <v>28</v>
      </c>
      <c r="H73" s="124">
        <f t="shared" si="1"/>
        <v>3</v>
      </c>
      <c r="I73" s="125" t="s">
        <v>13</v>
      </c>
      <c r="J73" s="116">
        <f t="shared" si="2"/>
        <v>7</v>
      </c>
      <c r="K73" s="116" t="str">
        <f t="shared" si="3"/>
        <v>7domingo</v>
      </c>
    </row>
    <row r="74" ht="22.5" customHeight="1">
      <c r="A74" s="126">
        <v>45733.0</v>
      </c>
      <c r="B74" s="127" t="s">
        <v>8</v>
      </c>
      <c r="C74" s="188" t="s">
        <v>24</v>
      </c>
      <c r="D74" s="129">
        <v>16.0</v>
      </c>
      <c r="E74" s="155" t="s">
        <v>22</v>
      </c>
      <c r="F74" s="131" t="s">
        <v>11</v>
      </c>
      <c r="G74" s="132" t="s">
        <v>28</v>
      </c>
      <c r="H74" s="133">
        <f t="shared" si="1"/>
        <v>3</v>
      </c>
      <c r="I74" s="134" t="s">
        <v>39</v>
      </c>
      <c r="J74" s="116">
        <f t="shared" si="2"/>
        <v>1</v>
      </c>
      <c r="K74" s="116" t="str">
        <f t="shared" si="3"/>
        <v>1lunes</v>
      </c>
    </row>
    <row r="75" ht="22.5" customHeight="1">
      <c r="A75" s="135">
        <v>45734.0</v>
      </c>
      <c r="B75" s="194" t="s">
        <v>23</v>
      </c>
      <c r="C75" s="137" t="s">
        <v>9</v>
      </c>
      <c r="D75" s="138">
        <v>19.0</v>
      </c>
      <c r="E75" s="139" t="s">
        <v>10</v>
      </c>
      <c r="F75" s="140" t="s">
        <v>15</v>
      </c>
      <c r="G75" s="141" t="s">
        <v>28</v>
      </c>
      <c r="H75" s="142">
        <f t="shared" si="1"/>
        <v>3</v>
      </c>
      <c r="I75" s="143" t="s">
        <v>16</v>
      </c>
      <c r="J75" s="116">
        <f t="shared" si="2"/>
        <v>2</v>
      </c>
      <c r="K75" s="116" t="str">
        <f t="shared" si="3"/>
        <v>2martes</v>
      </c>
    </row>
    <row r="76" ht="22.5" customHeight="1">
      <c r="A76" s="126">
        <v>45735.0</v>
      </c>
      <c r="B76" s="127" t="s">
        <v>8</v>
      </c>
      <c r="C76" s="128" t="s">
        <v>9</v>
      </c>
      <c r="D76" s="129">
        <v>14.0</v>
      </c>
      <c r="E76" s="130" t="s">
        <v>10</v>
      </c>
      <c r="F76" s="131" t="s">
        <v>11</v>
      </c>
      <c r="G76" s="132" t="s">
        <v>28</v>
      </c>
      <c r="H76" s="145">
        <f t="shared" si="1"/>
        <v>3</v>
      </c>
      <c r="I76" s="146" t="s">
        <v>18</v>
      </c>
      <c r="J76" s="116">
        <f t="shared" si="2"/>
        <v>3</v>
      </c>
      <c r="K76" s="116" t="str">
        <f t="shared" si="3"/>
        <v>3miércoles</v>
      </c>
    </row>
    <row r="77" ht="22.5" customHeight="1">
      <c r="A77" s="135">
        <v>45736.0</v>
      </c>
      <c r="B77" s="194" t="s">
        <v>23</v>
      </c>
      <c r="C77" s="137" t="s">
        <v>9</v>
      </c>
      <c r="D77" s="138">
        <v>18.0</v>
      </c>
      <c r="E77" s="139" t="s">
        <v>10</v>
      </c>
      <c r="F77" s="140" t="s">
        <v>15</v>
      </c>
      <c r="G77" s="141" t="s">
        <v>28</v>
      </c>
      <c r="H77" s="148">
        <f t="shared" si="1"/>
        <v>3</v>
      </c>
      <c r="I77" s="149" t="s">
        <v>33</v>
      </c>
      <c r="J77" s="116">
        <f t="shared" si="2"/>
        <v>4</v>
      </c>
      <c r="K77" s="116" t="str">
        <f t="shared" si="3"/>
        <v>4jueves</v>
      </c>
    </row>
    <row r="78" ht="22.5" customHeight="1">
      <c r="A78" s="107">
        <v>45737.0</v>
      </c>
      <c r="B78" s="175" t="s">
        <v>17</v>
      </c>
      <c r="C78" s="109" t="s">
        <v>9</v>
      </c>
      <c r="D78" s="110">
        <v>8.0</v>
      </c>
      <c r="E78" s="111" t="s">
        <v>10</v>
      </c>
      <c r="F78" s="112" t="s">
        <v>11</v>
      </c>
      <c r="G78" s="113" t="s">
        <v>28</v>
      </c>
      <c r="H78" s="114">
        <f t="shared" si="1"/>
        <v>3</v>
      </c>
      <c r="I78" s="115" t="s">
        <v>20</v>
      </c>
      <c r="J78" s="116">
        <f t="shared" si="2"/>
        <v>5</v>
      </c>
      <c r="K78" s="116" t="str">
        <f t="shared" si="3"/>
        <v>5viernes</v>
      </c>
    </row>
    <row r="79" ht="22.5" customHeight="1">
      <c r="A79" s="117">
        <v>45738.0</v>
      </c>
      <c r="B79" s="151" t="s">
        <v>17</v>
      </c>
      <c r="C79" s="119" t="s">
        <v>9</v>
      </c>
      <c r="D79" s="120">
        <v>9.0</v>
      </c>
      <c r="E79" s="121" t="s">
        <v>10</v>
      </c>
      <c r="F79" s="122" t="s">
        <v>11</v>
      </c>
      <c r="G79" s="123" t="s">
        <v>28</v>
      </c>
      <c r="H79" s="152">
        <f t="shared" si="1"/>
        <v>3</v>
      </c>
      <c r="I79" s="153" t="s">
        <v>40</v>
      </c>
      <c r="J79" s="116">
        <f t="shared" si="2"/>
        <v>6</v>
      </c>
      <c r="K79" s="116" t="str">
        <f t="shared" si="3"/>
        <v>6sábado</v>
      </c>
    </row>
    <row r="80" ht="22.5" customHeight="1">
      <c r="A80" s="126">
        <v>45739.0</v>
      </c>
      <c r="B80" s="191" t="s">
        <v>14</v>
      </c>
      <c r="C80" s="128" t="s">
        <v>9</v>
      </c>
      <c r="D80" s="129">
        <v>21.0</v>
      </c>
      <c r="E80" s="130" t="s">
        <v>10</v>
      </c>
      <c r="F80" s="156" t="s">
        <v>15</v>
      </c>
      <c r="G80" s="132" t="s">
        <v>28</v>
      </c>
      <c r="H80" s="157">
        <f t="shared" si="1"/>
        <v>3</v>
      </c>
      <c r="I80" s="158" t="s">
        <v>13</v>
      </c>
      <c r="J80" s="116">
        <f t="shared" si="2"/>
        <v>7</v>
      </c>
      <c r="K80" s="116" t="str">
        <f t="shared" si="3"/>
        <v>7domingo</v>
      </c>
    </row>
    <row r="81" ht="22.5" customHeight="1">
      <c r="A81" s="135">
        <v>45740.0</v>
      </c>
      <c r="B81" s="136" t="s">
        <v>14</v>
      </c>
      <c r="C81" s="137" t="s">
        <v>9</v>
      </c>
      <c r="D81" s="138">
        <v>21.0</v>
      </c>
      <c r="E81" s="139" t="s">
        <v>10</v>
      </c>
      <c r="F81" s="161" t="s">
        <v>11</v>
      </c>
      <c r="G81" s="141" t="s">
        <v>28</v>
      </c>
      <c r="H81" s="162">
        <f t="shared" si="1"/>
        <v>3</v>
      </c>
      <c r="I81" s="163" t="s">
        <v>39</v>
      </c>
      <c r="J81" s="116">
        <f t="shared" si="2"/>
        <v>1</v>
      </c>
      <c r="K81" s="116" t="str">
        <f t="shared" si="3"/>
        <v>1lunes</v>
      </c>
    </row>
    <row r="82" ht="22.5" customHeight="1">
      <c r="A82" s="107">
        <v>45741.0</v>
      </c>
      <c r="B82" s="164" t="s">
        <v>8</v>
      </c>
      <c r="C82" s="176" t="s">
        <v>24</v>
      </c>
      <c r="D82" s="110">
        <v>14.0</v>
      </c>
      <c r="E82" s="111" t="s">
        <v>10</v>
      </c>
      <c r="F82" s="112" t="s">
        <v>11</v>
      </c>
      <c r="G82" s="113" t="s">
        <v>28</v>
      </c>
      <c r="H82" s="165">
        <f t="shared" si="1"/>
        <v>3</v>
      </c>
      <c r="I82" s="166" t="s">
        <v>16</v>
      </c>
      <c r="J82" s="116">
        <f t="shared" si="2"/>
        <v>2</v>
      </c>
      <c r="K82" s="116" t="str">
        <f t="shared" si="3"/>
        <v>2martes</v>
      </c>
    </row>
    <row r="83" ht="22.5" customHeight="1">
      <c r="A83" s="117">
        <v>45742.0</v>
      </c>
      <c r="B83" s="181" t="s">
        <v>19</v>
      </c>
      <c r="C83" s="119" t="s">
        <v>9</v>
      </c>
      <c r="D83" s="120">
        <v>7.0</v>
      </c>
      <c r="E83" s="121" t="s">
        <v>10</v>
      </c>
      <c r="F83" s="122" t="s">
        <v>11</v>
      </c>
      <c r="G83" s="123" t="s">
        <v>28</v>
      </c>
      <c r="H83" s="169">
        <f t="shared" si="1"/>
        <v>3</v>
      </c>
      <c r="I83" s="170" t="s">
        <v>18</v>
      </c>
      <c r="J83" s="116">
        <f t="shared" si="2"/>
        <v>3</v>
      </c>
      <c r="K83" s="116" t="str">
        <f t="shared" si="3"/>
        <v>3miércoles</v>
      </c>
    </row>
    <row r="84" ht="22.5" customHeight="1">
      <c r="A84" s="126">
        <v>45743.0</v>
      </c>
      <c r="B84" s="127" t="s">
        <v>8</v>
      </c>
      <c r="C84" s="128" t="s">
        <v>9</v>
      </c>
      <c r="D84" s="129">
        <v>14.0</v>
      </c>
      <c r="E84" s="130" t="s">
        <v>10</v>
      </c>
      <c r="F84" s="156" t="s">
        <v>15</v>
      </c>
      <c r="G84" s="132" t="s">
        <v>28</v>
      </c>
      <c r="H84" s="157">
        <f t="shared" si="1"/>
        <v>3</v>
      </c>
      <c r="I84" s="158" t="s">
        <v>33</v>
      </c>
      <c r="J84" s="116">
        <f t="shared" si="2"/>
        <v>4</v>
      </c>
      <c r="K84" s="116" t="str">
        <f t="shared" si="3"/>
        <v>4jueves</v>
      </c>
    </row>
    <row r="85" ht="22.5" customHeight="1">
      <c r="A85" s="135">
        <v>45744.0</v>
      </c>
      <c r="B85" s="159" t="s">
        <v>8</v>
      </c>
      <c r="C85" s="137" t="s">
        <v>9</v>
      </c>
      <c r="D85" s="138">
        <v>15.0</v>
      </c>
      <c r="E85" s="139" t="s">
        <v>10</v>
      </c>
      <c r="F85" s="140" t="s">
        <v>15</v>
      </c>
      <c r="G85" s="141" t="s">
        <v>28</v>
      </c>
      <c r="H85" s="173">
        <f t="shared" si="1"/>
        <v>3</v>
      </c>
      <c r="I85" s="174" t="s">
        <v>20</v>
      </c>
      <c r="J85" s="116">
        <f t="shared" si="2"/>
        <v>5</v>
      </c>
      <c r="K85" s="116" t="str">
        <f t="shared" si="3"/>
        <v>5viernes</v>
      </c>
    </row>
    <row r="86" ht="22.5" customHeight="1">
      <c r="A86" s="107">
        <v>45745.0</v>
      </c>
      <c r="B86" s="150" t="s">
        <v>19</v>
      </c>
      <c r="C86" s="109" t="s">
        <v>9</v>
      </c>
      <c r="D86" s="110">
        <v>7.0</v>
      </c>
      <c r="E86" s="111" t="s">
        <v>10</v>
      </c>
      <c r="F86" s="112" t="s">
        <v>11</v>
      </c>
      <c r="G86" s="113" t="s">
        <v>28</v>
      </c>
      <c r="H86" s="177">
        <f t="shared" si="1"/>
        <v>3</v>
      </c>
      <c r="I86" s="178" t="s">
        <v>40</v>
      </c>
      <c r="J86" s="116">
        <f t="shared" si="2"/>
        <v>6</v>
      </c>
      <c r="K86" s="116" t="str">
        <f t="shared" si="3"/>
        <v>6sábado</v>
      </c>
    </row>
    <row r="87" ht="22.5" customHeight="1">
      <c r="A87" s="117">
        <v>45746.0</v>
      </c>
      <c r="B87" s="189" t="s">
        <v>26</v>
      </c>
      <c r="C87" s="119" t="s">
        <v>9</v>
      </c>
      <c r="D87" s="120">
        <v>24.0</v>
      </c>
      <c r="E87" s="121" t="s">
        <v>10</v>
      </c>
      <c r="F87" s="122" t="s">
        <v>11</v>
      </c>
      <c r="G87" s="123" t="s">
        <v>28</v>
      </c>
      <c r="H87" s="124">
        <f t="shared" si="1"/>
        <v>3</v>
      </c>
      <c r="I87" s="125" t="s">
        <v>13</v>
      </c>
      <c r="J87" s="116">
        <f t="shared" si="2"/>
        <v>7</v>
      </c>
      <c r="K87" s="116" t="str">
        <f t="shared" si="3"/>
        <v>7domingo</v>
      </c>
    </row>
    <row r="88" ht="22.5" customHeight="1">
      <c r="A88" s="126">
        <v>45747.0</v>
      </c>
      <c r="B88" s="127" t="s">
        <v>8</v>
      </c>
      <c r="C88" s="128" t="s">
        <v>9</v>
      </c>
      <c r="D88" s="129">
        <v>14.0</v>
      </c>
      <c r="E88" s="130" t="s">
        <v>10</v>
      </c>
      <c r="F88" s="131" t="s">
        <v>11</v>
      </c>
      <c r="G88" s="132" t="s">
        <v>28</v>
      </c>
      <c r="H88" s="133">
        <f t="shared" si="1"/>
        <v>3</v>
      </c>
      <c r="I88" s="134" t="s">
        <v>39</v>
      </c>
      <c r="J88" s="116">
        <f t="shared" si="2"/>
        <v>1</v>
      </c>
      <c r="K88" s="116" t="str">
        <f t="shared" si="3"/>
        <v>1lunes</v>
      </c>
    </row>
    <row r="89" ht="22.5" customHeight="1">
      <c r="A89" s="135">
        <v>45748.0</v>
      </c>
      <c r="B89" s="159" t="s">
        <v>8</v>
      </c>
      <c r="C89" s="137" t="s">
        <v>9</v>
      </c>
      <c r="D89" s="138">
        <v>14.0</v>
      </c>
      <c r="E89" s="139" t="s">
        <v>10</v>
      </c>
      <c r="F89" s="161" t="s">
        <v>11</v>
      </c>
      <c r="G89" s="141" t="s">
        <v>29</v>
      </c>
      <c r="H89" s="142">
        <f t="shared" si="1"/>
        <v>4</v>
      </c>
      <c r="I89" s="143" t="s">
        <v>16</v>
      </c>
      <c r="J89" s="116">
        <f t="shared" si="2"/>
        <v>2</v>
      </c>
      <c r="K89" s="116" t="str">
        <f t="shared" si="3"/>
        <v>2martes</v>
      </c>
    </row>
    <row r="90" ht="22.5" customHeight="1">
      <c r="A90" s="126">
        <v>45749.0</v>
      </c>
      <c r="B90" s="144" t="s">
        <v>17</v>
      </c>
      <c r="C90" s="128" t="s">
        <v>9</v>
      </c>
      <c r="D90" s="129">
        <v>10.0</v>
      </c>
      <c r="E90" s="130" t="s">
        <v>10</v>
      </c>
      <c r="F90" s="131" t="s">
        <v>11</v>
      </c>
      <c r="G90" s="132" t="s">
        <v>29</v>
      </c>
      <c r="H90" s="145">
        <f t="shared" si="1"/>
        <v>4</v>
      </c>
      <c r="I90" s="146" t="s">
        <v>18</v>
      </c>
      <c r="J90" s="116">
        <f t="shared" si="2"/>
        <v>3</v>
      </c>
      <c r="K90" s="116" t="str">
        <f t="shared" si="3"/>
        <v>3miércoles</v>
      </c>
    </row>
    <row r="91" ht="22.5" customHeight="1">
      <c r="A91" s="135">
        <v>45750.0</v>
      </c>
      <c r="B91" s="185" t="s">
        <v>17</v>
      </c>
      <c r="C91" s="172" t="s">
        <v>24</v>
      </c>
      <c r="D91" s="138">
        <v>10.0</v>
      </c>
      <c r="E91" s="139" t="s">
        <v>10</v>
      </c>
      <c r="F91" s="140" t="s">
        <v>15</v>
      </c>
      <c r="G91" s="141" t="s">
        <v>29</v>
      </c>
      <c r="H91" s="148">
        <f t="shared" si="1"/>
        <v>4</v>
      </c>
      <c r="I91" s="149" t="s">
        <v>33</v>
      </c>
      <c r="J91" s="116">
        <f t="shared" si="2"/>
        <v>4</v>
      </c>
      <c r="K91" s="116" t="str">
        <f t="shared" si="3"/>
        <v>4jueves</v>
      </c>
    </row>
    <row r="92" ht="22.5" customHeight="1">
      <c r="A92" s="107">
        <v>45751.0</v>
      </c>
      <c r="B92" s="164" t="s">
        <v>8</v>
      </c>
      <c r="C92" s="180" t="s">
        <v>21</v>
      </c>
      <c r="D92" s="110">
        <v>14.0</v>
      </c>
      <c r="E92" s="111" t="s">
        <v>10</v>
      </c>
      <c r="F92" s="187" t="s">
        <v>15</v>
      </c>
      <c r="G92" s="113" t="s">
        <v>29</v>
      </c>
      <c r="H92" s="114">
        <f t="shared" si="1"/>
        <v>4</v>
      </c>
      <c r="I92" s="115" t="s">
        <v>20</v>
      </c>
      <c r="J92" s="116">
        <f t="shared" si="2"/>
        <v>5</v>
      </c>
      <c r="K92" s="116" t="str">
        <f t="shared" si="3"/>
        <v>5viernes</v>
      </c>
    </row>
    <row r="93" ht="22.5" customHeight="1">
      <c r="A93" s="117">
        <v>45752.0</v>
      </c>
      <c r="B93" s="195" t="s">
        <v>14</v>
      </c>
      <c r="C93" s="119" t="s">
        <v>9</v>
      </c>
      <c r="D93" s="120">
        <v>22.0</v>
      </c>
      <c r="E93" s="121" t="s">
        <v>10</v>
      </c>
      <c r="F93" s="122" t="s">
        <v>11</v>
      </c>
      <c r="G93" s="123" t="s">
        <v>29</v>
      </c>
      <c r="H93" s="152">
        <f t="shared" si="1"/>
        <v>4</v>
      </c>
      <c r="I93" s="153" t="s">
        <v>40</v>
      </c>
      <c r="J93" s="116">
        <f t="shared" si="2"/>
        <v>6</v>
      </c>
      <c r="K93" s="116" t="str">
        <f t="shared" si="3"/>
        <v>6sábado</v>
      </c>
    </row>
    <row r="94" ht="22.5" customHeight="1">
      <c r="A94" s="126">
        <v>45753.0</v>
      </c>
      <c r="B94" s="191" t="s">
        <v>14</v>
      </c>
      <c r="C94" s="128" t="s">
        <v>9</v>
      </c>
      <c r="D94" s="129">
        <v>20.0</v>
      </c>
      <c r="E94" s="130" t="s">
        <v>10</v>
      </c>
      <c r="F94" s="131" t="s">
        <v>11</v>
      </c>
      <c r="G94" s="132" t="s">
        <v>29</v>
      </c>
      <c r="H94" s="157">
        <f t="shared" si="1"/>
        <v>4</v>
      </c>
      <c r="I94" s="158" t="s">
        <v>13</v>
      </c>
      <c r="J94" s="116">
        <f t="shared" si="2"/>
        <v>7</v>
      </c>
      <c r="K94" s="116" t="str">
        <f t="shared" si="3"/>
        <v>7domingo</v>
      </c>
    </row>
    <row r="95" ht="22.5" customHeight="1">
      <c r="A95" s="135">
        <v>45754.0</v>
      </c>
      <c r="B95" s="159" t="s">
        <v>8</v>
      </c>
      <c r="C95" s="137" t="s">
        <v>9</v>
      </c>
      <c r="D95" s="138">
        <v>14.0</v>
      </c>
      <c r="E95" s="139" t="s">
        <v>10</v>
      </c>
      <c r="F95" s="161" t="s">
        <v>11</v>
      </c>
      <c r="G95" s="141" t="s">
        <v>29</v>
      </c>
      <c r="H95" s="162">
        <f t="shared" si="1"/>
        <v>4</v>
      </c>
      <c r="I95" s="163" t="s">
        <v>39</v>
      </c>
      <c r="J95" s="116">
        <f t="shared" si="2"/>
        <v>1</v>
      </c>
      <c r="K95" s="116" t="str">
        <f t="shared" si="3"/>
        <v>1lunes</v>
      </c>
    </row>
    <row r="96" ht="22.5" customHeight="1">
      <c r="A96" s="107">
        <v>45755.0</v>
      </c>
      <c r="B96" s="150" t="s">
        <v>19</v>
      </c>
      <c r="C96" s="109" t="s">
        <v>9</v>
      </c>
      <c r="D96" s="110">
        <v>7.0</v>
      </c>
      <c r="E96" s="111" t="s">
        <v>10</v>
      </c>
      <c r="F96" s="112" t="s">
        <v>11</v>
      </c>
      <c r="G96" s="113" t="s">
        <v>29</v>
      </c>
      <c r="H96" s="165">
        <f t="shared" si="1"/>
        <v>4</v>
      </c>
      <c r="I96" s="166" t="s">
        <v>16</v>
      </c>
      <c r="J96" s="116">
        <f t="shared" si="2"/>
        <v>2</v>
      </c>
      <c r="K96" s="116" t="str">
        <f t="shared" si="3"/>
        <v>2martes</v>
      </c>
    </row>
    <row r="97" ht="22.5" customHeight="1">
      <c r="A97" s="117">
        <v>45756.0</v>
      </c>
      <c r="B97" s="118" t="s">
        <v>8</v>
      </c>
      <c r="C97" s="119" t="s">
        <v>9</v>
      </c>
      <c r="D97" s="120">
        <v>14.0</v>
      </c>
      <c r="E97" s="121" t="s">
        <v>10</v>
      </c>
      <c r="F97" s="168" t="s">
        <v>15</v>
      </c>
      <c r="G97" s="123" t="s">
        <v>29</v>
      </c>
      <c r="H97" s="169">
        <f t="shared" si="1"/>
        <v>4</v>
      </c>
      <c r="I97" s="170" t="s">
        <v>18</v>
      </c>
      <c r="J97" s="116">
        <f t="shared" si="2"/>
        <v>3</v>
      </c>
      <c r="K97" s="116" t="str">
        <f t="shared" si="3"/>
        <v>3miércoles</v>
      </c>
    </row>
    <row r="98" ht="22.5" customHeight="1">
      <c r="A98" s="126">
        <v>45757.0</v>
      </c>
      <c r="B98" s="127" t="s">
        <v>8</v>
      </c>
      <c r="C98" s="154" t="s">
        <v>21</v>
      </c>
      <c r="D98" s="129">
        <v>15.0</v>
      </c>
      <c r="E98" s="130" t="s">
        <v>10</v>
      </c>
      <c r="F98" s="156" t="s">
        <v>15</v>
      </c>
      <c r="G98" s="132" t="s">
        <v>29</v>
      </c>
      <c r="H98" s="157">
        <f t="shared" si="1"/>
        <v>4</v>
      </c>
      <c r="I98" s="158" t="s">
        <v>33</v>
      </c>
      <c r="J98" s="116">
        <f t="shared" si="2"/>
        <v>4</v>
      </c>
      <c r="K98" s="116" t="str">
        <f t="shared" si="3"/>
        <v>4jueves</v>
      </c>
    </row>
    <row r="99" ht="22.5" customHeight="1">
      <c r="A99" s="135">
        <v>45758.0</v>
      </c>
      <c r="B99" s="185" t="s">
        <v>17</v>
      </c>
      <c r="C99" s="172" t="s">
        <v>24</v>
      </c>
      <c r="D99" s="138">
        <v>11.0</v>
      </c>
      <c r="E99" s="139" t="s">
        <v>10</v>
      </c>
      <c r="F99" s="161" t="s">
        <v>11</v>
      </c>
      <c r="G99" s="141" t="s">
        <v>29</v>
      </c>
      <c r="H99" s="173">
        <f t="shared" si="1"/>
        <v>4</v>
      </c>
      <c r="I99" s="174" t="s">
        <v>20</v>
      </c>
      <c r="J99" s="116">
        <f t="shared" si="2"/>
        <v>5</v>
      </c>
      <c r="K99" s="116" t="str">
        <f t="shared" si="3"/>
        <v>5viernes</v>
      </c>
    </row>
    <row r="100" ht="22.5" customHeight="1">
      <c r="A100" s="107">
        <v>45759.0</v>
      </c>
      <c r="B100" s="150" t="s">
        <v>19</v>
      </c>
      <c r="C100" s="109" t="s">
        <v>9</v>
      </c>
      <c r="D100" s="110">
        <v>7.0</v>
      </c>
      <c r="E100" s="111" t="s">
        <v>10</v>
      </c>
      <c r="F100" s="112" t="s">
        <v>11</v>
      </c>
      <c r="G100" s="113" t="s">
        <v>29</v>
      </c>
      <c r="H100" s="177">
        <f t="shared" si="1"/>
        <v>4</v>
      </c>
      <c r="I100" s="178" t="s">
        <v>40</v>
      </c>
      <c r="J100" s="116">
        <f t="shared" si="2"/>
        <v>6</v>
      </c>
      <c r="K100" s="116" t="str">
        <f t="shared" si="3"/>
        <v>6sábado</v>
      </c>
    </row>
    <row r="101" ht="22.5" customHeight="1">
      <c r="A101" s="117">
        <v>45760.0</v>
      </c>
      <c r="B101" s="118" t="s">
        <v>8</v>
      </c>
      <c r="C101" s="119" t="s">
        <v>9</v>
      </c>
      <c r="D101" s="120">
        <v>16.0</v>
      </c>
      <c r="E101" s="196" t="s">
        <v>22</v>
      </c>
      <c r="F101" s="122" t="s">
        <v>11</v>
      </c>
      <c r="G101" s="123" t="s">
        <v>29</v>
      </c>
      <c r="H101" s="124">
        <f t="shared" si="1"/>
        <v>4</v>
      </c>
      <c r="I101" s="125" t="s">
        <v>13</v>
      </c>
      <c r="J101" s="116">
        <f t="shared" si="2"/>
        <v>7</v>
      </c>
      <c r="K101" s="116" t="str">
        <f t="shared" si="3"/>
        <v>7domingo</v>
      </c>
    </row>
    <row r="102" ht="22.5" customHeight="1">
      <c r="A102" s="126">
        <v>45761.0</v>
      </c>
      <c r="B102" s="144" t="s">
        <v>17</v>
      </c>
      <c r="C102" s="128" t="s">
        <v>9</v>
      </c>
      <c r="D102" s="129">
        <v>12.0</v>
      </c>
      <c r="E102" s="130" t="s">
        <v>10</v>
      </c>
      <c r="F102" s="131" t="s">
        <v>11</v>
      </c>
      <c r="G102" s="132" t="s">
        <v>29</v>
      </c>
      <c r="H102" s="133">
        <f t="shared" si="1"/>
        <v>4</v>
      </c>
      <c r="I102" s="134" t="s">
        <v>39</v>
      </c>
      <c r="J102" s="116">
        <f t="shared" si="2"/>
        <v>1</v>
      </c>
      <c r="K102" s="116" t="str">
        <f t="shared" si="3"/>
        <v>1lunes</v>
      </c>
    </row>
    <row r="103" ht="22.5" customHeight="1">
      <c r="A103" s="135">
        <v>45762.0</v>
      </c>
      <c r="B103" s="194" t="s">
        <v>23</v>
      </c>
      <c r="C103" s="137" t="s">
        <v>9</v>
      </c>
      <c r="D103" s="138">
        <v>21.0</v>
      </c>
      <c r="E103" s="139" t="s">
        <v>10</v>
      </c>
      <c r="F103" s="140" t="s">
        <v>15</v>
      </c>
      <c r="G103" s="141" t="s">
        <v>29</v>
      </c>
      <c r="H103" s="142">
        <f t="shared" si="1"/>
        <v>4</v>
      </c>
      <c r="I103" s="143" t="s">
        <v>16</v>
      </c>
      <c r="J103" s="116">
        <f t="shared" si="2"/>
        <v>2</v>
      </c>
      <c r="K103" s="116" t="str">
        <f t="shared" si="3"/>
        <v>2martes</v>
      </c>
    </row>
    <row r="104" ht="22.5" customHeight="1">
      <c r="A104" s="126">
        <v>45763.0</v>
      </c>
      <c r="B104" s="127" t="s">
        <v>8</v>
      </c>
      <c r="C104" s="128" t="s">
        <v>9</v>
      </c>
      <c r="D104" s="129">
        <v>14.0</v>
      </c>
      <c r="E104" s="130" t="s">
        <v>10</v>
      </c>
      <c r="F104" s="131" t="s">
        <v>11</v>
      </c>
      <c r="G104" s="132" t="s">
        <v>29</v>
      </c>
      <c r="H104" s="145">
        <f t="shared" si="1"/>
        <v>4</v>
      </c>
      <c r="I104" s="146" t="s">
        <v>18</v>
      </c>
      <c r="J104" s="116">
        <f t="shared" si="2"/>
        <v>3</v>
      </c>
      <c r="K104" s="116" t="str">
        <f t="shared" si="3"/>
        <v>3miércoles</v>
      </c>
    </row>
    <row r="105" ht="22.5" customHeight="1">
      <c r="A105" s="135">
        <v>45764.0</v>
      </c>
      <c r="B105" s="194" t="s">
        <v>23</v>
      </c>
      <c r="C105" s="137" t="s">
        <v>9</v>
      </c>
      <c r="D105" s="138">
        <v>20.0</v>
      </c>
      <c r="E105" s="139" t="s">
        <v>10</v>
      </c>
      <c r="F105" s="140" t="s">
        <v>15</v>
      </c>
      <c r="G105" s="141" t="s">
        <v>29</v>
      </c>
      <c r="H105" s="148">
        <f t="shared" si="1"/>
        <v>4</v>
      </c>
      <c r="I105" s="149" t="s">
        <v>33</v>
      </c>
      <c r="J105" s="116">
        <f t="shared" si="2"/>
        <v>4</v>
      </c>
      <c r="K105" s="116" t="str">
        <f t="shared" si="3"/>
        <v>4jueves</v>
      </c>
    </row>
    <row r="106" ht="22.5" customHeight="1">
      <c r="A106" s="107">
        <v>45765.0</v>
      </c>
      <c r="B106" s="175" t="s">
        <v>17</v>
      </c>
      <c r="C106" s="109" t="s">
        <v>9</v>
      </c>
      <c r="D106" s="110">
        <v>9.0</v>
      </c>
      <c r="E106" s="111" t="s">
        <v>10</v>
      </c>
      <c r="F106" s="112" t="s">
        <v>11</v>
      </c>
      <c r="G106" s="113" t="s">
        <v>29</v>
      </c>
      <c r="H106" s="114">
        <f t="shared" si="1"/>
        <v>4</v>
      </c>
      <c r="I106" s="115" t="s">
        <v>20</v>
      </c>
      <c r="J106" s="116">
        <f t="shared" si="2"/>
        <v>5</v>
      </c>
      <c r="K106" s="116" t="str">
        <f t="shared" si="3"/>
        <v>5viernes</v>
      </c>
    </row>
    <row r="107" ht="22.5" customHeight="1">
      <c r="A107" s="117">
        <v>45766.0</v>
      </c>
      <c r="B107" s="118" t="s">
        <v>8</v>
      </c>
      <c r="C107" s="119" t="s">
        <v>9</v>
      </c>
      <c r="D107" s="120">
        <v>14.0</v>
      </c>
      <c r="E107" s="121" t="s">
        <v>10</v>
      </c>
      <c r="F107" s="122" t="s">
        <v>11</v>
      </c>
      <c r="G107" s="123" t="s">
        <v>29</v>
      </c>
      <c r="H107" s="152">
        <f t="shared" si="1"/>
        <v>4</v>
      </c>
      <c r="I107" s="153" t="s">
        <v>40</v>
      </c>
      <c r="J107" s="116">
        <f t="shared" si="2"/>
        <v>6</v>
      </c>
      <c r="K107" s="116" t="str">
        <f t="shared" si="3"/>
        <v>6sábado</v>
      </c>
    </row>
    <row r="108" ht="22.5" customHeight="1">
      <c r="A108" s="126">
        <v>45767.0</v>
      </c>
      <c r="B108" s="191" t="s">
        <v>14</v>
      </c>
      <c r="C108" s="128" t="s">
        <v>9</v>
      </c>
      <c r="D108" s="129">
        <v>23.0</v>
      </c>
      <c r="E108" s="130" t="s">
        <v>10</v>
      </c>
      <c r="F108" s="156" t="s">
        <v>15</v>
      </c>
      <c r="G108" s="132" t="s">
        <v>29</v>
      </c>
      <c r="H108" s="157">
        <f t="shared" si="1"/>
        <v>4</v>
      </c>
      <c r="I108" s="158" t="s">
        <v>13</v>
      </c>
      <c r="J108" s="116">
        <f t="shared" si="2"/>
        <v>7</v>
      </c>
      <c r="K108" s="116" t="str">
        <f t="shared" si="3"/>
        <v>7domingo</v>
      </c>
    </row>
    <row r="109" ht="22.5" customHeight="1">
      <c r="A109" s="135">
        <v>45768.0</v>
      </c>
      <c r="B109" s="136" t="s">
        <v>14</v>
      </c>
      <c r="C109" s="172" t="s">
        <v>24</v>
      </c>
      <c r="D109" s="138">
        <v>24.0</v>
      </c>
      <c r="E109" s="139" t="s">
        <v>10</v>
      </c>
      <c r="F109" s="161" t="s">
        <v>11</v>
      </c>
      <c r="G109" s="141" t="s">
        <v>29</v>
      </c>
      <c r="H109" s="162">
        <f t="shared" si="1"/>
        <v>4</v>
      </c>
      <c r="I109" s="163" t="s">
        <v>39</v>
      </c>
      <c r="J109" s="116">
        <f t="shared" si="2"/>
        <v>1</v>
      </c>
      <c r="K109" s="116" t="str">
        <f t="shared" si="3"/>
        <v>1lunes</v>
      </c>
    </row>
    <row r="110" ht="22.5" customHeight="1">
      <c r="A110" s="107">
        <v>45769.0</v>
      </c>
      <c r="B110" s="164" t="s">
        <v>8</v>
      </c>
      <c r="C110" s="109" t="s">
        <v>9</v>
      </c>
      <c r="D110" s="110">
        <v>14.0</v>
      </c>
      <c r="E110" s="111" t="s">
        <v>10</v>
      </c>
      <c r="F110" s="112" t="s">
        <v>11</v>
      </c>
      <c r="G110" s="113" t="s">
        <v>29</v>
      </c>
      <c r="H110" s="165">
        <f t="shared" si="1"/>
        <v>4</v>
      </c>
      <c r="I110" s="166" t="s">
        <v>16</v>
      </c>
      <c r="J110" s="116">
        <f t="shared" si="2"/>
        <v>2</v>
      </c>
      <c r="K110" s="116" t="str">
        <f t="shared" si="3"/>
        <v>2martes</v>
      </c>
    </row>
    <row r="111" ht="22.5" customHeight="1">
      <c r="A111" s="117">
        <v>45770.0</v>
      </c>
      <c r="B111" s="181" t="s">
        <v>19</v>
      </c>
      <c r="C111" s="119" t="s">
        <v>9</v>
      </c>
      <c r="D111" s="120">
        <v>7.0</v>
      </c>
      <c r="E111" s="121" t="s">
        <v>10</v>
      </c>
      <c r="F111" s="122" t="s">
        <v>11</v>
      </c>
      <c r="G111" s="123" t="s">
        <v>29</v>
      </c>
      <c r="H111" s="169">
        <f t="shared" si="1"/>
        <v>4</v>
      </c>
      <c r="I111" s="170" t="s">
        <v>18</v>
      </c>
      <c r="J111" s="116">
        <f t="shared" si="2"/>
        <v>3</v>
      </c>
      <c r="K111" s="116" t="str">
        <f t="shared" si="3"/>
        <v>3miércoles</v>
      </c>
    </row>
    <row r="112" ht="22.5" customHeight="1">
      <c r="A112" s="126">
        <v>45771.0</v>
      </c>
      <c r="B112" s="127" t="s">
        <v>8</v>
      </c>
      <c r="C112" s="128" t="s">
        <v>9</v>
      </c>
      <c r="D112" s="129">
        <v>14.0</v>
      </c>
      <c r="E112" s="130" t="s">
        <v>10</v>
      </c>
      <c r="F112" s="156" t="s">
        <v>15</v>
      </c>
      <c r="G112" s="132" t="s">
        <v>29</v>
      </c>
      <c r="H112" s="157">
        <f t="shared" si="1"/>
        <v>4</v>
      </c>
      <c r="I112" s="158" t="s">
        <v>33</v>
      </c>
      <c r="J112" s="116">
        <f t="shared" si="2"/>
        <v>4</v>
      </c>
      <c r="K112" s="116" t="str">
        <f t="shared" si="3"/>
        <v>4jueves</v>
      </c>
    </row>
    <row r="113" ht="22.5" customHeight="1">
      <c r="A113" s="135">
        <v>45772.0</v>
      </c>
      <c r="B113" s="184" t="s">
        <v>26</v>
      </c>
      <c r="C113" s="160" t="s">
        <v>21</v>
      </c>
      <c r="D113" s="138">
        <v>26.0</v>
      </c>
      <c r="E113" s="139" t="s">
        <v>10</v>
      </c>
      <c r="F113" s="140" t="s">
        <v>15</v>
      </c>
      <c r="G113" s="141" t="s">
        <v>29</v>
      </c>
      <c r="H113" s="173">
        <f t="shared" si="1"/>
        <v>4</v>
      </c>
      <c r="I113" s="174" t="s">
        <v>20</v>
      </c>
      <c r="J113" s="116">
        <f t="shared" si="2"/>
        <v>5</v>
      </c>
      <c r="K113" s="116" t="str">
        <f t="shared" si="3"/>
        <v>5viernes</v>
      </c>
    </row>
    <row r="114" ht="22.5" customHeight="1">
      <c r="A114" s="107">
        <v>45773.0</v>
      </c>
      <c r="B114" s="150" t="s">
        <v>19</v>
      </c>
      <c r="C114" s="109" t="s">
        <v>9</v>
      </c>
      <c r="D114" s="110">
        <v>7.0</v>
      </c>
      <c r="E114" s="111" t="s">
        <v>10</v>
      </c>
      <c r="F114" s="112" t="s">
        <v>11</v>
      </c>
      <c r="G114" s="113" t="s">
        <v>29</v>
      </c>
      <c r="H114" s="177">
        <f t="shared" si="1"/>
        <v>4</v>
      </c>
      <c r="I114" s="178" t="s">
        <v>40</v>
      </c>
      <c r="J114" s="116">
        <f t="shared" si="2"/>
        <v>6</v>
      </c>
      <c r="K114" s="116" t="str">
        <f t="shared" si="3"/>
        <v>6sábado</v>
      </c>
    </row>
    <row r="115" ht="22.5" customHeight="1">
      <c r="A115" s="117">
        <v>45774.0</v>
      </c>
      <c r="B115" s="118" t="s">
        <v>8</v>
      </c>
      <c r="C115" s="119" t="s">
        <v>9</v>
      </c>
      <c r="D115" s="120">
        <v>14.0</v>
      </c>
      <c r="E115" s="121" t="s">
        <v>10</v>
      </c>
      <c r="F115" s="122" t="s">
        <v>11</v>
      </c>
      <c r="G115" s="123" t="s">
        <v>29</v>
      </c>
      <c r="H115" s="124">
        <f t="shared" si="1"/>
        <v>4</v>
      </c>
      <c r="I115" s="125" t="s">
        <v>13</v>
      </c>
      <c r="J115" s="116">
        <f t="shared" si="2"/>
        <v>7</v>
      </c>
      <c r="K115" s="116" t="str">
        <f t="shared" si="3"/>
        <v>7domingo</v>
      </c>
    </row>
    <row r="116" ht="22.5" customHeight="1">
      <c r="A116" s="126">
        <v>45775.0</v>
      </c>
      <c r="B116" s="144" t="s">
        <v>17</v>
      </c>
      <c r="C116" s="128" t="s">
        <v>9</v>
      </c>
      <c r="D116" s="129">
        <v>11.0</v>
      </c>
      <c r="E116" s="130" t="s">
        <v>10</v>
      </c>
      <c r="F116" s="131" t="s">
        <v>11</v>
      </c>
      <c r="G116" s="132" t="s">
        <v>29</v>
      </c>
      <c r="H116" s="133">
        <f t="shared" si="1"/>
        <v>4</v>
      </c>
      <c r="I116" s="134" t="s">
        <v>39</v>
      </c>
      <c r="J116" s="116">
        <f t="shared" si="2"/>
        <v>1</v>
      </c>
      <c r="K116" s="116" t="str">
        <f t="shared" si="3"/>
        <v>1lunes</v>
      </c>
    </row>
    <row r="117" ht="22.5" customHeight="1">
      <c r="A117" s="135">
        <v>45776.0</v>
      </c>
      <c r="B117" s="185" t="s">
        <v>17</v>
      </c>
      <c r="C117" s="137" t="s">
        <v>9</v>
      </c>
      <c r="D117" s="138">
        <v>10.0</v>
      </c>
      <c r="E117" s="139" t="s">
        <v>10</v>
      </c>
      <c r="F117" s="161" t="s">
        <v>11</v>
      </c>
      <c r="G117" s="141" t="s">
        <v>29</v>
      </c>
      <c r="H117" s="142">
        <f t="shared" si="1"/>
        <v>4</v>
      </c>
      <c r="I117" s="143" t="s">
        <v>16</v>
      </c>
      <c r="J117" s="116">
        <f t="shared" si="2"/>
        <v>2</v>
      </c>
      <c r="K117" s="116" t="str">
        <f t="shared" si="3"/>
        <v>2martes</v>
      </c>
    </row>
    <row r="118" ht="22.5" customHeight="1">
      <c r="A118" s="126">
        <v>45777.0</v>
      </c>
      <c r="B118" s="127" t="s">
        <v>8</v>
      </c>
      <c r="C118" s="188" t="s">
        <v>24</v>
      </c>
      <c r="D118" s="129">
        <v>14.0</v>
      </c>
      <c r="E118" s="130" t="s">
        <v>10</v>
      </c>
      <c r="F118" s="156" t="s">
        <v>15</v>
      </c>
      <c r="G118" s="132" t="s">
        <v>29</v>
      </c>
      <c r="H118" s="145">
        <f t="shared" si="1"/>
        <v>4</v>
      </c>
      <c r="I118" s="146" t="s">
        <v>18</v>
      </c>
      <c r="J118" s="116">
        <f t="shared" si="2"/>
        <v>3</v>
      </c>
      <c r="K118" s="116" t="str">
        <f t="shared" si="3"/>
        <v>3miércoles</v>
      </c>
    </row>
    <row r="119" ht="22.5" customHeight="1">
      <c r="A119" s="135">
        <v>45778.0</v>
      </c>
      <c r="B119" s="184" t="s">
        <v>26</v>
      </c>
      <c r="C119" s="137" t="s">
        <v>9</v>
      </c>
      <c r="D119" s="138">
        <v>26.0</v>
      </c>
      <c r="E119" s="193" t="s">
        <v>22</v>
      </c>
      <c r="F119" s="140" t="s">
        <v>15</v>
      </c>
      <c r="G119" s="141" t="s">
        <v>30</v>
      </c>
      <c r="H119" s="148">
        <f t="shared" si="1"/>
        <v>5</v>
      </c>
      <c r="I119" s="149" t="s">
        <v>33</v>
      </c>
      <c r="J119" s="116">
        <f t="shared" si="2"/>
        <v>4</v>
      </c>
      <c r="K119" s="116" t="str">
        <f t="shared" si="3"/>
        <v>4jueves</v>
      </c>
    </row>
    <row r="120" ht="22.5" customHeight="1">
      <c r="A120" s="107">
        <v>45779.0</v>
      </c>
      <c r="B120" s="108" t="s">
        <v>14</v>
      </c>
      <c r="C120" s="109" t="s">
        <v>9</v>
      </c>
      <c r="D120" s="110">
        <v>21.0</v>
      </c>
      <c r="E120" s="111" t="s">
        <v>10</v>
      </c>
      <c r="F120" s="112" t="s">
        <v>11</v>
      </c>
      <c r="G120" s="113" t="s">
        <v>30</v>
      </c>
      <c r="H120" s="114">
        <f t="shared" si="1"/>
        <v>5</v>
      </c>
      <c r="I120" s="115" t="s">
        <v>20</v>
      </c>
      <c r="J120" s="116">
        <f t="shared" si="2"/>
        <v>5</v>
      </c>
      <c r="K120" s="116" t="str">
        <f t="shared" si="3"/>
        <v>5viernes</v>
      </c>
    </row>
    <row r="121" ht="22.5" customHeight="1">
      <c r="A121" s="117">
        <v>45780.0</v>
      </c>
      <c r="B121" s="118" t="s">
        <v>8</v>
      </c>
      <c r="C121" s="119" t="s">
        <v>9</v>
      </c>
      <c r="D121" s="120">
        <v>14.0</v>
      </c>
      <c r="E121" s="121" t="s">
        <v>10</v>
      </c>
      <c r="F121" s="122" t="s">
        <v>11</v>
      </c>
      <c r="G121" s="123" t="s">
        <v>30</v>
      </c>
      <c r="H121" s="152">
        <f t="shared" si="1"/>
        <v>5</v>
      </c>
      <c r="I121" s="153" t="s">
        <v>40</v>
      </c>
      <c r="J121" s="116">
        <f t="shared" si="2"/>
        <v>6</v>
      </c>
      <c r="K121" s="116" t="str">
        <f t="shared" si="3"/>
        <v>6sábado</v>
      </c>
    </row>
    <row r="122" ht="22.5" customHeight="1">
      <c r="A122" s="126">
        <v>45781.0</v>
      </c>
      <c r="B122" s="127" t="s">
        <v>8</v>
      </c>
      <c r="C122" s="128" t="s">
        <v>9</v>
      </c>
      <c r="D122" s="129">
        <v>14.0</v>
      </c>
      <c r="E122" s="130" t="s">
        <v>10</v>
      </c>
      <c r="F122" s="131" t="s">
        <v>11</v>
      </c>
      <c r="G122" s="132" t="s">
        <v>30</v>
      </c>
      <c r="H122" s="157">
        <f t="shared" si="1"/>
        <v>5</v>
      </c>
      <c r="I122" s="158" t="s">
        <v>13</v>
      </c>
      <c r="J122" s="116">
        <f t="shared" si="2"/>
        <v>7</v>
      </c>
      <c r="K122" s="116" t="str">
        <f t="shared" si="3"/>
        <v>7domingo</v>
      </c>
    </row>
    <row r="123" ht="22.5" customHeight="1">
      <c r="A123" s="135">
        <v>45782.0</v>
      </c>
      <c r="B123" s="136" t="s">
        <v>14</v>
      </c>
      <c r="C123" s="137" t="s">
        <v>9</v>
      </c>
      <c r="D123" s="138">
        <v>21.0</v>
      </c>
      <c r="E123" s="139" t="s">
        <v>10</v>
      </c>
      <c r="F123" s="161" t="s">
        <v>11</v>
      </c>
      <c r="G123" s="141" t="s">
        <v>30</v>
      </c>
      <c r="H123" s="162">
        <f t="shared" si="1"/>
        <v>5</v>
      </c>
      <c r="I123" s="163" t="s">
        <v>39</v>
      </c>
      <c r="J123" s="116">
        <f t="shared" si="2"/>
        <v>1</v>
      </c>
      <c r="K123" s="116" t="str">
        <f t="shared" si="3"/>
        <v>1lunes</v>
      </c>
    </row>
    <row r="124" ht="22.5" customHeight="1">
      <c r="A124" s="107">
        <v>45783.0</v>
      </c>
      <c r="B124" s="150" t="s">
        <v>19</v>
      </c>
      <c r="C124" s="109" t="s">
        <v>9</v>
      </c>
      <c r="D124" s="110">
        <v>7.0</v>
      </c>
      <c r="E124" s="111" t="s">
        <v>10</v>
      </c>
      <c r="F124" s="187" t="s">
        <v>15</v>
      </c>
      <c r="G124" s="113" t="s">
        <v>30</v>
      </c>
      <c r="H124" s="165">
        <f t="shared" si="1"/>
        <v>5</v>
      </c>
      <c r="I124" s="166" t="s">
        <v>16</v>
      </c>
      <c r="J124" s="116">
        <f t="shared" si="2"/>
        <v>2</v>
      </c>
      <c r="K124" s="116" t="str">
        <f t="shared" si="3"/>
        <v>2martes</v>
      </c>
    </row>
    <row r="125" ht="22.5" customHeight="1">
      <c r="A125" s="117">
        <v>45784.0</v>
      </c>
      <c r="B125" s="151" t="s">
        <v>17</v>
      </c>
      <c r="C125" s="119" t="s">
        <v>9</v>
      </c>
      <c r="D125" s="120">
        <v>12.0</v>
      </c>
      <c r="E125" s="121" t="s">
        <v>10</v>
      </c>
      <c r="F125" s="122" t="s">
        <v>11</v>
      </c>
      <c r="G125" s="123" t="s">
        <v>30</v>
      </c>
      <c r="H125" s="169">
        <f t="shared" si="1"/>
        <v>5</v>
      </c>
      <c r="I125" s="170" t="s">
        <v>18</v>
      </c>
      <c r="J125" s="116">
        <f t="shared" si="2"/>
        <v>3</v>
      </c>
      <c r="K125" s="116" t="str">
        <f t="shared" si="3"/>
        <v>3miércoles</v>
      </c>
    </row>
    <row r="126" ht="22.5" customHeight="1">
      <c r="A126" s="126">
        <v>45785.0</v>
      </c>
      <c r="B126" s="144" t="s">
        <v>17</v>
      </c>
      <c r="C126" s="188" t="s">
        <v>24</v>
      </c>
      <c r="D126" s="129">
        <v>10.0</v>
      </c>
      <c r="E126" s="130" t="s">
        <v>10</v>
      </c>
      <c r="F126" s="156" t="s">
        <v>15</v>
      </c>
      <c r="G126" s="132" t="s">
        <v>30</v>
      </c>
      <c r="H126" s="157">
        <f t="shared" si="1"/>
        <v>5</v>
      </c>
      <c r="I126" s="158" t="s">
        <v>33</v>
      </c>
      <c r="J126" s="116">
        <f t="shared" si="2"/>
        <v>4</v>
      </c>
      <c r="K126" s="116" t="str">
        <f t="shared" si="3"/>
        <v>4jueves</v>
      </c>
    </row>
    <row r="127" ht="22.5" customHeight="1">
      <c r="A127" s="135">
        <v>45786.0</v>
      </c>
      <c r="B127" s="159" t="s">
        <v>8</v>
      </c>
      <c r="C127" s="160" t="s">
        <v>21</v>
      </c>
      <c r="D127" s="138">
        <v>15.0</v>
      </c>
      <c r="E127" s="139" t="s">
        <v>10</v>
      </c>
      <c r="F127" s="161" t="s">
        <v>11</v>
      </c>
      <c r="G127" s="141" t="s">
        <v>30</v>
      </c>
      <c r="H127" s="173">
        <f t="shared" si="1"/>
        <v>5</v>
      </c>
      <c r="I127" s="174" t="s">
        <v>20</v>
      </c>
      <c r="J127" s="116">
        <f t="shared" si="2"/>
        <v>5</v>
      </c>
      <c r="K127" s="116" t="str">
        <f t="shared" si="3"/>
        <v>5viernes</v>
      </c>
    </row>
    <row r="128" ht="22.5" customHeight="1">
      <c r="A128" s="107">
        <v>45787.0</v>
      </c>
      <c r="B128" s="164" t="s">
        <v>8</v>
      </c>
      <c r="C128" s="180" t="s">
        <v>21</v>
      </c>
      <c r="D128" s="110">
        <v>14.0</v>
      </c>
      <c r="E128" s="111" t="s">
        <v>10</v>
      </c>
      <c r="F128" s="112" t="s">
        <v>11</v>
      </c>
      <c r="G128" s="113" t="s">
        <v>30</v>
      </c>
      <c r="H128" s="177">
        <f t="shared" si="1"/>
        <v>5</v>
      </c>
      <c r="I128" s="178" t="s">
        <v>40</v>
      </c>
      <c r="J128" s="116">
        <f t="shared" si="2"/>
        <v>6</v>
      </c>
      <c r="K128" s="116" t="str">
        <f t="shared" si="3"/>
        <v>6sábado</v>
      </c>
    </row>
    <row r="129" ht="22.5" customHeight="1">
      <c r="A129" s="117">
        <v>45788.0</v>
      </c>
      <c r="B129" s="197" t="s">
        <v>25</v>
      </c>
      <c r="C129" s="119" t="s">
        <v>9</v>
      </c>
      <c r="D129" s="120">
        <v>28.0</v>
      </c>
      <c r="E129" s="121" t="s">
        <v>10</v>
      </c>
      <c r="F129" s="168" t="s">
        <v>15</v>
      </c>
      <c r="G129" s="123" t="s">
        <v>30</v>
      </c>
      <c r="H129" s="124">
        <f t="shared" si="1"/>
        <v>5</v>
      </c>
      <c r="I129" s="125" t="s">
        <v>13</v>
      </c>
      <c r="J129" s="116">
        <f t="shared" si="2"/>
        <v>7</v>
      </c>
      <c r="K129" s="116" t="str">
        <f t="shared" si="3"/>
        <v>7domingo</v>
      </c>
    </row>
    <row r="130" ht="22.5" customHeight="1">
      <c r="A130" s="126">
        <v>45789.0</v>
      </c>
      <c r="B130" s="182" t="s">
        <v>19</v>
      </c>
      <c r="C130" s="128" t="s">
        <v>9</v>
      </c>
      <c r="D130" s="129">
        <v>7.0</v>
      </c>
      <c r="E130" s="130" t="s">
        <v>10</v>
      </c>
      <c r="F130" s="131" t="s">
        <v>11</v>
      </c>
      <c r="G130" s="132" t="s">
        <v>30</v>
      </c>
      <c r="H130" s="133">
        <f t="shared" si="1"/>
        <v>5</v>
      </c>
      <c r="I130" s="134" t="s">
        <v>39</v>
      </c>
      <c r="J130" s="116">
        <f t="shared" si="2"/>
        <v>1</v>
      </c>
      <c r="K130" s="116" t="str">
        <f t="shared" si="3"/>
        <v>1lunes</v>
      </c>
    </row>
    <row r="131" ht="22.5" customHeight="1">
      <c r="A131" s="135">
        <v>45790.0</v>
      </c>
      <c r="B131" s="159" t="s">
        <v>8</v>
      </c>
      <c r="C131" s="137" t="s">
        <v>9</v>
      </c>
      <c r="D131" s="138">
        <v>14.0</v>
      </c>
      <c r="E131" s="139" t="s">
        <v>10</v>
      </c>
      <c r="F131" s="161" t="s">
        <v>11</v>
      </c>
      <c r="G131" s="141" t="s">
        <v>30</v>
      </c>
      <c r="H131" s="142">
        <f t="shared" si="1"/>
        <v>5</v>
      </c>
      <c r="I131" s="143" t="s">
        <v>16</v>
      </c>
      <c r="J131" s="116">
        <f t="shared" si="2"/>
        <v>2</v>
      </c>
      <c r="K131" s="116" t="str">
        <f t="shared" si="3"/>
        <v>2martes</v>
      </c>
    </row>
    <row r="132" ht="22.5" customHeight="1">
      <c r="A132" s="126">
        <v>45791.0</v>
      </c>
      <c r="B132" s="171" t="s">
        <v>23</v>
      </c>
      <c r="C132" s="128" t="s">
        <v>9</v>
      </c>
      <c r="D132" s="129">
        <v>18.0</v>
      </c>
      <c r="E132" s="130" t="s">
        <v>10</v>
      </c>
      <c r="F132" s="131" t="s">
        <v>11</v>
      </c>
      <c r="G132" s="132" t="s">
        <v>30</v>
      </c>
      <c r="H132" s="145">
        <f t="shared" si="1"/>
        <v>5</v>
      </c>
      <c r="I132" s="146" t="s">
        <v>18</v>
      </c>
      <c r="J132" s="116">
        <f t="shared" si="2"/>
        <v>3</v>
      </c>
      <c r="K132" s="116" t="str">
        <f t="shared" si="3"/>
        <v>3miércoles</v>
      </c>
    </row>
    <row r="133" ht="22.5" customHeight="1">
      <c r="A133" s="135">
        <v>45792.0</v>
      </c>
      <c r="B133" s="159" t="s">
        <v>8</v>
      </c>
      <c r="C133" s="137" t="s">
        <v>9</v>
      </c>
      <c r="D133" s="138">
        <v>14.0</v>
      </c>
      <c r="E133" s="139" t="s">
        <v>10</v>
      </c>
      <c r="F133" s="140" t="s">
        <v>15</v>
      </c>
      <c r="G133" s="141" t="s">
        <v>30</v>
      </c>
      <c r="H133" s="148">
        <f t="shared" si="1"/>
        <v>5</v>
      </c>
      <c r="I133" s="149" t="s">
        <v>33</v>
      </c>
      <c r="J133" s="116">
        <f t="shared" si="2"/>
        <v>4</v>
      </c>
      <c r="K133" s="116" t="str">
        <f t="shared" si="3"/>
        <v>4jueves</v>
      </c>
    </row>
    <row r="134" ht="22.5" customHeight="1">
      <c r="A134" s="107">
        <v>45793.0</v>
      </c>
      <c r="B134" s="175" t="s">
        <v>17</v>
      </c>
      <c r="C134" s="176" t="s">
        <v>24</v>
      </c>
      <c r="D134" s="110">
        <v>9.0</v>
      </c>
      <c r="E134" s="111" t="s">
        <v>10</v>
      </c>
      <c r="F134" s="187" t="s">
        <v>15</v>
      </c>
      <c r="G134" s="113" t="s">
        <v>30</v>
      </c>
      <c r="H134" s="114">
        <f t="shared" si="1"/>
        <v>5</v>
      </c>
      <c r="I134" s="115" t="s">
        <v>20</v>
      </c>
      <c r="J134" s="116">
        <f t="shared" si="2"/>
        <v>5</v>
      </c>
      <c r="K134" s="116" t="str">
        <f t="shared" si="3"/>
        <v>5viernes</v>
      </c>
    </row>
    <row r="135" ht="22.5" customHeight="1">
      <c r="A135" s="117">
        <v>45794.0</v>
      </c>
      <c r="B135" s="167" t="s">
        <v>23</v>
      </c>
      <c r="C135" s="119" t="s">
        <v>9</v>
      </c>
      <c r="D135" s="120">
        <v>19.0</v>
      </c>
      <c r="E135" s="121" t="s">
        <v>10</v>
      </c>
      <c r="F135" s="122" t="s">
        <v>11</v>
      </c>
      <c r="G135" s="123" t="s">
        <v>30</v>
      </c>
      <c r="H135" s="152">
        <f t="shared" si="1"/>
        <v>5</v>
      </c>
      <c r="I135" s="153" t="s">
        <v>40</v>
      </c>
      <c r="J135" s="116">
        <f t="shared" si="2"/>
        <v>6</v>
      </c>
      <c r="K135" s="116" t="str">
        <f t="shared" si="3"/>
        <v>6sábado</v>
      </c>
    </row>
    <row r="136" ht="22.5" customHeight="1">
      <c r="A136" s="126">
        <v>45795.0</v>
      </c>
      <c r="B136" s="127" t="s">
        <v>8</v>
      </c>
      <c r="C136" s="128" t="s">
        <v>9</v>
      </c>
      <c r="D136" s="129">
        <v>14.0</v>
      </c>
      <c r="E136" s="130" t="s">
        <v>10</v>
      </c>
      <c r="F136" s="131" t="s">
        <v>11</v>
      </c>
      <c r="G136" s="132" t="s">
        <v>30</v>
      </c>
      <c r="H136" s="157">
        <f t="shared" si="1"/>
        <v>5</v>
      </c>
      <c r="I136" s="158" t="s">
        <v>13</v>
      </c>
      <c r="J136" s="116">
        <f t="shared" si="2"/>
        <v>7</v>
      </c>
      <c r="K136" s="116" t="str">
        <f t="shared" si="3"/>
        <v>7domingo</v>
      </c>
    </row>
    <row r="137" ht="22.5" customHeight="1">
      <c r="A137" s="135">
        <v>45796.0</v>
      </c>
      <c r="B137" s="185" t="s">
        <v>17</v>
      </c>
      <c r="C137" s="137" t="s">
        <v>9</v>
      </c>
      <c r="D137" s="138">
        <v>9.0</v>
      </c>
      <c r="E137" s="139" t="s">
        <v>10</v>
      </c>
      <c r="F137" s="161" t="s">
        <v>11</v>
      </c>
      <c r="G137" s="141" t="s">
        <v>30</v>
      </c>
      <c r="H137" s="162">
        <f t="shared" si="1"/>
        <v>5</v>
      </c>
      <c r="I137" s="163" t="s">
        <v>39</v>
      </c>
      <c r="J137" s="116">
        <f t="shared" si="2"/>
        <v>1</v>
      </c>
      <c r="K137" s="116" t="str">
        <f t="shared" si="3"/>
        <v>1lunes</v>
      </c>
    </row>
    <row r="138" ht="22.5" customHeight="1">
      <c r="A138" s="107">
        <v>45797.0</v>
      </c>
      <c r="B138" s="108" t="s">
        <v>14</v>
      </c>
      <c r="C138" s="109" t="s">
        <v>9</v>
      </c>
      <c r="D138" s="110">
        <v>22.0</v>
      </c>
      <c r="E138" s="111" t="s">
        <v>10</v>
      </c>
      <c r="F138" s="112" t="s">
        <v>11</v>
      </c>
      <c r="G138" s="113" t="s">
        <v>30</v>
      </c>
      <c r="H138" s="165">
        <f t="shared" si="1"/>
        <v>5</v>
      </c>
      <c r="I138" s="166" t="s">
        <v>16</v>
      </c>
      <c r="J138" s="116">
        <f t="shared" si="2"/>
        <v>2</v>
      </c>
      <c r="K138" s="116" t="str">
        <f t="shared" si="3"/>
        <v>2martes</v>
      </c>
    </row>
    <row r="139" ht="22.5" customHeight="1">
      <c r="A139" s="117">
        <v>45798.0</v>
      </c>
      <c r="B139" s="181" t="s">
        <v>19</v>
      </c>
      <c r="C139" s="119" t="s">
        <v>9</v>
      </c>
      <c r="D139" s="120">
        <v>7.0</v>
      </c>
      <c r="E139" s="121" t="s">
        <v>10</v>
      </c>
      <c r="F139" s="168" t="s">
        <v>15</v>
      </c>
      <c r="G139" s="123" t="s">
        <v>30</v>
      </c>
      <c r="H139" s="169">
        <f t="shared" si="1"/>
        <v>5</v>
      </c>
      <c r="I139" s="170" t="s">
        <v>18</v>
      </c>
      <c r="J139" s="116">
        <f t="shared" si="2"/>
        <v>3</v>
      </c>
      <c r="K139" s="116" t="str">
        <f t="shared" si="3"/>
        <v>3miércoles</v>
      </c>
    </row>
    <row r="140" ht="22.5" customHeight="1">
      <c r="A140" s="126">
        <v>45799.0</v>
      </c>
      <c r="B140" s="191" t="s">
        <v>14</v>
      </c>
      <c r="C140" s="128" t="s">
        <v>9</v>
      </c>
      <c r="D140" s="129">
        <v>23.0</v>
      </c>
      <c r="E140" s="130" t="s">
        <v>10</v>
      </c>
      <c r="F140" s="156" t="s">
        <v>15</v>
      </c>
      <c r="G140" s="132" t="s">
        <v>30</v>
      </c>
      <c r="H140" s="157">
        <f t="shared" si="1"/>
        <v>5</v>
      </c>
      <c r="I140" s="158" t="s">
        <v>33</v>
      </c>
      <c r="J140" s="116">
        <f t="shared" si="2"/>
        <v>4</v>
      </c>
      <c r="K140" s="116" t="str">
        <f t="shared" si="3"/>
        <v>4jueves</v>
      </c>
    </row>
    <row r="141" ht="22.5" customHeight="1">
      <c r="A141" s="135">
        <v>45800.0</v>
      </c>
      <c r="B141" s="159" t="s">
        <v>8</v>
      </c>
      <c r="C141" s="137" t="s">
        <v>9</v>
      </c>
      <c r="D141" s="138">
        <v>14.0</v>
      </c>
      <c r="E141" s="139" t="s">
        <v>10</v>
      </c>
      <c r="F141" s="161" t="s">
        <v>11</v>
      </c>
      <c r="G141" s="141" t="s">
        <v>30</v>
      </c>
      <c r="H141" s="173">
        <f t="shared" si="1"/>
        <v>5</v>
      </c>
      <c r="I141" s="174" t="s">
        <v>20</v>
      </c>
      <c r="J141" s="116">
        <f t="shared" si="2"/>
        <v>5</v>
      </c>
      <c r="K141" s="116" t="str">
        <f t="shared" si="3"/>
        <v>5viernes</v>
      </c>
    </row>
    <row r="142" ht="22.5" customHeight="1">
      <c r="A142" s="107">
        <v>45801.0</v>
      </c>
      <c r="B142" s="164" t="s">
        <v>8</v>
      </c>
      <c r="C142" s="109" t="s">
        <v>9</v>
      </c>
      <c r="D142" s="110">
        <v>14.0</v>
      </c>
      <c r="E142" s="111" t="s">
        <v>10</v>
      </c>
      <c r="F142" s="112" t="s">
        <v>11</v>
      </c>
      <c r="G142" s="113" t="s">
        <v>30</v>
      </c>
      <c r="H142" s="177">
        <f t="shared" si="1"/>
        <v>5</v>
      </c>
      <c r="I142" s="178" t="s">
        <v>40</v>
      </c>
      <c r="J142" s="116">
        <f t="shared" si="2"/>
        <v>6</v>
      </c>
      <c r="K142" s="116" t="str">
        <f t="shared" si="3"/>
        <v>6sábado</v>
      </c>
    </row>
    <row r="143" ht="22.5" customHeight="1">
      <c r="A143" s="117">
        <v>45802.0</v>
      </c>
      <c r="B143" s="189" t="s">
        <v>26</v>
      </c>
      <c r="C143" s="119" t="s">
        <v>9</v>
      </c>
      <c r="D143" s="120">
        <v>25.0</v>
      </c>
      <c r="E143" s="196" t="s">
        <v>22</v>
      </c>
      <c r="F143" s="168" t="s">
        <v>15</v>
      </c>
      <c r="G143" s="123" t="s">
        <v>30</v>
      </c>
      <c r="H143" s="124">
        <f t="shared" si="1"/>
        <v>5</v>
      </c>
      <c r="I143" s="125" t="s">
        <v>13</v>
      </c>
      <c r="J143" s="116">
        <f t="shared" si="2"/>
        <v>7</v>
      </c>
      <c r="K143" s="116" t="str">
        <f t="shared" si="3"/>
        <v>7domingo</v>
      </c>
    </row>
    <row r="144" ht="22.5" customHeight="1">
      <c r="A144" s="126">
        <v>45803.0</v>
      </c>
      <c r="B144" s="127" t="s">
        <v>8</v>
      </c>
      <c r="C144" s="188" t="s">
        <v>24</v>
      </c>
      <c r="D144" s="129">
        <v>15.0</v>
      </c>
      <c r="E144" s="130" t="s">
        <v>10</v>
      </c>
      <c r="F144" s="131" t="s">
        <v>11</v>
      </c>
      <c r="G144" s="132" t="s">
        <v>30</v>
      </c>
      <c r="H144" s="133">
        <f t="shared" si="1"/>
        <v>5</v>
      </c>
      <c r="I144" s="134" t="s">
        <v>39</v>
      </c>
      <c r="J144" s="116">
        <f t="shared" si="2"/>
        <v>1</v>
      </c>
      <c r="K144" s="116" t="str">
        <f t="shared" si="3"/>
        <v>1lunes</v>
      </c>
    </row>
    <row r="145" ht="22.5" customHeight="1">
      <c r="A145" s="135">
        <v>45804.0</v>
      </c>
      <c r="B145" s="185" t="s">
        <v>17</v>
      </c>
      <c r="C145" s="137" t="s">
        <v>9</v>
      </c>
      <c r="D145" s="138">
        <v>10.0</v>
      </c>
      <c r="E145" s="139" t="s">
        <v>10</v>
      </c>
      <c r="F145" s="161" t="s">
        <v>11</v>
      </c>
      <c r="G145" s="141" t="s">
        <v>30</v>
      </c>
      <c r="H145" s="142">
        <f t="shared" si="1"/>
        <v>5</v>
      </c>
      <c r="I145" s="143" t="s">
        <v>16</v>
      </c>
      <c r="J145" s="116">
        <f t="shared" si="2"/>
        <v>2</v>
      </c>
      <c r="K145" s="116" t="str">
        <f t="shared" si="3"/>
        <v>2martes</v>
      </c>
    </row>
    <row r="146" ht="22.5" customHeight="1">
      <c r="A146" s="126">
        <v>45805.0</v>
      </c>
      <c r="B146" s="127" t="s">
        <v>8</v>
      </c>
      <c r="C146" s="128" t="s">
        <v>9</v>
      </c>
      <c r="D146" s="129">
        <v>14.0</v>
      </c>
      <c r="E146" s="130" t="s">
        <v>10</v>
      </c>
      <c r="F146" s="131" t="s">
        <v>11</v>
      </c>
      <c r="G146" s="132" t="s">
        <v>30</v>
      </c>
      <c r="H146" s="145">
        <f t="shared" si="1"/>
        <v>5</v>
      </c>
      <c r="I146" s="146" t="s">
        <v>18</v>
      </c>
      <c r="J146" s="116">
        <f t="shared" si="2"/>
        <v>3</v>
      </c>
      <c r="K146" s="116" t="str">
        <f t="shared" si="3"/>
        <v>3miércoles</v>
      </c>
    </row>
    <row r="147" ht="22.5" customHeight="1">
      <c r="A147" s="135">
        <v>45806.0</v>
      </c>
      <c r="B147" s="147" t="s">
        <v>19</v>
      </c>
      <c r="C147" s="137" t="s">
        <v>9</v>
      </c>
      <c r="D147" s="138">
        <v>7.0</v>
      </c>
      <c r="E147" s="139" t="s">
        <v>10</v>
      </c>
      <c r="F147" s="140" t="s">
        <v>15</v>
      </c>
      <c r="G147" s="141" t="s">
        <v>30</v>
      </c>
      <c r="H147" s="148">
        <f t="shared" si="1"/>
        <v>5</v>
      </c>
      <c r="I147" s="149" t="s">
        <v>33</v>
      </c>
      <c r="J147" s="116">
        <f t="shared" si="2"/>
        <v>4</v>
      </c>
      <c r="K147" s="116" t="str">
        <f t="shared" si="3"/>
        <v>4jueves</v>
      </c>
    </row>
    <row r="148" ht="22.5" customHeight="1">
      <c r="A148" s="107">
        <v>45807.0</v>
      </c>
      <c r="B148" s="164" t="s">
        <v>8</v>
      </c>
      <c r="C148" s="180" t="s">
        <v>21</v>
      </c>
      <c r="D148" s="110">
        <v>16.0</v>
      </c>
      <c r="E148" s="111" t="s">
        <v>10</v>
      </c>
      <c r="F148" s="187" t="s">
        <v>15</v>
      </c>
      <c r="G148" s="113" t="s">
        <v>30</v>
      </c>
      <c r="H148" s="114">
        <f t="shared" si="1"/>
        <v>5</v>
      </c>
      <c r="I148" s="115" t="s">
        <v>20</v>
      </c>
      <c r="J148" s="116">
        <f t="shared" si="2"/>
        <v>5</v>
      </c>
      <c r="K148" s="116" t="str">
        <f t="shared" si="3"/>
        <v>5viernes</v>
      </c>
    </row>
    <row r="149" ht="22.5" customHeight="1">
      <c r="A149" s="117">
        <v>45808.0</v>
      </c>
      <c r="B149" s="151" t="s">
        <v>17</v>
      </c>
      <c r="C149" s="119" t="s">
        <v>9</v>
      </c>
      <c r="D149" s="120">
        <v>10.0</v>
      </c>
      <c r="E149" s="121" t="s">
        <v>10</v>
      </c>
      <c r="F149" s="122" t="s">
        <v>11</v>
      </c>
      <c r="G149" s="123" t="s">
        <v>30</v>
      </c>
      <c r="H149" s="152">
        <f t="shared" si="1"/>
        <v>5</v>
      </c>
      <c r="I149" s="153" t="s">
        <v>40</v>
      </c>
      <c r="J149" s="116">
        <f t="shared" si="2"/>
        <v>6</v>
      </c>
      <c r="K149" s="116" t="str">
        <f t="shared" si="3"/>
        <v>6sábado</v>
      </c>
    </row>
    <row r="150" ht="22.5" customHeight="1">
      <c r="A150" s="126">
        <v>45809.0</v>
      </c>
      <c r="B150" s="182" t="s">
        <v>19</v>
      </c>
      <c r="C150" s="128" t="s">
        <v>9</v>
      </c>
      <c r="D150" s="129">
        <v>7.0</v>
      </c>
      <c r="E150" s="130" t="s">
        <v>10</v>
      </c>
      <c r="F150" s="131" t="s">
        <v>11</v>
      </c>
      <c r="G150" s="132" t="s">
        <v>31</v>
      </c>
      <c r="H150" s="157">
        <f t="shared" si="1"/>
        <v>6</v>
      </c>
      <c r="I150" s="158" t="s">
        <v>13</v>
      </c>
      <c r="J150" s="116">
        <f t="shared" si="2"/>
        <v>7</v>
      </c>
      <c r="K150" s="116" t="str">
        <f t="shared" si="3"/>
        <v>7domingo</v>
      </c>
    </row>
    <row r="151" ht="22.5" customHeight="1">
      <c r="A151" s="135">
        <v>45811.0</v>
      </c>
      <c r="B151" s="159" t="s">
        <v>8</v>
      </c>
      <c r="C151" s="137" t="s">
        <v>9</v>
      </c>
      <c r="D151" s="138">
        <v>21.0</v>
      </c>
      <c r="E151" s="139" t="s">
        <v>10</v>
      </c>
      <c r="F151" s="161" t="s">
        <v>11</v>
      </c>
      <c r="G151" s="141" t="s">
        <v>31</v>
      </c>
      <c r="H151" s="142">
        <f t="shared" si="1"/>
        <v>6</v>
      </c>
      <c r="I151" s="143" t="s">
        <v>16</v>
      </c>
      <c r="J151" s="116">
        <f t="shared" si="2"/>
        <v>2</v>
      </c>
      <c r="K151" s="116" t="str">
        <f t="shared" si="3"/>
        <v>2martes</v>
      </c>
    </row>
    <row r="152" ht="22.5" customHeight="1">
      <c r="A152" s="126">
        <v>45812.0</v>
      </c>
      <c r="B152" s="144" t="s">
        <v>17</v>
      </c>
      <c r="C152" s="128" t="s">
        <v>9</v>
      </c>
      <c r="D152" s="129">
        <v>14.0</v>
      </c>
      <c r="E152" s="130" t="s">
        <v>10</v>
      </c>
      <c r="F152" s="156" t="s">
        <v>15</v>
      </c>
      <c r="G152" s="132" t="s">
        <v>31</v>
      </c>
      <c r="H152" s="145">
        <f t="shared" si="1"/>
        <v>6</v>
      </c>
      <c r="I152" s="146" t="s">
        <v>18</v>
      </c>
      <c r="J152" s="116">
        <f t="shared" si="2"/>
        <v>3</v>
      </c>
      <c r="K152" s="116" t="str">
        <f t="shared" si="3"/>
        <v>3miércoles</v>
      </c>
    </row>
    <row r="153" ht="22.5" customHeight="1">
      <c r="A153" s="135">
        <v>45814.0</v>
      </c>
      <c r="B153" s="136" t="s">
        <v>14</v>
      </c>
      <c r="C153" s="172" t="s">
        <v>24</v>
      </c>
      <c r="D153" s="138">
        <v>20.0</v>
      </c>
      <c r="E153" s="139" t="s">
        <v>10</v>
      </c>
      <c r="F153" s="161" t="s">
        <v>11</v>
      </c>
      <c r="G153" s="141" t="s">
        <v>31</v>
      </c>
      <c r="H153" s="173">
        <f t="shared" si="1"/>
        <v>6</v>
      </c>
      <c r="I153" s="174" t="s">
        <v>20</v>
      </c>
      <c r="J153" s="116">
        <f t="shared" si="2"/>
        <v>5</v>
      </c>
      <c r="K153" s="116" t="str">
        <f t="shared" si="3"/>
        <v>5viernes</v>
      </c>
    </row>
    <row r="154" ht="22.5" customHeight="1">
      <c r="A154" s="126">
        <v>45816.0</v>
      </c>
      <c r="B154" s="127" t="s">
        <v>8</v>
      </c>
      <c r="C154" s="128" t="s">
        <v>9</v>
      </c>
      <c r="D154" s="129">
        <v>14.0</v>
      </c>
      <c r="E154" s="130" t="s">
        <v>10</v>
      </c>
      <c r="F154" s="131" t="s">
        <v>11</v>
      </c>
      <c r="G154" s="132" t="s">
        <v>31</v>
      </c>
      <c r="H154" s="157">
        <f t="shared" si="1"/>
        <v>6</v>
      </c>
      <c r="I154" s="158" t="s">
        <v>13</v>
      </c>
      <c r="J154" s="116">
        <f t="shared" si="2"/>
        <v>7</v>
      </c>
      <c r="K154" s="116" t="str">
        <f t="shared" si="3"/>
        <v>7domingo</v>
      </c>
    </row>
    <row r="155" ht="22.5" customHeight="1">
      <c r="A155" s="135">
        <v>45818.0</v>
      </c>
      <c r="B155" s="147" t="s">
        <v>19</v>
      </c>
      <c r="C155" s="137" t="s">
        <v>9</v>
      </c>
      <c r="D155" s="138">
        <v>7.0</v>
      </c>
      <c r="E155" s="139" t="s">
        <v>10</v>
      </c>
      <c r="F155" s="140" t="s">
        <v>15</v>
      </c>
      <c r="G155" s="141" t="s">
        <v>31</v>
      </c>
      <c r="H155" s="142">
        <f t="shared" si="1"/>
        <v>6</v>
      </c>
      <c r="I155" s="143" t="s">
        <v>16</v>
      </c>
      <c r="J155" s="116">
        <f t="shared" si="2"/>
        <v>2</v>
      </c>
      <c r="K155" s="116" t="str">
        <f t="shared" si="3"/>
        <v>2martes</v>
      </c>
    </row>
    <row r="156" ht="22.5" customHeight="1">
      <c r="A156" s="126">
        <v>45819.0</v>
      </c>
      <c r="B156" s="144" t="s">
        <v>17</v>
      </c>
      <c r="C156" s="128" t="s">
        <v>9</v>
      </c>
      <c r="D156" s="129">
        <v>11.0</v>
      </c>
      <c r="E156" s="130" t="s">
        <v>10</v>
      </c>
      <c r="F156" s="131" t="s">
        <v>11</v>
      </c>
      <c r="G156" s="132" t="s">
        <v>31</v>
      </c>
      <c r="H156" s="145">
        <f t="shared" si="1"/>
        <v>6</v>
      </c>
      <c r="I156" s="146" t="s">
        <v>18</v>
      </c>
      <c r="J156" s="116">
        <f t="shared" si="2"/>
        <v>3</v>
      </c>
      <c r="K156" s="116" t="str">
        <f t="shared" si="3"/>
        <v>3miércoles</v>
      </c>
    </row>
    <row r="157" ht="22.5" customHeight="1">
      <c r="A157" s="135">
        <v>45821.0</v>
      </c>
      <c r="B157" s="159" t="s">
        <v>8</v>
      </c>
      <c r="C157" s="137" t="s">
        <v>9</v>
      </c>
      <c r="D157" s="138">
        <v>15.0</v>
      </c>
      <c r="E157" s="139" t="s">
        <v>10</v>
      </c>
      <c r="F157" s="161" t="s">
        <v>11</v>
      </c>
      <c r="G157" s="141" t="s">
        <v>31</v>
      </c>
      <c r="H157" s="173">
        <f t="shared" si="1"/>
        <v>6</v>
      </c>
      <c r="I157" s="174" t="s">
        <v>20</v>
      </c>
      <c r="J157" s="116">
        <f t="shared" si="2"/>
        <v>5</v>
      </c>
      <c r="K157" s="116" t="str">
        <f t="shared" si="3"/>
        <v>5viernes</v>
      </c>
    </row>
    <row r="158" ht="22.5" customHeight="1">
      <c r="A158" s="126">
        <v>45823.0</v>
      </c>
      <c r="B158" s="171" t="s">
        <v>23</v>
      </c>
      <c r="C158" s="128" t="s">
        <v>9</v>
      </c>
      <c r="D158" s="129">
        <v>19.0</v>
      </c>
      <c r="E158" s="130" t="s">
        <v>10</v>
      </c>
      <c r="F158" s="156" t="s">
        <v>15</v>
      </c>
      <c r="G158" s="132" t="s">
        <v>31</v>
      </c>
      <c r="H158" s="157">
        <f t="shared" si="1"/>
        <v>6</v>
      </c>
      <c r="I158" s="158" t="s">
        <v>13</v>
      </c>
      <c r="J158" s="116">
        <f t="shared" si="2"/>
        <v>7</v>
      </c>
      <c r="K158" s="116" t="str">
        <f t="shared" si="3"/>
        <v>7domingo</v>
      </c>
    </row>
    <row r="159" ht="22.5" customHeight="1">
      <c r="A159" s="135">
        <v>45825.0</v>
      </c>
      <c r="B159" s="159" t="s">
        <v>8</v>
      </c>
      <c r="C159" s="160" t="s">
        <v>21</v>
      </c>
      <c r="D159" s="138">
        <v>14.0</v>
      </c>
      <c r="E159" s="139" t="s">
        <v>10</v>
      </c>
      <c r="F159" s="161" t="s">
        <v>11</v>
      </c>
      <c r="G159" s="141" t="s">
        <v>31</v>
      </c>
      <c r="H159" s="142">
        <f t="shared" si="1"/>
        <v>6</v>
      </c>
      <c r="I159" s="143" t="s">
        <v>16</v>
      </c>
      <c r="J159" s="116">
        <f t="shared" si="2"/>
        <v>2</v>
      </c>
      <c r="K159" s="116" t="str">
        <f t="shared" si="3"/>
        <v>2martes</v>
      </c>
    </row>
    <row r="160" ht="22.5" customHeight="1">
      <c r="A160" s="126">
        <v>45826.0</v>
      </c>
      <c r="B160" s="144" t="s">
        <v>17</v>
      </c>
      <c r="C160" s="188" t="s">
        <v>24</v>
      </c>
      <c r="D160" s="129">
        <v>10.0</v>
      </c>
      <c r="E160" s="130" t="s">
        <v>10</v>
      </c>
      <c r="F160" s="131" t="s">
        <v>11</v>
      </c>
      <c r="G160" s="132" t="s">
        <v>31</v>
      </c>
      <c r="H160" s="145">
        <f t="shared" si="1"/>
        <v>6</v>
      </c>
      <c r="I160" s="146" t="s">
        <v>18</v>
      </c>
      <c r="J160" s="116">
        <f t="shared" si="2"/>
        <v>3</v>
      </c>
      <c r="K160" s="116" t="str">
        <f t="shared" si="3"/>
        <v>3miércoles</v>
      </c>
    </row>
    <row r="161" ht="22.5" customHeight="1">
      <c r="A161" s="135">
        <v>45828.0</v>
      </c>
      <c r="B161" s="136" t="s">
        <v>14</v>
      </c>
      <c r="C161" s="137" t="s">
        <v>9</v>
      </c>
      <c r="D161" s="138">
        <v>24.0</v>
      </c>
      <c r="E161" s="139" t="s">
        <v>10</v>
      </c>
      <c r="F161" s="140" t="s">
        <v>15</v>
      </c>
      <c r="G161" s="141" t="s">
        <v>31</v>
      </c>
      <c r="H161" s="173">
        <f t="shared" si="1"/>
        <v>6</v>
      </c>
      <c r="I161" s="174" t="s">
        <v>20</v>
      </c>
      <c r="J161" s="116">
        <f t="shared" si="2"/>
        <v>5</v>
      </c>
      <c r="K161" s="116" t="str">
        <f t="shared" si="3"/>
        <v>5viernes</v>
      </c>
    </row>
    <row r="162" ht="22.5" customHeight="1">
      <c r="A162" s="126">
        <v>45830.0</v>
      </c>
      <c r="B162" s="127" t="s">
        <v>8</v>
      </c>
      <c r="C162" s="128" t="s">
        <v>9</v>
      </c>
      <c r="D162" s="129">
        <v>14.0</v>
      </c>
      <c r="E162" s="130" t="s">
        <v>10</v>
      </c>
      <c r="F162" s="131" t="s">
        <v>11</v>
      </c>
      <c r="G162" s="132" t="s">
        <v>31</v>
      </c>
      <c r="H162" s="157">
        <f t="shared" si="1"/>
        <v>6</v>
      </c>
      <c r="I162" s="158" t="s">
        <v>13</v>
      </c>
      <c r="J162" s="116">
        <f t="shared" si="2"/>
        <v>7</v>
      </c>
      <c r="K162" s="116" t="str">
        <f t="shared" si="3"/>
        <v>7domingo</v>
      </c>
    </row>
    <row r="163" ht="22.5" customHeight="1">
      <c r="A163" s="135">
        <v>45832.0</v>
      </c>
      <c r="B163" s="147" t="s">
        <v>19</v>
      </c>
      <c r="C163" s="137" t="s">
        <v>9</v>
      </c>
      <c r="D163" s="138">
        <v>7.0</v>
      </c>
      <c r="E163" s="139" t="s">
        <v>10</v>
      </c>
      <c r="F163" s="161" t="s">
        <v>11</v>
      </c>
      <c r="G163" s="141" t="s">
        <v>31</v>
      </c>
      <c r="H163" s="142">
        <f t="shared" si="1"/>
        <v>6</v>
      </c>
      <c r="I163" s="143" t="s">
        <v>16</v>
      </c>
      <c r="J163" s="116">
        <f t="shared" si="2"/>
        <v>2</v>
      </c>
      <c r="K163" s="116" t="str">
        <f t="shared" si="3"/>
        <v>2martes</v>
      </c>
    </row>
    <row r="164" ht="22.5" customHeight="1">
      <c r="A164" s="126">
        <v>45833.0</v>
      </c>
      <c r="B164" s="183" t="s">
        <v>26</v>
      </c>
      <c r="C164" s="128" t="s">
        <v>9</v>
      </c>
      <c r="D164" s="129">
        <v>22.0</v>
      </c>
      <c r="E164" s="130" t="s">
        <v>10</v>
      </c>
      <c r="F164" s="156" t="s">
        <v>15</v>
      </c>
      <c r="G164" s="132" t="s">
        <v>31</v>
      </c>
      <c r="H164" s="145">
        <f t="shared" si="1"/>
        <v>6</v>
      </c>
      <c r="I164" s="146" t="s">
        <v>18</v>
      </c>
      <c r="J164" s="116">
        <f t="shared" si="2"/>
        <v>3</v>
      </c>
      <c r="K164" s="116" t="str">
        <f t="shared" si="3"/>
        <v>3miércoles</v>
      </c>
    </row>
    <row r="165" ht="22.5" customHeight="1">
      <c r="A165" s="135">
        <v>45835.0</v>
      </c>
      <c r="B165" s="159" t="s">
        <v>8</v>
      </c>
      <c r="C165" s="137" t="s">
        <v>9</v>
      </c>
      <c r="D165" s="138">
        <v>14.0</v>
      </c>
      <c r="E165" s="139" t="s">
        <v>10</v>
      </c>
      <c r="F165" s="161" t="s">
        <v>11</v>
      </c>
      <c r="G165" s="141" t="s">
        <v>31</v>
      </c>
      <c r="H165" s="173">
        <f t="shared" si="1"/>
        <v>6</v>
      </c>
      <c r="I165" s="174" t="s">
        <v>20</v>
      </c>
      <c r="J165" s="116">
        <f t="shared" si="2"/>
        <v>5</v>
      </c>
      <c r="K165" s="116" t="str">
        <f t="shared" si="3"/>
        <v>5viernes</v>
      </c>
    </row>
    <row r="166" ht="22.5" customHeight="1">
      <c r="A166" s="126">
        <v>45837.0</v>
      </c>
      <c r="B166" s="144" t="s">
        <v>17</v>
      </c>
      <c r="C166" s="128" t="s">
        <v>9</v>
      </c>
      <c r="D166" s="129">
        <v>9.0</v>
      </c>
      <c r="E166" s="130" t="s">
        <v>10</v>
      </c>
      <c r="F166" s="131" t="s">
        <v>11</v>
      </c>
      <c r="G166" s="132" t="s">
        <v>31</v>
      </c>
      <c r="H166" s="157">
        <f t="shared" si="1"/>
        <v>6</v>
      </c>
      <c r="I166" s="158" t="s">
        <v>13</v>
      </c>
      <c r="J166" s="116">
        <f t="shared" si="2"/>
        <v>7</v>
      </c>
      <c r="K166" s="116" t="str">
        <f t="shared" si="3"/>
        <v>7domingo</v>
      </c>
    </row>
    <row r="167" ht="22.5" customHeight="1">
      <c r="A167" s="135">
        <v>45839.0</v>
      </c>
      <c r="B167" s="159" t="s">
        <v>8</v>
      </c>
      <c r="C167" s="137" t="s">
        <v>9</v>
      </c>
      <c r="D167" s="138">
        <v>21.0</v>
      </c>
      <c r="E167" s="139" t="s">
        <v>10</v>
      </c>
      <c r="F167" s="140" t="s">
        <v>15</v>
      </c>
      <c r="G167" s="141" t="s">
        <v>32</v>
      </c>
      <c r="H167" s="142">
        <f t="shared" si="1"/>
        <v>7</v>
      </c>
      <c r="I167" s="143" t="s">
        <v>16</v>
      </c>
      <c r="J167" s="116">
        <f t="shared" si="2"/>
        <v>2</v>
      </c>
      <c r="K167" s="116" t="str">
        <f t="shared" si="3"/>
        <v>2martes</v>
      </c>
    </row>
    <row r="168" ht="22.5" customHeight="1">
      <c r="A168" s="126">
        <v>45841.0</v>
      </c>
      <c r="B168" s="191" t="s">
        <v>14</v>
      </c>
      <c r="C168" s="128" t="s">
        <v>9</v>
      </c>
      <c r="D168" s="129">
        <v>28.0</v>
      </c>
      <c r="E168" s="155" t="s">
        <v>22</v>
      </c>
      <c r="F168" s="131" t="s">
        <v>11</v>
      </c>
      <c r="G168" s="132" t="s">
        <v>32</v>
      </c>
      <c r="H168" s="157">
        <f t="shared" si="1"/>
        <v>7</v>
      </c>
      <c r="I168" s="158" t="s">
        <v>33</v>
      </c>
      <c r="J168" s="116">
        <f t="shared" si="2"/>
        <v>4</v>
      </c>
      <c r="K168" s="116" t="str">
        <f t="shared" si="3"/>
        <v>4jueves</v>
      </c>
    </row>
    <row r="169" ht="22.5" customHeight="1">
      <c r="A169" s="135">
        <v>45844.0</v>
      </c>
      <c r="B169" s="147" t="s">
        <v>19</v>
      </c>
      <c r="C169" s="137" t="s">
        <v>9</v>
      </c>
      <c r="D169" s="138">
        <v>7.0</v>
      </c>
      <c r="E169" s="139" t="s">
        <v>10</v>
      </c>
      <c r="F169" s="161" t="s">
        <v>11</v>
      </c>
      <c r="G169" s="141" t="s">
        <v>32</v>
      </c>
      <c r="H169" s="148">
        <f t="shared" si="1"/>
        <v>7</v>
      </c>
      <c r="I169" s="149" t="s">
        <v>13</v>
      </c>
      <c r="J169" s="116">
        <f t="shared" si="2"/>
        <v>7</v>
      </c>
      <c r="K169" s="116" t="str">
        <f t="shared" si="3"/>
        <v>7domingo</v>
      </c>
    </row>
    <row r="170" ht="22.5" customHeight="1">
      <c r="A170" s="126">
        <v>45846.0</v>
      </c>
      <c r="B170" s="144" t="s">
        <v>17</v>
      </c>
      <c r="C170" s="128" t="s">
        <v>9</v>
      </c>
      <c r="D170" s="129">
        <v>14.0</v>
      </c>
      <c r="E170" s="130" t="s">
        <v>10</v>
      </c>
      <c r="F170" s="156" t="s">
        <v>15</v>
      </c>
      <c r="G170" s="132" t="s">
        <v>32</v>
      </c>
      <c r="H170" s="198">
        <f t="shared" si="1"/>
        <v>7</v>
      </c>
      <c r="I170" s="199" t="s">
        <v>16</v>
      </c>
      <c r="J170" s="116">
        <f t="shared" si="2"/>
        <v>2</v>
      </c>
      <c r="K170" s="116" t="str">
        <f t="shared" si="3"/>
        <v>2martes</v>
      </c>
    </row>
    <row r="171" ht="22.5" customHeight="1">
      <c r="A171" s="135">
        <v>45848.0</v>
      </c>
      <c r="B171" s="159" t="s">
        <v>8</v>
      </c>
      <c r="C171" s="172" t="s">
        <v>24</v>
      </c>
      <c r="D171" s="138">
        <v>15.0</v>
      </c>
      <c r="E171" s="139" t="s">
        <v>10</v>
      </c>
      <c r="F171" s="161" t="s">
        <v>11</v>
      </c>
      <c r="G171" s="141" t="s">
        <v>32</v>
      </c>
      <c r="H171" s="148">
        <f t="shared" si="1"/>
        <v>7</v>
      </c>
      <c r="I171" s="149" t="s">
        <v>33</v>
      </c>
      <c r="J171" s="116">
        <f t="shared" si="2"/>
        <v>4</v>
      </c>
      <c r="K171" s="116" t="str">
        <f t="shared" si="3"/>
        <v>4jueves</v>
      </c>
    </row>
    <row r="172" ht="22.5" customHeight="1">
      <c r="A172" s="126">
        <v>45851.0</v>
      </c>
      <c r="B172" s="127" t="s">
        <v>8</v>
      </c>
      <c r="C172" s="128" t="s">
        <v>9</v>
      </c>
      <c r="D172" s="129">
        <v>21.0</v>
      </c>
      <c r="E172" s="130" t="s">
        <v>10</v>
      </c>
      <c r="F172" s="131" t="s">
        <v>11</v>
      </c>
      <c r="G172" s="132" t="s">
        <v>32</v>
      </c>
      <c r="H172" s="157">
        <f t="shared" si="1"/>
        <v>7</v>
      </c>
      <c r="I172" s="158" t="s">
        <v>13</v>
      </c>
      <c r="J172" s="116">
        <f t="shared" si="2"/>
        <v>7</v>
      </c>
      <c r="K172" s="116" t="str">
        <f t="shared" si="3"/>
        <v>7domingo</v>
      </c>
    </row>
    <row r="173" ht="22.5" customHeight="1">
      <c r="A173" s="135">
        <v>45853.0</v>
      </c>
      <c r="B173" s="185" t="s">
        <v>17</v>
      </c>
      <c r="C173" s="137" t="s">
        <v>9</v>
      </c>
      <c r="D173" s="138">
        <v>12.0</v>
      </c>
      <c r="E173" s="139" t="s">
        <v>10</v>
      </c>
      <c r="F173" s="140" t="s">
        <v>15</v>
      </c>
      <c r="G173" s="141" t="s">
        <v>32</v>
      </c>
      <c r="H173" s="142">
        <f t="shared" si="1"/>
        <v>7</v>
      </c>
      <c r="I173" s="143" t="s">
        <v>16</v>
      </c>
      <c r="J173" s="116">
        <f t="shared" si="2"/>
        <v>2</v>
      </c>
      <c r="K173" s="116" t="str">
        <f t="shared" si="3"/>
        <v>2martes</v>
      </c>
    </row>
    <row r="174" ht="22.5" customHeight="1">
      <c r="A174" s="126">
        <v>45855.0</v>
      </c>
      <c r="B174" s="171" t="s">
        <v>23</v>
      </c>
      <c r="C174" s="128" t="s">
        <v>9</v>
      </c>
      <c r="D174" s="129">
        <v>20.0</v>
      </c>
      <c r="E174" s="130" t="s">
        <v>10</v>
      </c>
      <c r="F174" s="131" t="s">
        <v>11</v>
      </c>
      <c r="G174" s="132" t="s">
        <v>32</v>
      </c>
      <c r="H174" s="157">
        <f t="shared" si="1"/>
        <v>7</v>
      </c>
      <c r="I174" s="158" t="s">
        <v>33</v>
      </c>
      <c r="J174" s="116">
        <f t="shared" si="2"/>
        <v>4</v>
      </c>
      <c r="K174" s="116" t="str">
        <f t="shared" si="3"/>
        <v>4jueves</v>
      </c>
    </row>
    <row r="175" ht="22.5" customHeight="1">
      <c r="A175" s="135">
        <v>45858.0</v>
      </c>
      <c r="B175" s="159" t="s">
        <v>8</v>
      </c>
      <c r="C175" s="160" t="s">
        <v>21</v>
      </c>
      <c r="D175" s="138">
        <v>14.0</v>
      </c>
      <c r="E175" s="139" t="s">
        <v>10</v>
      </c>
      <c r="F175" s="161" t="s">
        <v>11</v>
      </c>
      <c r="G175" s="141" t="s">
        <v>32</v>
      </c>
      <c r="H175" s="148">
        <f t="shared" si="1"/>
        <v>7</v>
      </c>
      <c r="I175" s="149" t="s">
        <v>13</v>
      </c>
      <c r="J175" s="116">
        <f t="shared" si="2"/>
        <v>7</v>
      </c>
      <c r="K175" s="116" t="str">
        <f t="shared" si="3"/>
        <v>7domingo</v>
      </c>
    </row>
    <row r="176" ht="22.5" customHeight="1">
      <c r="A176" s="126">
        <v>45860.0</v>
      </c>
      <c r="B176" s="182" t="s">
        <v>19</v>
      </c>
      <c r="C176" s="128" t="s">
        <v>9</v>
      </c>
      <c r="D176" s="129">
        <v>7.0</v>
      </c>
      <c r="E176" s="130" t="s">
        <v>10</v>
      </c>
      <c r="F176" s="156" t="s">
        <v>15</v>
      </c>
      <c r="G176" s="132" t="s">
        <v>32</v>
      </c>
      <c r="H176" s="198">
        <f t="shared" si="1"/>
        <v>7</v>
      </c>
      <c r="I176" s="199" t="s">
        <v>16</v>
      </c>
      <c r="J176" s="116">
        <f t="shared" si="2"/>
        <v>2</v>
      </c>
      <c r="K176" s="116" t="str">
        <f t="shared" si="3"/>
        <v>2martes</v>
      </c>
    </row>
    <row r="177" ht="22.5" customHeight="1">
      <c r="A177" s="135">
        <v>45862.0</v>
      </c>
      <c r="B177" s="159" t="s">
        <v>8</v>
      </c>
      <c r="C177" s="137" t="s">
        <v>9</v>
      </c>
      <c r="D177" s="138">
        <v>21.0</v>
      </c>
      <c r="E177" s="139" t="s">
        <v>10</v>
      </c>
      <c r="F177" s="161" t="s">
        <v>11</v>
      </c>
      <c r="G177" s="141" t="s">
        <v>32</v>
      </c>
      <c r="H177" s="148">
        <f t="shared" si="1"/>
        <v>7</v>
      </c>
      <c r="I177" s="149" t="s">
        <v>33</v>
      </c>
      <c r="J177" s="116">
        <f t="shared" si="2"/>
        <v>4</v>
      </c>
      <c r="K177" s="116" t="str">
        <f t="shared" si="3"/>
        <v>4jueves</v>
      </c>
    </row>
    <row r="178" ht="22.5" customHeight="1">
      <c r="A178" s="126">
        <v>45865.0</v>
      </c>
      <c r="B178" s="144" t="s">
        <v>17</v>
      </c>
      <c r="C178" s="128" t="s">
        <v>9</v>
      </c>
      <c r="D178" s="129">
        <v>10.0</v>
      </c>
      <c r="E178" s="130" t="s">
        <v>10</v>
      </c>
      <c r="F178" s="131" t="s">
        <v>11</v>
      </c>
      <c r="G178" s="132" t="s">
        <v>32</v>
      </c>
      <c r="H178" s="157">
        <f t="shared" si="1"/>
        <v>7</v>
      </c>
      <c r="I178" s="158" t="s">
        <v>13</v>
      </c>
      <c r="J178" s="116">
        <f t="shared" si="2"/>
        <v>7</v>
      </c>
      <c r="K178" s="116" t="str">
        <f t="shared" si="3"/>
        <v>7domingo</v>
      </c>
    </row>
    <row r="179" ht="22.5" customHeight="1">
      <c r="A179" s="135">
        <v>45867.0</v>
      </c>
      <c r="B179" s="136" t="s">
        <v>14</v>
      </c>
      <c r="C179" s="137" t="s">
        <v>9</v>
      </c>
      <c r="D179" s="138">
        <v>25.0</v>
      </c>
      <c r="E179" s="139" t="s">
        <v>10</v>
      </c>
      <c r="F179" s="140" t="s">
        <v>15</v>
      </c>
      <c r="G179" s="141" t="s">
        <v>32</v>
      </c>
      <c r="H179" s="142">
        <f t="shared" si="1"/>
        <v>7</v>
      </c>
      <c r="I179" s="143" t="s">
        <v>16</v>
      </c>
      <c r="J179" s="116">
        <f t="shared" si="2"/>
        <v>2</v>
      </c>
      <c r="K179" s="116" t="str">
        <f t="shared" si="3"/>
        <v>2martes</v>
      </c>
    </row>
    <row r="180" ht="22.5" customHeight="1">
      <c r="A180" s="126">
        <v>45869.0</v>
      </c>
      <c r="B180" s="127" t="s">
        <v>8</v>
      </c>
      <c r="C180" s="128" t="s">
        <v>9</v>
      </c>
      <c r="D180" s="129">
        <v>14.0</v>
      </c>
      <c r="E180" s="130" t="s">
        <v>10</v>
      </c>
      <c r="F180" s="131" t="s">
        <v>11</v>
      </c>
      <c r="G180" s="132" t="s">
        <v>32</v>
      </c>
      <c r="H180" s="157">
        <f t="shared" si="1"/>
        <v>7</v>
      </c>
      <c r="I180" s="158" t="s">
        <v>33</v>
      </c>
      <c r="J180" s="116">
        <f t="shared" si="2"/>
        <v>4</v>
      </c>
      <c r="K180" s="116" t="str">
        <f t="shared" si="3"/>
        <v>4jueves</v>
      </c>
    </row>
    <row r="181" ht="22.5" customHeight="1">
      <c r="A181" s="135">
        <v>45872.0</v>
      </c>
      <c r="B181" s="147" t="s">
        <v>19</v>
      </c>
      <c r="C181" s="137" t="s">
        <v>9</v>
      </c>
      <c r="D181" s="138">
        <v>7.0</v>
      </c>
      <c r="E181" s="139" t="s">
        <v>10</v>
      </c>
      <c r="F181" s="161" t="s">
        <v>11</v>
      </c>
      <c r="G181" s="141" t="s">
        <v>34</v>
      </c>
      <c r="H181" s="148">
        <f t="shared" si="1"/>
        <v>8</v>
      </c>
      <c r="I181" s="149" t="s">
        <v>13</v>
      </c>
      <c r="J181" s="116">
        <f t="shared" si="2"/>
        <v>7</v>
      </c>
      <c r="K181" s="116" t="str">
        <f t="shared" si="3"/>
        <v>7domingo</v>
      </c>
    </row>
    <row r="182" ht="22.5" customHeight="1">
      <c r="A182" s="126">
        <v>45874.0</v>
      </c>
      <c r="B182" s="127" t="s">
        <v>8</v>
      </c>
      <c r="C182" s="128" t="s">
        <v>9</v>
      </c>
      <c r="D182" s="129">
        <v>28.0</v>
      </c>
      <c r="E182" s="155" t="s">
        <v>22</v>
      </c>
      <c r="F182" s="156" t="s">
        <v>15</v>
      </c>
      <c r="G182" s="132" t="s">
        <v>34</v>
      </c>
      <c r="H182" s="198">
        <f t="shared" si="1"/>
        <v>8</v>
      </c>
      <c r="I182" s="199" t="s">
        <v>16</v>
      </c>
      <c r="J182" s="116">
        <f t="shared" si="2"/>
        <v>2</v>
      </c>
      <c r="K182" s="116" t="str">
        <f t="shared" si="3"/>
        <v>2martes</v>
      </c>
    </row>
    <row r="183" ht="22.5" customHeight="1">
      <c r="A183" s="135">
        <v>45876.0</v>
      </c>
      <c r="B183" s="185" t="s">
        <v>17</v>
      </c>
      <c r="C183" s="172" t="s">
        <v>24</v>
      </c>
      <c r="D183" s="138">
        <v>14.0</v>
      </c>
      <c r="E183" s="139" t="s">
        <v>10</v>
      </c>
      <c r="F183" s="161" t="s">
        <v>11</v>
      </c>
      <c r="G183" s="141" t="s">
        <v>34</v>
      </c>
      <c r="H183" s="148">
        <f t="shared" si="1"/>
        <v>8</v>
      </c>
      <c r="I183" s="149" t="s">
        <v>33</v>
      </c>
      <c r="J183" s="116">
        <f t="shared" si="2"/>
        <v>4</v>
      </c>
      <c r="K183" s="116" t="str">
        <f t="shared" si="3"/>
        <v>4jueves</v>
      </c>
    </row>
    <row r="184" ht="22.5" customHeight="1">
      <c r="A184" s="126">
        <v>45879.0</v>
      </c>
      <c r="B184" s="127" t="s">
        <v>8</v>
      </c>
      <c r="C184" s="128" t="s">
        <v>9</v>
      </c>
      <c r="D184" s="129">
        <v>21.0</v>
      </c>
      <c r="E184" s="130" t="s">
        <v>10</v>
      </c>
      <c r="F184" s="131" t="s">
        <v>11</v>
      </c>
      <c r="G184" s="132" t="s">
        <v>34</v>
      </c>
      <c r="H184" s="157">
        <f t="shared" si="1"/>
        <v>8</v>
      </c>
      <c r="I184" s="158" t="s">
        <v>13</v>
      </c>
      <c r="J184" s="116">
        <f t="shared" si="2"/>
        <v>7</v>
      </c>
      <c r="K184" s="116" t="str">
        <f t="shared" si="3"/>
        <v>7domingo</v>
      </c>
    </row>
    <row r="185" ht="22.5" customHeight="1">
      <c r="A185" s="135">
        <v>45881.0</v>
      </c>
      <c r="B185" s="136" t="s">
        <v>14</v>
      </c>
      <c r="C185" s="137" t="s">
        <v>9</v>
      </c>
      <c r="D185" s="138">
        <v>23.0</v>
      </c>
      <c r="E185" s="139" t="s">
        <v>10</v>
      </c>
      <c r="F185" s="140" t="s">
        <v>15</v>
      </c>
      <c r="G185" s="141" t="s">
        <v>34</v>
      </c>
      <c r="H185" s="142">
        <f t="shared" si="1"/>
        <v>8</v>
      </c>
      <c r="I185" s="143" t="s">
        <v>16</v>
      </c>
      <c r="J185" s="116">
        <f t="shared" si="2"/>
        <v>2</v>
      </c>
      <c r="K185" s="116" t="str">
        <f t="shared" si="3"/>
        <v>2martes</v>
      </c>
    </row>
    <row r="186" ht="22.5" customHeight="1">
      <c r="A186" s="126">
        <v>45883.0</v>
      </c>
      <c r="B186" s="144" t="s">
        <v>17</v>
      </c>
      <c r="C186" s="128" t="s">
        <v>9</v>
      </c>
      <c r="D186" s="129">
        <v>11.0</v>
      </c>
      <c r="E186" s="130" t="s">
        <v>10</v>
      </c>
      <c r="F186" s="131" t="s">
        <v>11</v>
      </c>
      <c r="G186" s="132" t="s">
        <v>34</v>
      </c>
      <c r="H186" s="157">
        <f t="shared" si="1"/>
        <v>8</v>
      </c>
      <c r="I186" s="158" t="s">
        <v>33</v>
      </c>
      <c r="J186" s="116">
        <f t="shared" si="2"/>
        <v>4</v>
      </c>
      <c r="K186" s="116" t="str">
        <f t="shared" si="3"/>
        <v>4jueves</v>
      </c>
    </row>
    <row r="187" ht="22.5" customHeight="1">
      <c r="A187" s="135">
        <v>45886.0</v>
      </c>
      <c r="B187" s="159" t="s">
        <v>8</v>
      </c>
      <c r="C187" s="137" t="s">
        <v>9</v>
      </c>
      <c r="D187" s="138">
        <v>14.0</v>
      </c>
      <c r="E187" s="139" t="s">
        <v>10</v>
      </c>
      <c r="F187" s="161" t="s">
        <v>11</v>
      </c>
      <c r="G187" s="141" t="s">
        <v>34</v>
      </c>
      <c r="H187" s="148">
        <f t="shared" si="1"/>
        <v>8</v>
      </c>
      <c r="I187" s="149" t="s">
        <v>13</v>
      </c>
      <c r="J187" s="116">
        <f t="shared" si="2"/>
        <v>7</v>
      </c>
      <c r="K187" s="116" t="str">
        <f t="shared" si="3"/>
        <v>7domingo</v>
      </c>
    </row>
    <row r="188" ht="22.5" customHeight="1">
      <c r="A188" s="126">
        <v>45888.0</v>
      </c>
      <c r="B188" s="182" t="s">
        <v>19</v>
      </c>
      <c r="C188" s="128" t="s">
        <v>9</v>
      </c>
      <c r="D188" s="129">
        <v>7.0</v>
      </c>
      <c r="E188" s="130" t="s">
        <v>10</v>
      </c>
      <c r="F188" s="156" t="s">
        <v>15</v>
      </c>
      <c r="G188" s="132" t="s">
        <v>34</v>
      </c>
      <c r="H188" s="198">
        <f t="shared" si="1"/>
        <v>8</v>
      </c>
      <c r="I188" s="199" t="s">
        <v>16</v>
      </c>
      <c r="J188" s="116">
        <f t="shared" si="2"/>
        <v>2</v>
      </c>
      <c r="K188" s="116" t="str">
        <f t="shared" si="3"/>
        <v>2martes</v>
      </c>
    </row>
    <row r="189" ht="22.5" customHeight="1">
      <c r="A189" s="135">
        <v>45890.0</v>
      </c>
      <c r="B189" s="184" t="s">
        <v>26</v>
      </c>
      <c r="C189" s="160" t="s">
        <v>21</v>
      </c>
      <c r="D189" s="138">
        <v>26.0</v>
      </c>
      <c r="E189" s="139" t="s">
        <v>10</v>
      </c>
      <c r="F189" s="161" t="s">
        <v>11</v>
      </c>
      <c r="G189" s="141" t="s">
        <v>34</v>
      </c>
      <c r="H189" s="148">
        <f t="shared" si="1"/>
        <v>8</v>
      </c>
      <c r="I189" s="149" t="s">
        <v>33</v>
      </c>
      <c r="J189" s="116">
        <f t="shared" si="2"/>
        <v>4</v>
      </c>
      <c r="K189" s="116" t="str">
        <f t="shared" si="3"/>
        <v>4jueves</v>
      </c>
    </row>
    <row r="190" ht="22.5" customHeight="1">
      <c r="A190" s="126">
        <v>45893.0</v>
      </c>
      <c r="B190" s="127" t="s">
        <v>8</v>
      </c>
      <c r="C190" s="128" t="s">
        <v>9</v>
      </c>
      <c r="D190" s="129">
        <v>21.0</v>
      </c>
      <c r="E190" s="130" t="s">
        <v>10</v>
      </c>
      <c r="F190" s="131" t="s">
        <v>11</v>
      </c>
      <c r="G190" s="132" t="s">
        <v>34</v>
      </c>
      <c r="H190" s="157">
        <f t="shared" si="1"/>
        <v>8</v>
      </c>
      <c r="I190" s="158" t="s">
        <v>13</v>
      </c>
      <c r="J190" s="116">
        <f t="shared" si="2"/>
        <v>7</v>
      </c>
      <c r="K190" s="116" t="str">
        <f t="shared" si="3"/>
        <v>7domingo</v>
      </c>
    </row>
    <row r="191" ht="22.5" customHeight="1">
      <c r="A191" s="135">
        <v>45895.0</v>
      </c>
      <c r="B191" s="185" t="s">
        <v>17</v>
      </c>
      <c r="C191" s="137" t="s">
        <v>9</v>
      </c>
      <c r="D191" s="138">
        <v>10.0</v>
      </c>
      <c r="E191" s="139" t="s">
        <v>10</v>
      </c>
      <c r="F191" s="140" t="s">
        <v>15</v>
      </c>
      <c r="G191" s="141" t="s">
        <v>34</v>
      </c>
      <c r="H191" s="142">
        <f t="shared" si="1"/>
        <v>8</v>
      </c>
      <c r="I191" s="143" t="s">
        <v>16</v>
      </c>
      <c r="J191" s="116">
        <f t="shared" si="2"/>
        <v>2</v>
      </c>
      <c r="K191" s="116" t="str">
        <f t="shared" si="3"/>
        <v>2martes</v>
      </c>
    </row>
    <row r="192" ht="22.5" customHeight="1">
      <c r="A192" s="126">
        <v>45897.0</v>
      </c>
      <c r="B192" s="127" t="s">
        <v>8</v>
      </c>
      <c r="C192" s="188" t="s">
        <v>24</v>
      </c>
      <c r="D192" s="129">
        <v>14.0</v>
      </c>
      <c r="E192" s="130" t="s">
        <v>10</v>
      </c>
      <c r="F192" s="131" t="s">
        <v>11</v>
      </c>
      <c r="G192" s="132" t="s">
        <v>34</v>
      </c>
      <c r="H192" s="157">
        <f t="shared" si="1"/>
        <v>8</v>
      </c>
      <c r="I192" s="158" t="s">
        <v>33</v>
      </c>
      <c r="J192" s="116">
        <f t="shared" si="2"/>
        <v>4</v>
      </c>
      <c r="K192" s="116" t="str">
        <f t="shared" si="3"/>
        <v>4jueves</v>
      </c>
    </row>
    <row r="193" ht="22.5" customHeight="1">
      <c r="A193" s="135">
        <v>45900.0</v>
      </c>
      <c r="B193" s="194" t="s">
        <v>23</v>
      </c>
      <c r="C193" s="137" t="s">
        <v>9</v>
      </c>
      <c r="D193" s="138">
        <v>19.0</v>
      </c>
      <c r="E193" s="139" t="s">
        <v>10</v>
      </c>
      <c r="F193" s="161" t="s">
        <v>11</v>
      </c>
      <c r="G193" s="141" t="s">
        <v>34</v>
      </c>
      <c r="H193" s="148">
        <f t="shared" si="1"/>
        <v>8</v>
      </c>
      <c r="I193" s="149" t="s">
        <v>13</v>
      </c>
      <c r="J193" s="116">
        <f t="shared" si="2"/>
        <v>7</v>
      </c>
      <c r="K193" s="116" t="str">
        <f t="shared" si="3"/>
        <v>7domingo</v>
      </c>
    </row>
    <row r="194" ht="22.5" customHeight="1">
      <c r="A194" s="126">
        <v>45902.0</v>
      </c>
      <c r="B194" s="127" t="s">
        <v>8</v>
      </c>
      <c r="C194" s="128" t="s">
        <v>9</v>
      </c>
      <c r="D194" s="129">
        <v>14.0</v>
      </c>
      <c r="E194" s="130" t="s">
        <v>10</v>
      </c>
      <c r="F194" s="156" t="s">
        <v>15</v>
      </c>
      <c r="G194" s="132" t="s">
        <v>35</v>
      </c>
      <c r="H194" s="198">
        <f t="shared" si="1"/>
        <v>9</v>
      </c>
      <c r="I194" s="199" t="s">
        <v>16</v>
      </c>
      <c r="J194" s="116">
        <f t="shared" si="2"/>
        <v>2</v>
      </c>
      <c r="K194" s="116" t="str">
        <f t="shared" si="3"/>
        <v>2martes</v>
      </c>
    </row>
    <row r="195" ht="22.5" customHeight="1">
      <c r="A195" s="135">
        <v>45903.0</v>
      </c>
      <c r="B195" s="185" t="s">
        <v>17</v>
      </c>
      <c r="C195" s="137" t="s">
        <v>9</v>
      </c>
      <c r="D195" s="138">
        <v>9.0</v>
      </c>
      <c r="E195" s="139" t="s">
        <v>10</v>
      </c>
      <c r="F195" s="161" t="s">
        <v>11</v>
      </c>
      <c r="G195" s="141" t="s">
        <v>35</v>
      </c>
      <c r="H195" s="200">
        <f t="shared" si="1"/>
        <v>9</v>
      </c>
      <c r="I195" s="201" t="s">
        <v>18</v>
      </c>
      <c r="J195" s="116">
        <f t="shared" si="2"/>
        <v>3</v>
      </c>
      <c r="K195" s="116" t="str">
        <f t="shared" si="3"/>
        <v>3miércoles</v>
      </c>
    </row>
    <row r="196" ht="22.5" customHeight="1">
      <c r="A196" s="126">
        <v>45905.0</v>
      </c>
      <c r="B196" s="191" t="s">
        <v>14</v>
      </c>
      <c r="C196" s="128" t="s">
        <v>9</v>
      </c>
      <c r="D196" s="129">
        <v>21.0</v>
      </c>
      <c r="E196" s="130" t="s">
        <v>10</v>
      </c>
      <c r="F196" s="131" t="s">
        <v>11</v>
      </c>
      <c r="G196" s="132" t="s">
        <v>35</v>
      </c>
      <c r="H196" s="202">
        <f t="shared" si="1"/>
        <v>9</v>
      </c>
      <c r="I196" s="203" t="s">
        <v>20</v>
      </c>
      <c r="J196" s="116">
        <f t="shared" si="2"/>
        <v>5</v>
      </c>
      <c r="K196" s="116" t="str">
        <f t="shared" si="3"/>
        <v>5viernes</v>
      </c>
    </row>
    <row r="197" ht="22.5" customHeight="1">
      <c r="A197" s="135">
        <v>45907.0</v>
      </c>
      <c r="B197" s="159" t="s">
        <v>8</v>
      </c>
      <c r="C197" s="160" t="s">
        <v>21</v>
      </c>
      <c r="D197" s="138">
        <v>14.0</v>
      </c>
      <c r="E197" s="139" t="s">
        <v>10</v>
      </c>
      <c r="F197" s="140" t="s">
        <v>15</v>
      </c>
      <c r="G197" s="141" t="s">
        <v>35</v>
      </c>
      <c r="H197" s="148">
        <f t="shared" si="1"/>
        <v>9</v>
      </c>
      <c r="I197" s="149" t="s">
        <v>13</v>
      </c>
      <c r="J197" s="116">
        <f t="shared" si="2"/>
        <v>7</v>
      </c>
      <c r="K197" s="116" t="str">
        <f t="shared" si="3"/>
        <v>7domingo</v>
      </c>
    </row>
    <row r="198" ht="22.5" customHeight="1">
      <c r="A198" s="126">
        <v>45909.0</v>
      </c>
      <c r="B198" s="182" t="s">
        <v>19</v>
      </c>
      <c r="C198" s="128" t="s">
        <v>9</v>
      </c>
      <c r="D198" s="129">
        <v>7.0</v>
      </c>
      <c r="E198" s="130" t="s">
        <v>10</v>
      </c>
      <c r="F198" s="131" t="s">
        <v>11</v>
      </c>
      <c r="G198" s="132" t="s">
        <v>35</v>
      </c>
      <c r="H198" s="198">
        <f t="shared" si="1"/>
        <v>9</v>
      </c>
      <c r="I198" s="199" t="s">
        <v>16</v>
      </c>
      <c r="J198" s="116">
        <f t="shared" si="2"/>
        <v>2</v>
      </c>
      <c r="K198" s="116" t="str">
        <f t="shared" si="3"/>
        <v>2martes</v>
      </c>
    </row>
    <row r="199" ht="22.5" customHeight="1">
      <c r="A199" s="135">
        <v>45910.0</v>
      </c>
      <c r="B199" s="185" t="s">
        <v>17</v>
      </c>
      <c r="C199" s="172" t="s">
        <v>24</v>
      </c>
      <c r="D199" s="138">
        <v>12.0</v>
      </c>
      <c r="E199" s="139" t="s">
        <v>10</v>
      </c>
      <c r="F199" s="161" t="s">
        <v>11</v>
      </c>
      <c r="G199" s="141" t="s">
        <v>35</v>
      </c>
      <c r="H199" s="200">
        <f t="shared" si="1"/>
        <v>9</v>
      </c>
      <c r="I199" s="201" t="s">
        <v>18</v>
      </c>
      <c r="J199" s="116">
        <f t="shared" si="2"/>
        <v>3</v>
      </c>
      <c r="K199" s="116" t="str">
        <f t="shared" si="3"/>
        <v>3miércoles</v>
      </c>
    </row>
    <row r="200" ht="22.5" customHeight="1">
      <c r="A200" s="126">
        <v>45912.0</v>
      </c>
      <c r="B200" s="127" t="s">
        <v>8</v>
      </c>
      <c r="C200" s="128" t="s">
        <v>9</v>
      </c>
      <c r="D200" s="129">
        <v>14.0</v>
      </c>
      <c r="E200" s="130" t="s">
        <v>10</v>
      </c>
      <c r="F200" s="156" t="s">
        <v>15</v>
      </c>
      <c r="G200" s="132" t="s">
        <v>35</v>
      </c>
      <c r="H200" s="202">
        <f t="shared" si="1"/>
        <v>9</v>
      </c>
      <c r="I200" s="203" t="s">
        <v>20</v>
      </c>
      <c r="J200" s="116">
        <f t="shared" si="2"/>
        <v>5</v>
      </c>
      <c r="K200" s="116" t="str">
        <f t="shared" si="3"/>
        <v>5viernes</v>
      </c>
    </row>
    <row r="201" ht="22.5" customHeight="1">
      <c r="A201" s="135">
        <v>45914.0</v>
      </c>
      <c r="B201" s="159" t="s">
        <v>8</v>
      </c>
      <c r="C201" s="137" t="s">
        <v>9</v>
      </c>
      <c r="D201" s="138">
        <v>16.0</v>
      </c>
      <c r="E201" s="193" t="s">
        <v>22</v>
      </c>
      <c r="F201" s="161" t="s">
        <v>11</v>
      </c>
      <c r="G201" s="141" t="s">
        <v>35</v>
      </c>
      <c r="H201" s="148">
        <f t="shared" si="1"/>
        <v>9</v>
      </c>
      <c r="I201" s="149" t="s">
        <v>13</v>
      </c>
      <c r="J201" s="116">
        <f t="shared" si="2"/>
        <v>7</v>
      </c>
      <c r="K201" s="116" t="str">
        <f t="shared" si="3"/>
        <v>7domingo</v>
      </c>
    </row>
    <row r="202" ht="22.5" customHeight="1">
      <c r="A202" s="126">
        <v>45916.0</v>
      </c>
      <c r="B202" s="171" t="s">
        <v>23</v>
      </c>
      <c r="C202" s="128" t="s">
        <v>9</v>
      </c>
      <c r="D202" s="129">
        <v>18.0</v>
      </c>
      <c r="E202" s="130" t="s">
        <v>10</v>
      </c>
      <c r="F202" s="156" t="s">
        <v>15</v>
      </c>
      <c r="G202" s="132" t="s">
        <v>35</v>
      </c>
      <c r="H202" s="198">
        <f t="shared" si="1"/>
        <v>9</v>
      </c>
      <c r="I202" s="199" t="s">
        <v>16</v>
      </c>
      <c r="J202" s="116">
        <f t="shared" si="2"/>
        <v>2</v>
      </c>
      <c r="K202" s="116" t="str">
        <f t="shared" si="3"/>
        <v>2martes</v>
      </c>
    </row>
    <row r="203" ht="22.5" customHeight="1">
      <c r="A203" s="135">
        <v>45917.0</v>
      </c>
      <c r="B203" s="185" t="s">
        <v>17</v>
      </c>
      <c r="C203" s="137" t="s">
        <v>9</v>
      </c>
      <c r="D203" s="138">
        <v>10.0</v>
      </c>
      <c r="E203" s="139" t="s">
        <v>10</v>
      </c>
      <c r="F203" s="161" t="s">
        <v>11</v>
      </c>
      <c r="G203" s="141" t="s">
        <v>35</v>
      </c>
      <c r="H203" s="200">
        <f t="shared" si="1"/>
        <v>9</v>
      </c>
      <c r="I203" s="201" t="s">
        <v>18</v>
      </c>
      <c r="J203" s="116">
        <f t="shared" si="2"/>
        <v>3</v>
      </c>
      <c r="K203" s="116" t="str">
        <f t="shared" si="3"/>
        <v>3miércoles</v>
      </c>
    </row>
    <row r="204" ht="22.5" customHeight="1">
      <c r="A204" s="126">
        <v>45919.0</v>
      </c>
      <c r="B204" s="191" t="s">
        <v>14</v>
      </c>
      <c r="C204" s="128" t="s">
        <v>9</v>
      </c>
      <c r="D204" s="129">
        <v>22.0</v>
      </c>
      <c r="E204" s="130" t="s">
        <v>10</v>
      </c>
      <c r="F204" s="131" t="s">
        <v>11</v>
      </c>
      <c r="G204" s="132" t="s">
        <v>35</v>
      </c>
      <c r="H204" s="202">
        <f t="shared" si="1"/>
        <v>9</v>
      </c>
      <c r="I204" s="203" t="s">
        <v>20</v>
      </c>
      <c r="J204" s="116">
        <f t="shared" si="2"/>
        <v>5</v>
      </c>
      <c r="K204" s="116" t="str">
        <f t="shared" si="3"/>
        <v>5viernes</v>
      </c>
    </row>
    <row r="205" ht="22.5" customHeight="1">
      <c r="A205" s="135">
        <v>45921.0</v>
      </c>
      <c r="B205" s="159" t="s">
        <v>8</v>
      </c>
      <c r="C205" s="137" t="s">
        <v>9</v>
      </c>
      <c r="D205" s="138">
        <v>14.0</v>
      </c>
      <c r="E205" s="139" t="s">
        <v>10</v>
      </c>
      <c r="F205" s="140" t="s">
        <v>15</v>
      </c>
      <c r="G205" s="141" t="s">
        <v>35</v>
      </c>
      <c r="H205" s="148">
        <f t="shared" si="1"/>
        <v>9</v>
      </c>
      <c r="I205" s="149" t="s">
        <v>13</v>
      </c>
      <c r="J205" s="116">
        <f t="shared" si="2"/>
        <v>7</v>
      </c>
      <c r="K205" s="116" t="str">
        <f t="shared" si="3"/>
        <v>7domingo</v>
      </c>
    </row>
    <row r="206" ht="22.5" customHeight="1">
      <c r="A206" s="126">
        <v>45923.0</v>
      </c>
      <c r="B206" s="182" t="s">
        <v>19</v>
      </c>
      <c r="C206" s="128" t="s">
        <v>9</v>
      </c>
      <c r="D206" s="129">
        <v>7.0</v>
      </c>
      <c r="E206" s="130" t="s">
        <v>10</v>
      </c>
      <c r="F206" s="131" t="s">
        <v>11</v>
      </c>
      <c r="G206" s="132" t="s">
        <v>35</v>
      </c>
      <c r="H206" s="198">
        <f t="shared" si="1"/>
        <v>9</v>
      </c>
      <c r="I206" s="199" t="s">
        <v>16</v>
      </c>
      <c r="J206" s="116">
        <f t="shared" si="2"/>
        <v>2</v>
      </c>
      <c r="K206" s="116" t="str">
        <f t="shared" si="3"/>
        <v>2martes</v>
      </c>
    </row>
    <row r="207" ht="22.5" customHeight="1">
      <c r="A207" s="135">
        <v>45924.0</v>
      </c>
      <c r="B207" s="159" t="s">
        <v>8</v>
      </c>
      <c r="C207" s="172" t="s">
        <v>24</v>
      </c>
      <c r="D207" s="138">
        <v>14.0</v>
      </c>
      <c r="E207" s="139" t="s">
        <v>10</v>
      </c>
      <c r="F207" s="161" t="s">
        <v>11</v>
      </c>
      <c r="G207" s="141" t="s">
        <v>35</v>
      </c>
      <c r="H207" s="200">
        <f t="shared" si="1"/>
        <v>9</v>
      </c>
      <c r="I207" s="201" t="s">
        <v>18</v>
      </c>
      <c r="J207" s="116">
        <f t="shared" si="2"/>
        <v>3</v>
      </c>
      <c r="K207" s="116" t="str">
        <f t="shared" si="3"/>
        <v>3miércoles</v>
      </c>
    </row>
    <row r="208" ht="22.5" customHeight="1">
      <c r="A208" s="126">
        <v>45926.0</v>
      </c>
      <c r="B208" s="183" t="s">
        <v>26</v>
      </c>
      <c r="C208" s="128" t="s">
        <v>9</v>
      </c>
      <c r="D208" s="129">
        <v>24.0</v>
      </c>
      <c r="E208" s="130" t="s">
        <v>10</v>
      </c>
      <c r="F208" s="156" t="s">
        <v>15</v>
      </c>
      <c r="G208" s="132" t="s">
        <v>35</v>
      </c>
      <c r="H208" s="202">
        <f t="shared" si="1"/>
        <v>9</v>
      </c>
      <c r="I208" s="203" t="s">
        <v>20</v>
      </c>
      <c r="J208" s="116">
        <f t="shared" si="2"/>
        <v>5</v>
      </c>
      <c r="K208" s="116" t="str">
        <f t="shared" si="3"/>
        <v>5viernes</v>
      </c>
    </row>
    <row r="209" ht="22.5" customHeight="1">
      <c r="A209" s="135">
        <v>45928.0</v>
      </c>
      <c r="B209" s="185" t="s">
        <v>17</v>
      </c>
      <c r="C209" s="137" t="s">
        <v>9</v>
      </c>
      <c r="D209" s="138">
        <v>9.0</v>
      </c>
      <c r="E209" s="139" t="s">
        <v>10</v>
      </c>
      <c r="F209" s="161" t="s">
        <v>11</v>
      </c>
      <c r="G209" s="141" t="s">
        <v>35</v>
      </c>
      <c r="H209" s="148">
        <f t="shared" si="1"/>
        <v>9</v>
      </c>
      <c r="I209" s="149" t="s">
        <v>13</v>
      </c>
      <c r="J209" s="116">
        <f t="shared" si="2"/>
        <v>7</v>
      </c>
      <c r="K209" s="116" t="str">
        <f t="shared" si="3"/>
        <v>7domingo</v>
      </c>
    </row>
    <row r="210" ht="22.5" customHeight="1">
      <c r="A210" s="126">
        <v>45930.0</v>
      </c>
      <c r="B210" s="127" t="s">
        <v>8</v>
      </c>
      <c r="C210" s="128" t="s">
        <v>9</v>
      </c>
      <c r="D210" s="129">
        <v>14.0</v>
      </c>
      <c r="E210" s="130" t="s">
        <v>10</v>
      </c>
      <c r="F210" s="131" t="s">
        <v>11</v>
      </c>
      <c r="G210" s="132" t="s">
        <v>35</v>
      </c>
      <c r="H210" s="198">
        <f t="shared" si="1"/>
        <v>9</v>
      </c>
      <c r="I210" s="199" t="s">
        <v>16</v>
      </c>
      <c r="J210" s="116">
        <f t="shared" si="2"/>
        <v>2</v>
      </c>
      <c r="K210" s="116" t="str">
        <f t="shared" si="3"/>
        <v>2martes</v>
      </c>
    </row>
    <row r="211" ht="22.5" customHeight="1">
      <c r="A211" s="135">
        <v>45931.0</v>
      </c>
      <c r="B211" s="136" t="s">
        <v>14</v>
      </c>
      <c r="C211" s="137" t="s">
        <v>9</v>
      </c>
      <c r="D211" s="138">
        <v>21.0</v>
      </c>
      <c r="E211" s="139" t="s">
        <v>10</v>
      </c>
      <c r="F211" s="140" t="s">
        <v>15</v>
      </c>
      <c r="G211" s="141" t="s">
        <v>36</v>
      </c>
      <c r="H211" s="200">
        <f t="shared" si="1"/>
        <v>10</v>
      </c>
      <c r="I211" s="201" t="s">
        <v>18</v>
      </c>
      <c r="J211" s="116">
        <f t="shared" si="2"/>
        <v>3</v>
      </c>
      <c r="K211" s="116" t="str">
        <f t="shared" si="3"/>
        <v>3miércoles</v>
      </c>
    </row>
    <row r="212" ht="22.5" customHeight="1">
      <c r="A212" s="126">
        <v>45933.0</v>
      </c>
      <c r="B212" s="127" t="s">
        <v>8</v>
      </c>
      <c r="C212" s="154" t="s">
        <v>21</v>
      </c>
      <c r="D212" s="129">
        <v>14.0</v>
      </c>
      <c r="E212" s="130" t="s">
        <v>10</v>
      </c>
      <c r="F212" s="131" t="s">
        <v>11</v>
      </c>
      <c r="G212" s="132" t="s">
        <v>36</v>
      </c>
      <c r="H212" s="202">
        <f t="shared" si="1"/>
        <v>10</v>
      </c>
      <c r="I212" s="203" t="s">
        <v>20</v>
      </c>
      <c r="J212" s="116">
        <f t="shared" si="2"/>
        <v>5</v>
      </c>
      <c r="K212" s="116" t="str">
        <f t="shared" si="3"/>
        <v>5viernes</v>
      </c>
    </row>
    <row r="213" ht="22.5" customHeight="1">
      <c r="A213" s="135">
        <v>45935.0</v>
      </c>
      <c r="B213" s="147" t="s">
        <v>19</v>
      </c>
      <c r="C213" s="137" t="s">
        <v>9</v>
      </c>
      <c r="D213" s="138">
        <v>7.0</v>
      </c>
      <c r="E213" s="139" t="s">
        <v>10</v>
      </c>
      <c r="F213" s="161" t="s">
        <v>11</v>
      </c>
      <c r="G213" s="141" t="s">
        <v>36</v>
      </c>
      <c r="H213" s="148">
        <f t="shared" si="1"/>
        <v>10</v>
      </c>
      <c r="I213" s="149" t="s">
        <v>13</v>
      </c>
      <c r="J213" s="116">
        <f t="shared" si="2"/>
        <v>7</v>
      </c>
      <c r="K213" s="116" t="str">
        <f t="shared" si="3"/>
        <v>7domingo</v>
      </c>
    </row>
    <row r="214" ht="22.5" customHeight="1">
      <c r="A214" s="126">
        <v>45937.0</v>
      </c>
      <c r="B214" s="144" t="s">
        <v>17</v>
      </c>
      <c r="C214" s="128" t="s">
        <v>9</v>
      </c>
      <c r="D214" s="129">
        <v>11.0</v>
      </c>
      <c r="E214" s="130" t="s">
        <v>10</v>
      </c>
      <c r="F214" s="156" t="s">
        <v>15</v>
      </c>
      <c r="G214" s="132" t="s">
        <v>36</v>
      </c>
      <c r="H214" s="198">
        <f t="shared" si="1"/>
        <v>10</v>
      </c>
      <c r="I214" s="199" t="s">
        <v>16</v>
      </c>
      <c r="J214" s="116">
        <f t="shared" si="2"/>
        <v>2</v>
      </c>
      <c r="K214" s="116" t="str">
        <f t="shared" si="3"/>
        <v>2martes</v>
      </c>
    </row>
    <row r="215" ht="22.5" customHeight="1">
      <c r="A215" s="135">
        <v>45938.0</v>
      </c>
      <c r="B215" s="159" t="s">
        <v>8</v>
      </c>
      <c r="C215" s="137" t="s">
        <v>9</v>
      </c>
      <c r="D215" s="138">
        <v>14.0</v>
      </c>
      <c r="E215" s="139" t="s">
        <v>10</v>
      </c>
      <c r="F215" s="161" t="s">
        <v>11</v>
      </c>
      <c r="G215" s="141" t="s">
        <v>36</v>
      </c>
      <c r="H215" s="200">
        <f t="shared" si="1"/>
        <v>10</v>
      </c>
      <c r="I215" s="201" t="s">
        <v>18</v>
      </c>
      <c r="J215" s="116">
        <f t="shared" si="2"/>
        <v>3</v>
      </c>
      <c r="K215" s="116" t="str">
        <f t="shared" si="3"/>
        <v>3miércoles</v>
      </c>
    </row>
    <row r="216" ht="22.5" customHeight="1">
      <c r="A216" s="126">
        <v>45940.0</v>
      </c>
      <c r="B216" s="127" t="s">
        <v>8</v>
      </c>
      <c r="C216" s="128" t="s">
        <v>9</v>
      </c>
      <c r="D216" s="129">
        <v>15.0</v>
      </c>
      <c r="E216" s="130" t="s">
        <v>10</v>
      </c>
      <c r="F216" s="131" t="s">
        <v>11</v>
      </c>
      <c r="G216" s="132" t="s">
        <v>36</v>
      </c>
      <c r="H216" s="202">
        <f t="shared" si="1"/>
        <v>10</v>
      </c>
      <c r="I216" s="203" t="s">
        <v>20</v>
      </c>
      <c r="J216" s="116">
        <f t="shared" si="2"/>
        <v>5</v>
      </c>
      <c r="K216" s="116" t="str">
        <f t="shared" si="3"/>
        <v>5viernes</v>
      </c>
    </row>
    <row r="217" ht="22.5" customHeight="1">
      <c r="A217" s="135">
        <v>45942.0</v>
      </c>
      <c r="B217" s="194" t="s">
        <v>23</v>
      </c>
      <c r="C217" s="137" t="s">
        <v>9</v>
      </c>
      <c r="D217" s="138">
        <v>20.0</v>
      </c>
      <c r="E217" s="139" t="s">
        <v>10</v>
      </c>
      <c r="F217" s="140" t="s">
        <v>15</v>
      </c>
      <c r="G217" s="141" t="s">
        <v>36</v>
      </c>
      <c r="H217" s="148">
        <f t="shared" si="1"/>
        <v>10</v>
      </c>
      <c r="I217" s="149" t="s">
        <v>13</v>
      </c>
      <c r="J217" s="116">
        <f t="shared" si="2"/>
        <v>7</v>
      </c>
      <c r="K217" s="116" t="str">
        <f t="shared" si="3"/>
        <v>7domingo</v>
      </c>
    </row>
    <row r="218" ht="22.5" customHeight="1">
      <c r="A218" s="126">
        <v>45944.0</v>
      </c>
      <c r="B218" s="144" t="s">
        <v>17</v>
      </c>
      <c r="C218" s="188" t="s">
        <v>24</v>
      </c>
      <c r="D218" s="129">
        <v>10.0</v>
      </c>
      <c r="E218" s="130" t="s">
        <v>10</v>
      </c>
      <c r="F218" s="131" t="s">
        <v>11</v>
      </c>
      <c r="G218" s="132" t="s">
        <v>36</v>
      </c>
      <c r="H218" s="198">
        <f t="shared" si="1"/>
        <v>10</v>
      </c>
      <c r="I218" s="199" t="s">
        <v>16</v>
      </c>
      <c r="J218" s="116">
        <f t="shared" si="2"/>
        <v>2</v>
      </c>
      <c r="K218" s="116" t="str">
        <f t="shared" si="3"/>
        <v>2martes</v>
      </c>
    </row>
    <row r="219" ht="22.5" customHeight="1">
      <c r="A219" s="135">
        <v>45945.0</v>
      </c>
      <c r="B219" s="136" t="s">
        <v>14</v>
      </c>
      <c r="C219" s="137" t="s">
        <v>9</v>
      </c>
      <c r="D219" s="138">
        <v>23.0</v>
      </c>
      <c r="E219" s="139" t="s">
        <v>10</v>
      </c>
      <c r="F219" s="161" t="s">
        <v>11</v>
      </c>
      <c r="G219" s="141" t="s">
        <v>36</v>
      </c>
      <c r="H219" s="200">
        <f t="shared" si="1"/>
        <v>10</v>
      </c>
      <c r="I219" s="201" t="s">
        <v>18</v>
      </c>
      <c r="J219" s="116">
        <f t="shared" si="2"/>
        <v>3</v>
      </c>
      <c r="K219" s="116" t="str">
        <f t="shared" si="3"/>
        <v>3miércoles</v>
      </c>
    </row>
    <row r="220" ht="22.5" customHeight="1">
      <c r="A220" s="126">
        <v>45947.0</v>
      </c>
      <c r="B220" s="127" t="s">
        <v>8</v>
      </c>
      <c r="C220" s="128" t="s">
        <v>9</v>
      </c>
      <c r="D220" s="129">
        <v>14.0</v>
      </c>
      <c r="E220" s="130" t="s">
        <v>10</v>
      </c>
      <c r="F220" s="156" t="s">
        <v>15</v>
      </c>
      <c r="G220" s="132" t="s">
        <v>36</v>
      </c>
      <c r="H220" s="202">
        <f t="shared" si="1"/>
        <v>10</v>
      </c>
      <c r="I220" s="203" t="s">
        <v>20</v>
      </c>
      <c r="J220" s="116">
        <f t="shared" si="2"/>
        <v>5</v>
      </c>
      <c r="K220" s="116" t="str">
        <f t="shared" si="3"/>
        <v>5viernes</v>
      </c>
    </row>
    <row r="221" ht="22.5" customHeight="1">
      <c r="A221" s="135">
        <v>45949.0</v>
      </c>
      <c r="B221" s="147" t="s">
        <v>19</v>
      </c>
      <c r="C221" s="137" t="s">
        <v>9</v>
      </c>
      <c r="D221" s="138">
        <v>7.0</v>
      </c>
      <c r="E221" s="139" t="s">
        <v>10</v>
      </c>
      <c r="F221" s="161" t="s">
        <v>11</v>
      </c>
      <c r="G221" s="141" t="s">
        <v>36</v>
      </c>
      <c r="H221" s="148">
        <f t="shared" si="1"/>
        <v>10</v>
      </c>
      <c r="I221" s="149" t="s">
        <v>13</v>
      </c>
      <c r="J221" s="116">
        <f t="shared" si="2"/>
        <v>7</v>
      </c>
      <c r="K221" s="116" t="str">
        <f t="shared" si="3"/>
        <v>7domingo</v>
      </c>
    </row>
    <row r="222" ht="22.5" customHeight="1">
      <c r="A222" s="126">
        <v>45951.0</v>
      </c>
      <c r="B222" s="127" t="s">
        <v>8</v>
      </c>
      <c r="C222" s="128" t="s">
        <v>9</v>
      </c>
      <c r="D222" s="129">
        <v>14.0</v>
      </c>
      <c r="E222" s="130" t="s">
        <v>10</v>
      </c>
      <c r="F222" s="131" t="s">
        <v>11</v>
      </c>
      <c r="G222" s="132" t="s">
        <v>36</v>
      </c>
      <c r="H222" s="198">
        <f t="shared" si="1"/>
        <v>10</v>
      </c>
      <c r="I222" s="199" t="s">
        <v>16</v>
      </c>
      <c r="J222" s="116">
        <f t="shared" si="2"/>
        <v>2</v>
      </c>
      <c r="K222" s="116" t="str">
        <f t="shared" si="3"/>
        <v>2martes</v>
      </c>
    </row>
    <row r="223" ht="22.5" customHeight="1">
      <c r="A223" s="135">
        <v>45952.0</v>
      </c>
      <c r="B223" s="185" t="s">
        <v>17</v>
      </c>
      <c r="C223" s="137" t="s">
        <v>9</v>
      </c>
      <c r="D223" s="138">
        <v>9.0</v>
      </c>
      <c r="E223" s="139" t="s">
        <v>10</v>
      </c>
      <c r="F223" s="140" t="s">
        <v>15</v>
      </c>
      <c r="G223" s="141" t="s">
        <v>36</v>
      </c>
      <c r="H223" s="200">
        <f t="shared" si="1"/>
        <v>10</v>
      </c>
      <c r="I223" s="201" t="s">
        <v>18</v>
      </c>
      <c r="J223" s="116">
        <f t="shared" si="2"/>
        <v>3</v>
      </c>
      <c r="K223" s="116" t="str">
        <f t="shared" si="3"/>
        <v>3miércoles</v>
      </c>
    </row>
    <row r="224" ht="22.5" customHeight="1">
      <c r="A224" s="126">
        <v>45954.0</v>
      </c>
      <c r="B224" s="183" t="s">
        <v>26</v>
      </c>
      <c r="C224" s="154" t="s">
        <v>21</v>
      </c>
      <c r="D224" s="129">
        <v>25.0</v>
      </c>
      <c r="E224" s="130" t="s">
        <v>10</v>
      </c>
      <c r="F224" s="131" t="s">
        <v>11</v>
      </c>
      <c r="G224" s="132" t="s">
        <v>36</v>
      </c>
      <c r="H224" s="202">
        <f t="shared" si="1"/>
        <v>10</v>
      </c>
      <c r="I224" s="203" t="s">
        <v>20</v>
      </c>
      <c r="J224" s="116">
        <f t="shared" si="2"/>
        <v>5</v>
      </c>
      <c r="K224" s="116" t="str">
        <f t="shared" si="3"/>
        <v>5viernes</v>
      </c>
    </row>
    <row r="225" ht="22.5" customHeight="1">
      <c r="A225" s="135">
        <v>45956.0</v>
      </c>
      <c r="B225" s="159" t="s">
        <v>8</v>
      </c>
      <c r="C225" s="137" t="s">
        <v>9</v>
      </c>
      <c r="D225" s="138">
        <v>14.0</v>
      </c>
      <c r="E225" s="139" t="s">
        <v>10</v>
      </c>
      <c r="F225" s="161" t="s">
        <v>11</v>
      </c>
      <c r="G225" s="141" t="s">
        <v>36</v>
      </c>
      <c r="H225" s="148">
        <f t="shared" si="1"/>
        <v>10</v>
      </c>
      <c r="I225" s="149" t="s">
        <v>13</v>
      </c>
      <c r="J225" s="116">
        <f t="shared" si="2"/>
        <v>7</v>
      </c>
      <c r="K225" s="116" t="str">
        <f t="shared" si="3"/>
        <v>7domingo</v>
      </c>
    </row>
    <row r="226" ht="22.5" customHeight="1">
      <c r="A226" s="126">
        <v>45958.0</v>
      </c>
      <c r="B226" s="127" t="s">
        <v>8</v>
      </c>
      <c r="C226" s="188" t="s">
        <v>24</v>
      </c>
      <c r="D226" s="129">
        <v>16.0</v>
      </c>
      <c r="E226" s="130" t="s">
        <v>10</v>
      </c>
      <c r="F226" s="156" t="s">
        <v>15</v>
      </c>
      <c r="G226" s="132" t="s">
        <v>36</v>
      </c>
      <c r="H226" s="198">
        <f t="shared" si="1"/>
        <v>10</v>
      </c>
      <c r="I226" s="199" t="s">
        <v>16</v>
      </c>
      <c r="J226" s="116">
        <f t="shared" si="2"/>
        <v>2</v>
      </c>
      <c r="K226" s="116" t="str">
        <f t="shared" si="3"/>
        <v>2martes</v>
      </c>
    </row>
    <row r="227" ht="22.5" customHeight="1">
      <c r="A227" s="135">
        <v>45959.0</v>
      </c>
      <c r="B227" s="136" t="s">
        <v>14</v>
      </c>
      <c r="C227" s="137" t="s">
        <v>9</v>
      </c>
      <c r="D227" s="138">
        <v>21.0</v>
      </c>
      <c r="E227" s="139" t="s">
        <v>10</v>
      </c>
      <c r="F227" s="161" t="s">
        <v>11</v>
      </c>
      <c r="G227" s="141" t="s">
        <v>36</v>
      </c>
      <c r="H227" s="200">
        <f t="shared" si="1"/>
        <v>10</v>
      </c>
      <c r="I227" s="201" t="s">
        <v>18</v>
      </c>
      <c r="J227" s="116">
        <f t="shared" si="2"/>
        <v>3</v>
      </c>
      <c r="K227" s="116" t="str">
        <f t="shared" si="3"/>
        <v>3miércoles</v>
      </c>
    </row>
    <row r="228" ht="22.5" customHeight="1">
      <c r="A228" s="126">
        <v>45961.0</v>
      </c>
      <c r="B228" s="144" t="s">
        <v>17</v>
      </c>
      <c r="C228" s="128" t="s">
        <v>9</v>
      </c>
      <c r="D228" s="129">
        <v>10.0</v>
      </c>
      <c r="E228" s="130" t="s">
        <v>10</v>
      </c>
      <c r="F228" s="131" t="s">
        <v>11</v>
      </c>
      <c r="G228" s="132" t="s">
        <v>36</v>
      </c>
      <c r="H228" s="202">
        <f t="shared" si="1"/>
        <v>10</v>
      </c>
      <c r="I228" s="203" t="s">
        <v>20</v>
      </c>
      <c r="J228" s="116">
        <f t="shared" si="2"/>
        <v>5</v>
      </c>
      <c r="K228" s="116" t="str">
        <f t="shared" si="3"/>
        <v>5viernes</v>
      </c>
    </row>
    <row r="229" ht="22.5" customHeight="1">
      <c r="A229" s="135">
        <v>45963.0</v>
      </c>
      <c r="B229" s="159" t="s">
        <v>8</v>
      </c>
      <c r="C229" s="137" t="s">
        <v>9</v>
      </c>
      <c r="D229" s="138">
        <v>14.0</v>
      </c>
      <c r="E229" s="139" t="s">
        <v>10</v>
      </c>
      <c r="F229" s="140" t="s">
        <v>15</v>
      </c>
      <c r="G229" s="141" t="s">
        <v>37</v>
      </c>
      <c r="H229" s="148">
        <f t="shared" si="1"/>
        <v>11</v>
      </c>
      <c r="I229" s="149" t="s">
        <v>13</v>
      </c>
      <c r="J229" s="116">
        <f t="shared" si="2"/>
        <v>7</v>
      </c>
      <c r="K229" s="116" t="str">
        <f t="shared" si="3"/>
        <v>7domingo</v>
      </c>
    </row>
    <row r="230" ht="22.5" customHeight="1">
      <c r="A230" s="126">
        <v>45965.0</v>
      </c>
      <c r="B230" s="182" t="s">
        <v>19</v>
      </c>
      <c r="C230" s="128" t="s">
        <v>9</v>
      </c>
      <c r="D230" s="129">
        <v>7.0</v>
      </c>
      <c r="E230" s="130" t="s">
        <v>10</v>
      </c>
      <c r="F230" s="131" t="s">
        <v>11</v>
      </c>
      <c r="G230" s="132" t="s">
        <v>37</v>
      </c>
      <c r="H230" s="198">
        <f t="shared" si="1"/>
        <v>11</v>
      </c>
      <c r="I230" s="199" t="s">
        <v>16</v>
      </c>
      <c r="J230" s="116">
        <f t="shared" si="2"/>
        <v>2</v>
      </c>
      <c r="K230" s="116" t="str">
        <f t="shared" si="3"/>
        <v>2martes</v>
      </c>
    </row>
    <row r="231" ht="22.5" customHeight="1">
      <c r="A231" s="135">
        <v>45966.0</v>
      </c>
      <c r="B231" s="159" t="s">
        <v>8</v>
      </c>
      <c r="C231" s="160" t="s">
        <v>21</v>
      </c>
      <c r="D231" s="138">
        <v>14.0</v>
      </c>
      <c r="E231" s="139" t="s">
        <v>10</v>
      </c>
      <c r="F231" s="161" t="s">
        <v>11</v>
      </c>
      <c r="G231" s="141" t="s">
        <v>37</v>
      </c>
      <c r="H231" s="200">
        <f t="shared" si="1"/>
        <v>11</v>
      </c>
      <c r="I231" s="201" t="s">
        <v>18</v>
      </c>
      <c r="J231" s="116">
        <f t="shared" si="2"/>
        <v>3</v>
      </c>
      <c r="K231" s="116" t="str">
        <f t="shared" si="3"/>
        <v>3miércoles</v>
      </c>
    </row>
    <row r="232" ht="22.5" customHeight="1">
      <c r="A232" s="126">
        <v>45968.0</v>
      </c>
      <c r="B232" s="144" t="s">
        <v>17</v>
      </c>
      <c r="C232" s="128" t="s">
        <v>9</v>
      </c>
      <c r="D232" s="129">
        <v>12.0</v>
      </c>
      <c r="E232" s="130" t="s">
        <v>10</v>
      </c>
      <c r="F232" s="156" t="s">
        <v>15</v>
      </c>
      <c r="G232" s="132" t="s">
        <v>37</v>
      </c>
      <c r="H232" s="202">
        <f t="shared" si="1"/>
        <v>11</v>
      </c>
      <c r="I232" s="203" t="s">
        <v>20</v>
      </c>
      <c r="J232" s="116">
        <f t="shared" si="2"/>
        <v>5</v>
      </c>
      <c r="K232" s="116" t="str">
        <f t="shared" si="3"/>
        <v>5viernes</v>
      </c>
    </row>
    <row r="233" ht="22.5" customHeight="1">
      <c r="A233" s="135">
        <v>45970.0</v>
      </c>
      <c r="B233" s="136" t="s">
        <v>14</v>
      </c>
      <c r="C233" s="137" t="s">
        <v>9</v>
      </c>
      <c r="D233" s="138">
        <v>22.0</v>
      </c>
      <c r="E233" s="139" t="s">
        <v>10</v>
      </c>
      <c r="F233" s="161" t="s">
        <v>11</v>
      </c>
      <c r="G233" s="141" t="s">
        <v>37</v>
      </c>
      <c r="H233" s="148">
        <f t="shared" si="1"/>
        <v>11</v>
      </c>
      <c r="I233" s="149" t="s">
        <v>13</v>
      </c>
      <c r="J233" s="116">
        <f t="shared" si="2"/>
        <v>7</v>
      </c>
      <c r="K233" s="116" t="str">
        <f t="shared" si="3"/>
        <v>7domingo</v>
      </c>
    </row>
    <row r="234" ht="22.5" customHeight="1">
      <c r="A234" s="126">
        <v>45972.0</v>
      </c>
      <c r="B234" s="127" t="s">
        <v>8</v>
      </c>
      <c r="C234" s="128" t="s">
        <v>9</v>
      </c>
      <c r="D234" s="129">
        <v>14.0</v>
      </c>
      <c r="E234" s="130" t="s">
        <v>10</v>
      </c>
      <c r="F234" s="131" t="s">
        <v>11</v>
      </c>
      <c r="G234" s="132" t="s">
        <v>37</v>
      </c>
      <c r="H234" s="198">
        <f t="shared" si="1"/>
        <v>11</v>
      </c>
      <c r="I234" s="199" t="s">
        <v>16</v>
      </c>
      <c r="J234" s="116">
        <f t="shared" si="2"/>
        <v>2</v>
      </c>
      <c r="K234" s="116" t="str">
        <f t="shared" si="3"/>
        <v>2martes</v>
      </c>
    </row>
    <row r="235" ht="22.5" customHeight="1">
      <c r="A235" s="135">
        <v>45973.0</v>
      </c>
      <c r="B235" s="194" t="s">
        <v>23</v>
      </c>
      <c r="C235" s="137" t="s">
        <v>9</v>
      </c>
      <c r="D235" s="138">
        <v>19.0</v>
      </c>
      <c r="E235" s="139" t="s">
        <v>10</v>
      </c>
      <c r="F235" s="140" t="s">
        <v>15</v>
      </c>
      <c r="G235" s="141" t="s">
        <v>37</v>
      </c>
      <c r="H235" s="200">
        <f t="shared" si="1"/>
        <v>11</v>
      </c>
      <c r="I235" s="201" t="s">
        <v>18</v>
      </c>
      <c r="J235" s="116">
        <f t="shared" si="2"/>
        <v>3</v>
      </c>
      <c r="K235" s="116" t="str">
        <f t="shared" si="3"/>
        <v>3miércoles</v>
      </c>
    </row>
    <row r="236" ht="22.5" customHeight="1">
      <c r="A236" s="126">
        <v>45975.0</v>
      </c>
      <c r="B236" s="144" t="s">
        <v>17</v>
      </c>
      <c r="C236" s="188" t="s">
        <v>24</v>
      </c>
      <c r="D236" s="129">
        <v>9.0</v>
      </c>
      <c r="E236" s="130" t="s">
        <v>10</v>
      </c>
      <c r="F236" s="131" t="s">
        <v>11</v>
      </c>
      <c r="G236" s="132" t="s">
        <v>37</v>
      </c>
      <c r="H236" s="202">
        <f t="shared" si="1"/>
        <v>11</v>
      </c>
      <c r="I236" s="203" t="s">
        <v>20</v>
      </c>
      <c r="J236" s="116">
        <f t="shared" si="2"/>
        <v>5</v>
      </c>
      <c r="K236" s="116" t="str">
        <f t="shared" si="3"/>
        <v>5viernes</v>
      </c>
    </row>
    <row r="237" ht="22.5" customHeight="1">
      <c r="A237" s="135">
        <v>45977.0</v>
      </c>
      <c r="B237" s="159" t="s">
        <v>8</v>
      </c>
      <c r="C237" s="137" t="s">
        <v>9</v>
      </c>
      <c r="D237" s="138">
        <v>14.0</v>
      </c>
      <c r="E237" s="139" t="s">
        <v>10</v>
      </c>
      <c r="F237" s="161" t="s">
        <v>11</v>
      </c>
      <c r="G237" s="141" t="s">
        <v>37</v>
      </c>
      <c r="H237" s="148">
        <f t="shared" si="1"/>
        <v>11</v>
      </c>
      <c r="I237" s="149" t="s">
        <v>13</v>
      </c>
      <c r="J237" s="116">
        <f t="shared" si="2"/>
        <v>7</v>
      </c>
      <c r="K237" s="116" t="str">
        <f t="shared" si="3"/>
        <v>7domingo</v>
      </c>
    </row>
    <row r="238" ht="22.5" customHeight="1">
      <c r="A238" s="126">
        <v>45979.0</v>
      </c>
      <c r="B238" s="182" t="s">
        <v>19</v>
      </c>
      <c r="C238" s="128" t="s">
        <v>9</v>
      </c>
      <c r="D238" s="129">
        <v>7.0</v>
      </c>
      <c r="E238" s="130" t="s">
        <v>10</v>
      </c>
      <c r="F238" s="156" t="s">
        <v>15</v>
      </c>
      <c r="G238" s="132" t="s">
        <v>37</v>
      </c>
      <c r="H238" s="198">
        <f t="shared" si="1"/>
        <v>11</v>
      </c>
      <c r="I238" s="199" t="s">
        <v>16</v>
      </c>
      <c r="J238" s="116">
        <f t="shared" si="2"/>
        <v>2</v>
      </c>
      <c r="K238" s="116" t="str">
        <f t="shared" si="3"/>
        <v>2martes</v>
      </c>
    </row>
    <row r="239" ht="22.5" customHeight="1">
      <c r="A239" s="135">
        <v>45980.0</v>
      </c>
      <c r="B239" s="136" t="s">
        <v>14</v>
      </c>
      <c r="C239" s="137" t="s">
        <v>9</v>
      </c>
      <c r="D239" s="138">
        <v>24.0</v>
      </c>
      <c r="E239" s="193" t="s">
        <v>22</v>
      </c>
      <c r="F239" s="161" t="s">
        <v>11</v>
      </c>
      <c r="G239" s="141" t="s">
        <v>37</v>
      </c>
      <c r="H239" s="200">
        <f t="shared" si="1"/>
        <v>11</v>
      </c>
      <c r="I239" s="201" t="s">
        <v>18</v>
      </c>
      <c r="J239" s="116">
        <f t="shared" si="2"/>
        <v>3</v>
      </c>
      <c r="K239" s="116" t="str">
        <f t="shared" si="3"/>
        <v>3miércoles</v>
      </c>
    </row>
    <row r="240" ht="22.5" customHeight="1">
      <c r="A240" s="126">
        <v>45982.0</v>
      </c>
      <c r="B240" s="127" t="s">
        <v>8</v>
      </c>
      <c r="C240" s="128" t="s">
        <v>9</v>
      </c>
      <c r="D240" s="129">
        <v>14.0</v>
      </c>
      <c r="E240" s="130" t="s">
        <v>10</v>
      </c>
      <c r="F240" s="131" t="s">
        <v>11</v>
      </c>
      <c r="G240" s="132" t="s">
        <v>37</v>
      </c>
      <c r="H240" s="202">
        <f t="shared" si="1"/>
        <v>11</v>
      </c>
      <c r="I240" s="203" t="s">
        <v>20</v>
      </c>
      <c r="J240" s="116">
        <f t="shared" si="2"/>
        <v>5</v>
      </c>
      <c r="K240" s="116" t="str">
        <f t="shared" si="3"/>
        <v>5viernes</v>
      </c>
    </row>
    <row r="241" ht="22.5" customHeight="1">
      <c r="A241" s="135">
        <v>45984.0</v>
      </c>
      <c r="B241" s="185" t="s">
        <v>17</v>
      </c>
      <c r="C241" s="137" t="s">
        <v>9</v>
      </c>
      <c r="D241" s="138">
        <v>10.0</v>
      </c>
      <c r="E241" s="139" t="s">
        <v>10</v>
      </c>
      <c r="F241" s="140" t="s">
        <v>15</v>
      </c>
      <c r="G241" s="141" t="s">
        <v>37</v>
      </c>
      <c r="H241" s="148">
        <f t="shared" si="1"/>
        <v>11</v>
      </c>
      <c r="I241" s="149" t="s">
        <v>13</v>
      </c>
      <c r="J241" s="116">
        <f t="shared" si="2"/>
        <v>7</v>
      </c>
      <c r="K241" s="116" t="str">
        <f t="shared" si="3"/>
        <v>7domingo</v>
      </c>
    </row>
    <row r="242" ht="22.5" customHeight="1">
      <c r="A242" s="126">
        <v>45986.0</v>
      </c>
      <c r="B242" s="183" t="s">
        <v>26</v>
      </c>
      <c r="C242" s="128" t="s">
        <v>9</v>
      </c>
      <c r="D242" s="129">
        <v>26.0</v>
      </c>
      <c r="E242" s="130" t="s">
        <v>10</v>
      </c>
      <c r="F242" s="131" t="s">
        <v>11</v>
      </c>
      <c r="G242" s="132" t="s">
        <v>37</v>
      </c>
      <c r="H242" s="198">
        <f t="shared" si="1"/>
        <v>11</v>
      </c>
      <c r="I242" s="199" t="s">
        <v>16</v>
      </c>
      <c r="J242" s="116">
        <f t="shared" si="2"/>
        <v>2</v>
      </c>
      <c r="K242" s="116" t="str">
        <f t="shared" si="3"/>
        <v>2martes</v>
      </c>
    </row>
    <row r="243" ht="22.5" customHeight="1">
      <c r="A243" s="135">
        <v>45987.0</v>
      </c>
      <c r="B243" s="159" t="s">
        <v>8</v>
      </c>
      <c r="C243" s="172" t="s">
        <v>24</v>
      </c>
      <c r="D243" s="138">
        <v>14.0</v>
      </c>
      <c r="E243" s="139" t="s">
        <v>10</v>
      </c>
      <c r="F243" s="161" t="s">
        <v>11</v>
      </c>
      <c r="G243" s="141" t="s">
        <v>37</v>
      </c>
      <c r="H243" s="200">
        <f t="shared" si="1"/>
        <v>11</v>
      </c>
      <c r="I243" s="201" t="s">
        <v>18</v>
      </c>
      <c r="J243" s="116">
        <f t="shared" si="2"/>
        <v>3</v>
      </c>
      <c r="K243" s="116" t="str">
        <f t="shared" si="3"/>
        <v>3miércoles</v>
      </c>
    </row>
    <row r="244" ht="22.5" customHeight="1">
      <c r="A244" s="126">
        <v>45989.0</v>
      </c>
      <c r="B244" s="127" t="s">
        <v>8</v>
      </c>
      <c r="C244" s="128" t="s">
        <v>9</v>
      </c>
      <c r="D244" s="129">
        <v>15.0</v>
      </c>
      <c r="E244" s="130" t="s">
        <v>10</v>
      </c>
      <c r="F244" s="156" t="s">
        <v>15</v>
      </c>
      <c r="G244" s="132" t="s">
        <v>37</v>
      </c>
      <c r="H244" s="202">
        <f t="shared" si="1"/>
        <v>11</v>
      </c>
      <c r="I244" s="203" t="s">
        <v>20</v>
      </c>
      <c r="J244" s="116">
        <f t="shared" si="2"/>
        <v>5</v>
      </c>
      <c r="K244" s="116" t="str">
        <f t="shared" si="3"/>
        <v>5viernes</v>
      </c>
    </row>
    <row r="245" ht="22.5" customHeight="1">
      <c r="A245" s="135">
        <v>45991.0</v>
      </c>
      <c r="B245" s="185" t="s">
        <v>17</v>
      </c>
      <c r="C245" s="137" t="s">
        <v>9</v>
      </c>
      <c r="D245" s="138">
        <v>11.0</v>
      </c>
      <c r="E245" s="139" t="s">
        <v>10</v>
      </c>
      <c r="F245" s="161" t="s">
        <v>11</v>
      </c>
      <c r="G245" s="141" t="s">
        <v>37</v>
      </c>
      <c r="H245" s="148">
        <f t="shared" si="1"/>
        <v>11</v>
      </c>
      <c r="I245" s="149" t="s">
        <v>13</v>
      </c>
      <c r="J245" s="116">
        <f t="shared" si="2"/>
        <v>7</v>
      </c>
      <c r="K245" s="116" t="str">
        <f t="shared" si="3"/>
        <v>7domingo</v>
      </c>
    </row>
    <row r="246" ht="22.5" customHeight="1">
      <c r="A246" s="126">
        <v>45993.0</v>
      </c>
      <c r="B246" s="191" t="s">
        <v>14</v>
      </c>
      <c r="C246" s="128" t="s">
        <v>9</v>
      </c>
      <c r="D246" s="129">
        <v>21.0</v>
      </c>
      <c r="E246" s="130" t="s">
        <v>10</v>
      </c>
      <c r="F246" s="131" t="s">
        <v>11</v>
      </c>
      <c r="G246" s="132" t="s">
        <v>38</v>
      </c>
      <c r="H246" s="198">
        <f t="shared" si="1"/>
        <v>12</v>
      </c>
      <c r="I246" s="199" t="s">
        <v>16</v>
      </c>
      <c r="J246" s="116">
        <f t="shared" si="2"/>
        <v>2</v>
      </c>
      <c r="K246" s="116" t="str">
        <f t="shared" si="3"/>
        <v>2martes</v>
      </c>
    </row>
    <row r="247" ht="22.5" customHeight="1">
      <c r="A247" s="135">
        <v>45994.0</v>
      </c>
      <c r="B247" s="159" t="s">
        <v>8</v>
      </c>
      <c r="C247" s="137" t="s">
        <v>9</v>
      </c>
      <c r="D247" s="138">
        <v>14.0</v>
      </c>
      <c r="E247" s="139" t="s">
        <v>10</v>
      </c>
      <c r="F247" s="140" t="s">
        <v>15</v>
      </c>
      <c r="G247" s="141" t="s">
        <v>38</v>
      </c>
      <c r="H247" s="200">
        <f t="shared" si="1"/>
        <v>12</v>
      </c>
      <c r="I247" s="201" t="s">
        <v>18</v>
      </c>
      <c r="J247" s="116">
        <f t="shared" si="2"/>
        <v>3</v>
      </c>
      <c r="K247" s="116" t="str">
        <f t="shared" si="3"/>
        <v>3miércoles</v>
      </c>
    </row>
    <row r="248" ht="22.5" customHeight="1">
      <c r="A248" s="126">
        <v>45996.0</v>
      </c>
      <c r="B248" s="182" t="s">
        <v>19</v>
      </c>
      <c r="C248" s="128" t="s">
        <v>9</v>
      </c>
      <c r="D248" s="129">
        <v>7.0</v>
      </c>
      <c r="E248" s="130" t="s">
        <v>10</v>
      </c>
      <c r="F248" s="131" t="s">
        <v>11</v>
      </c>
      <c r="G248" s="132" t="s">
        <v>38</v>
      </c>
      <c r="H248" s="202">
        <f t="shared" si="1"/>
        <v>12</v>
      </c>
      <c r="I248" s="203" t="s">
        <v>20</v>
      </c>
      <c r="J248" s="116">
        <f t="shared" si="2"/>
        <v>5</v>
      </c>
      <c r="K248" s="116" t="str">
        <f t="shared" si="3"/>
        <v>5viernes</v>
      </c>
    </row>
    <row r="249" ht="22.5" customHeight="1">
      <c r="A249" s="135">
        <v>45998.0</v>
      </c>
      <c r="B249" s="185" t="s">
        <v>17</v>
      </c>
      <c r="C249" s="137" t="s">
        <v>9</v>
      </c>
      <c r="D249" s="138">
        <v>10.0</v>
      </c>
      <c r="E249" s="139" t="s">
        <v>10</v>
      </c>
      <c r="F249" s="161" t="s">
        <v>11</v>
      </c>
      <c r="G249" s="141" t="s">
        <v>38</v>
      </c>
      <c r="H249" s="148">
        <f t="shared" si="1"/>
        <v>12</v>
      </c>
      <c r="I249" s="149" t="s">
        <v>13</v>
      </c>
      <c r="J249" s="116">
        <f t="shared" si="2"/>
        <v>7</v>
      </c>
      <c r="K249" s="116" t="str">
        <f t="shared" si="3"/>
        <v>7domingo</v>
      </c>
    </row>
    <row r="250" ht="22.5" customHeight="1">
      <c r="A250" s="126">
        <v>46000.0</v>
      </c>
      <c r="B250" s="127" t="s">
        <v>8</v>
      </c>
      <c r="C250" s="154" t="s">
        <v>21</v>
      </c>
      <c r="D250" s="129">
        <v>14.0</v>
      </c>
      <c r="E250" s="130" t="s">
        <v>10</v>
      </c>
      <c r="F250" s="156" t="s">
        <v>15</v>
      </c>
      <c r="G250" s="132" t="s">
        <v>38</v>
      </c>
      <c r="H250" s="198">
        <f t="shared" si="1"/>
        <v>12</v>
      </c>
      <c r="I250" s="199" t="s">
        <v>16</v>
      </c>
      <c r="J250" s="116">
        <f t="shared" si="2"/>
        <v>2</v>
      </c>
      <c r="K250" s="116" t="str">
        <f t="shared" si="3"/>
        <v>2martes</v>
      </c>
    </row>
    <row r="251" ht="22.5" customHeight="1">
      <c r="A251" s="135">
        <v>46001.0</v>
      </c>
      <c r="B251" s="159" t="s">
        <v>8</v>
      </c>
      <c r="C251" s="137" t="s">
        <v>9</v>
      </c>
      <c r="D251" s="138">
        <v>14.0</v>
      </c>
      <c r="E251" s="139" t="s">
        <v>10</v>
      </c>
      <c r="F251" s="161" t="s">
        <v>11</v>
      </c>
      <c r="G251" s="141" t="s">
        <v>38</v>
      </c>
      <c r="H251" s="200">
        <f t="shared" si="1"/>
        <v>12</v>
      </c>
      <c r="I251" s="201" t="s">
        <v>18</v>
      </c>
      <c r="J251" s="116">
        <f t="shared" si="2"/>
        <v>3</v>
      </c>
      <c r="K251" s="116" t="str">
        <f t="shared" si="3"/>
        <v>3miércoles</v>
      </c>
    </row>
    <row r="252" ht="22.5" customHeight="1">
      <c r="A252" s="126">
        <v>46003.0</v>
      </c>
      <c r="B252" s="171" t="s">
        <v>23</v>
      </c>
      <c r="C252" s="128" t="s">
        <v>9</v>
      </c>
      <c r="D252" s="129">
        <v>18.0</v>
      </c>
      <c r="E252" s="130" t="s">
        <v>10</v>
      </c>
      <c r="F252" s="131" t="s">
        <v>11</v>
      </c>
      <c r="G252" s="132" t="s">
        <v>38</v>
      </c>
      <c r="H252" s="202">
        <f t="shared" si="1"/>
        <v>12</v>
      </c>
      <c r="I252" s="203" t="s">
        <v>20</v>
      </c>
      <c r="J252" s="116">
        <f t="shared" si="2"/>
        <v>5</v>
      </c>
      <c r="K252" s="116" t="str">
        <f t="shared" si="3"/>
        <v>5viernes</v>
      </c>
    </row>
    <row r="253" ht="22.5" customHeight="1">
      <c r="A253" s="135">
        <v>46005.0</v>
      </c>
      <c r="B253" s="185" t="s">
        <v>17</v>
      </c>
      <c r="C253" s="172" t="s">
        <v>24</v>
      </c>
      <c r="D253" s="138">
        <v>12.0</v>
      </c>
      <c r="E253" s="139" t="s">
        <v>10</v>
      </c>
      <c r="F253" s="140" t="s">
        <v>15</v>
      </c>
      <c r="G253" s="141" t="s">
        <v>38</v>
      </c>
      <c r="H253" s="148">
        <f t="shared" si="1"/>
        <v>12</v>
      </c>
      <c r="I253" s="149" t="s">
        <v>13</v>
      </c>
      <c r="J253" s="116">
        <f t="shared" si="2"/>
        <v>7</v>
      </c>
      <c r="K253" s="116" t="str">
        <f t="shared" si="3"/>
        <v>7domingo</v>
      </c>
    </row>
    <row r="254" ht="22.5" customHeight="1">
      <c r="A254" s="126">
        <v>46007.0</v>
      </c>
      <c r="B254" s="191" t="s">
        <v>14</v>
      </c>
      <c r="C254" s="128" t="s">
        <v>9</v>
      </c>
      <c r="D254" s="129">
        <v>23.0</v>
      </c>
      <c r="E254" s="130" t="s">
        <v>10</v>
      </c>
      <c r="F254" s="131" t="s">
        <v>11</v>
      </c>
      <c r="G254" s="132" t="s">
        <v>38</v>
      </c>
      <c r="H254" s="198">
        <f t="shared" si="1"/>
        <v>12</v>
      </c>
      <c r="I254" s="199" t="s">
        <v>16</v>
      </c>
      <c r="J254" s="116">
        <f t="shared" si="2"/>
        <v>2</v>
      </c>
      <c r="K254" s="116" t="str">
        <f t="shared" si="3"/>
        <v>2martes</v>
      </c>
    </row>
    <row r="255" ht="22.5" customHeight="1">
      <c r="A255" s="135">
        <v>46008.0</v>
      </c>
      <c r="B255" s="159" t="s">
        <v>8</v>
      </c>
      <c r="C255" s="137" t="s">
        <v>9</v>
      </c>
      <c r="D255" s="138">
        <v>14.0</v>
      </c>
      <c r="E255" s="139" t="s">
        <v>10</v>
      </c>
      <c r="F255" s="161" t="s">
        <v>11</v>
      </c>
      <c r="G255" s="141" t="s">
        <v>38</v>
      </c>
      <c r="H255" s="200">
        <f t="shared" si="1"/>
        <v>12</v>
      </c>
      <c r="I255" s="201" t="s">
        <v>18</v>
      </c>
      <c r="J255" s="116">
        <f t="shared" si="2"/>
        <v>3</v>
      </c>
      <c r="K255" s="116" t="str">
        <f t="shared" si="3"/>
        <v>3miércoles</v>
      </c>
    </row>
    <row r="256" ht="22.5" customHeight="1">
      <c r="A256" s="126">
        <v>46010.0</v>
      </c>
      <c r="B256" s="182" t="s">
        <v>19</v>
      </c>
      <c r="C256" s="128" t="s">
        <v>9</v>
      </c>
      <c r="D256" s="129">
        <v>7.0</v>
      </c>
      <c r="E256" s="130" t="s">
        <v>10</v>
      </c>
      <c r="F256" s="156" t="s">
        <v>15</v>
      </c>
      <c r="G256" s="132" t="s">
        <v>38</v>
      </c>
      <c r="H256" s="202">
        <f t="shared" si="1"/>
        <v>12</v>
      </c>
      <c r="I256" s="203" t="s">
        <v>20</v>
      </c>
      <c r="J256" s="116">
        <f t="shared" si="2"/>
        <v>5</v>
      </c>
      <c r="K256" s="116" t="str">
        <f t="shared" si="3"/>
        <v>5viernes</v>
      </c>
    </row>
    <row r="257" ht="22.5" customHeight="1">
      <c r="A257" s="135">
        <v>46012.0</v>
      </c>
      <c r="B257" s="159" t="s">
        <v>8</v>
      </c>
      <c r="C257" s="137" t="s">
        <v>9</v>
      </c>
      <c r="D257" s="138">
        <v>21.0</v>
      </c>
      <c r="E257" s="139" t="s">
        <v>10</v>
      </c>
      <c r="F257" s="161" t="s">
        <v>11</v>
      </c>
      <c r="G257" s="141" t="s">
        <v>38</v>
      </c>
      <c r="H257" s="148">
        <f t="shared" si="1"/>
        <v>12</v>
      </c>
      <c r="I257" s="149" t="s">
        <v>13</v>
      </c>
      <c r="J257" s="116">
        <f t="shared" si="2"/>
        <v>7</v>
      </c>
      <c r="K257" s="116" t="str">
        <f t="shared" si="3"/>
        <v>7domingo</v>
      </c>
    </row>
    <row r="258" ht="22.5" customHeight="1">
      <c r="A258" s="126">
        <v>46014.0</v>
      </c>
      <c r="B258" s="144" t="s">
        <v>17</v>
      </c>
      <c r="C258" s="128" t="s">
        <v>9</v>
      </c>
      <c r="D258" s="129">
        <v>14.0</v>
      </c>
      <c r="E258" s="130" t="s">
        <v>10</v>
      </c>
      <c r="F258" s="131" t="s">
        <v>11</v>
      </c>
      <c r="G258" s="132" t="s">
        <v>38</v>
      </c>
      <c r="H258" s="198">
        <f t="shared" si="1"/>
        <v>12</v>
      </c>
      <c r="I258" s="199" t="s">
        <v>16</v>
      </c>
      <c r="J258" s="116">
        <f t="shared" si="2"/>
        <v>2</v>
      </c>
      <c r="K258" s="116" t="str">
        <f t="shared" si="3"/>
        <v>2martes</v>
      </c>
    </row>
    <row r="259" ht="22.5" customHeight="1">
      <c r="A259" s="135">
        <v>46015.0</v>
      </c>
      <c r="B259" s="184" t="s">
        <v>26</v>
      </c>
      <c r="C259" s="137" t="s">
        <v>9</v>
      </c>
      <c r="D259" s="138">
        <v>28.0</v>
      </c>
      <c r="E259" s="193" t="s">
        <v>22</v>
      </c>
      <c r="F259" s="140" t="s">
        <v>15</v>
      </c>
      <c r="G259" s="141" t="s">
        <v>38</v>
      </c>
      <c r="H259" s="200">
        <f t="shared" si="1"/>
        <v>12</v>
      </c>
      <c r="I259" s="201" t="s">
        <v>18</v>
      </c>
      <c r="J259" s="116">
        <f t="shared" si="2"/>
        <v>3</v>
      </c>
      <c r="K259" s="116" t="str">
        <f t="shared" si="3"/>
        <v>3miércoles</v>
      </c>
    </row>
    <row r="260" ht="22.5" customHeight="1">
      <c r="A260" s="126">
        <v>46017.0</v>
      </c>
      <c r="B260" s="127" t="s">
        <v>8</v>
      </c>
      <c r="C260" s="128" t="s">
        <v>9</v>
      </c>
      <c r="D260" s="129">
        <v>14.0</v>
      </c>
      <c r="E260" s="130" t="s">
        <v>10</v>
      </c>
      <c r="F260" s="131" t="s">
        <v>11</v>
      </c>
      <c r="G260" s="132" t="s">
        <v>38</v>
      </c>
      <c r="H260" s="202">
        <f t="shared" si="1"/>
        <v>12</v>
      </c>
      <c r="I260" s="203" t="s">
        <v>20</v>
      </c>
      <c r="J260" s="116">
        <f t="shared" si="2"/>
        <v>5</v>
      </c>
      <c r="K260" s="116" t="str">
        <f t="shared" si="3"/>
        <v>5viernes</v>
      </c>
    </row>
    <row r="261" ht="22.5" customHeight="1">
      <c r="A261" s="135">
        <v>46019.0</v>
      </c>
      <c r="B261" s="159" t="s">
        <v>8</v>
      </c>
      <c r="C261" s="172" t="s">
        <v>24</v>
      </c>
      <c r="D261" s="138">
        <v>15.0</v>
      </c>
      <c r="E261" s="139" t="s">
        <v>10</v>
      </c>
      <c r="F261" s="161" t="s">
        <v>11</v>
      </c>
      <c r="G261" s="141" t="s">
        <v>38</v>
      </c>
      <c r="H261" s="148">
        <f t="shared" si="1"/>
        <v>12</v>
      </c>
      <c r="I261" s="149" t="s">
        <v>13</v>
      </c>
      <c r="J261" s="116">
        <f t="shared" si="2"/>
        <v>7</v>
      </c>
      <c r="K261" s="116" t="str">
        <f t="shared" si="3"/>
        <v>7domingo</v>
      </c>
    </row>
    <row r="262" ht="22.5" customHeight="1">
      <c r="A262" s="204">
        <v>46021.0</v>
      </c>
      <c r="B262" s="205" t="s">
        <v>17</v>
      </c>
      <c r="C262" s="206" t="s">
        <v>9</v>
      </c>
      <c r="D262" s="207">
        <v>10.0</v>
      </c>
      <c r="E262" s="208" t="s">
        <v>10</v>
      </c>
      <c r="F262" s="209" t="s">
        <v>15</v>
      </c>
      <c r="G262" s="210" t="s">
        <v>38</v>
      </c>
      <c r="H262" s="211">
        <f t="shared" si="1"/>
        <v>12</v>
      </c>
      <c r="I262" s="212" t="s">
        <v>16</v>
      </c>
      <c r="J262" s="116">
        <f t="shared" si="2"/>
        <v>2</v>
      </c>
      <c r="K262" s="116" t="str">
        <f t="shared" si="3"/>
        <v>2martes</v>
      </c>
    </row>
  </sheetData>
  <autoFilter ref="$M$4:$P$13"/>
  <dataValidations>
    <dataValidation type="list" allowBlank="1" showDropDown="1" showErrorMessage="1" sqref="C2:C262">
      <formula1>"español,inglés,catalán"</formula1>
    </dataValidation>
    <dataValidation type="custom" allowBlank="1" showDropDown="1" sqref="A2:A262">
      <formula1>OR(NOT(ISERROR(DATEVALUE(A2))), AND(ISNUMBER(A2), LEFT(CELL("format", A2))="D"))</formula1>
    </dataValidation>
    <dataValidation type="list" allowBlank="1" showDropDown="1" showErrorMessage="1" sqref="E2:E262">
      <formula1>"si,no"</formula1>
    </dataValidation>
    <dataValidation type="list" allowBlank="1" showDropDown="1" showErrorMessage="1" sqref="F2:F262">
      <formula1>"tarde,mañana"</formula1>
    </dataValidation>
    <dataValidation type="custom" allowBlank="1" showDropDown="1" sqref="D2:D262">
      <formula1>AND(ISNUMBER(D2),(NOT(OR(NOT(ISERROR(DATEVALUE(D2))), AND(ISNUMBER(D2), LEFT(CELL("format", D2))="D")))))</formula1>
    </dataValidation>
    <dataValidation type="list" allowBlank="1" showDropDown="1" showErrorMessage="1" sqref="G2:G262">
      <formula1>"enero,febrero,marzo,abril,mayo,junio,julio,agosto,septiembre,octubre,noviembre,diciembre"</formula1>
    </dataValidation>
    <dataValidation type="list" allowBlank="1" showDropDown="1" showErrorMessage="1" sqref="I2:I262">
      <formula1>"domingo,martes,miércoles,viernes,jueves,lunes,sábado"</formula1>
    </dataValidation>
    <dataValidation type="list" allowBlank="1" showDropDown="1" showErrorMessage="1" sqref="B2:B262">
      <formula1>"ficcion,ensayo,infantil,comic,novela_grafica,poesia,divulgacion"</formula1>
    </dataValidation>
  </dataValidations>
  <drawing r:id="rId2"/>
  <tableParts count="1">
    <tablePart r:id="rId4"/>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75"/>
    <col customWidth="1" min="2" max="2" width="16.5"/>
    <col customWidth="1" min="4" max="4" width="23.63"/>
    <col customWidth="1" min="5" max="5" width="13.25"/>
    <col customWidth="1" min="6" max="6" width="15.63"/>
    <col customWidth="1" min="7" max="7" width="15.25"/>
    <col customWidth="1" min="8" max="8" width="14.5"/>
    <col customWidth="1" min="20" max="20" width="24.75"/>
  </cols>
  <sheetData>
    <row r="1" ht="22.5" customHeight="1">
      <c r="A1" s="105" t="s">
        <v>0</v>
      </c>
      <c r="B1" s="105" t="s">
        <v>1</v>
      </c>
      <c r="C1" s="105" t="s">
        <v>2</v>
      </c>
      <c r="D1" s="105" t="s">
        <v>3</v>
      </c>
      <c r="E1" s="105" t="s">
        <v>4</v>
      </c>
      <c r="F1" s="105" t="s">
        <v>5</v>
      </c>
      <c r="G1" s="105" t="s">
        <v>6</v>
      </c>
      <c r="H1" s="105" t="s">
        <v>91</v>
      </c>
      <c r="I1" s="105" t="s">
        <v>7</v>
      </c>
      <c r="J1" s="106" t="s">
        <v>81</v>
      </c>
    </row>
    <row r="2" ht="22.5" customHeight="1">
      <c r="A2" s="107">
        <v>45660.0</v>
      </c>
      <c r="B2" s="108" t="s">
        <v>14</v>
      </c>
      <c r="C2" s="109" t="s">
        <v>9</v>
      </c>
      <c r="D2" s="110">
        <v>22.0</v>
      </c>
      <c r="E2" s="111" t="s">
        <v>10</v>
      </c>
      <c r="F2" s="112" t="s">
        <v>11</v>
      </c>
      <c r="G2" s="113" t="s">
        <v>12</v>
      </c>
      <c r="H2" s="114">
        <f t="shared" ref="H2:H262" si="1">MATCH(G2, {"enero","febrero","marzo","abril","mayo","junio","julio","agosto","septiembre","octubre","noviembre","diciembre"}, 0)</f>
        <v>1</v>
      </c>
      <c r="I2" s="115" t="s">
        <v>20</v>
      </c>
      <c r="J2" s="116" t="str">
        <f>DIASEM(2A)</f>
        <v>#ERROR!</v>
      </c>
    </row>
    <row r="3" ht="22.5" customHeight="1">
      <c r="A3" s="117">
        <v>45662.0</v>
      </c>
      <c r="B3" s="118" t="s">
        <v>8</v>
      </c>
      <c r="C3" s="119" t="s">
        <v>9</v>
      </c>
      <c r="D3" s="120">
        <v>14.0</v>
      </c>
      <c r="E3" s="121" t="s">
        <v>10</v>
      </c>
      <c r="F3" s="122" t="s">
        <v>11</v>
      </c>
      <c r="G3" s="123" t="s">
        <v>12</v>
      </c>
      <c r="H3" s="124">
        <f t="shared" si="1"/>
        <v>1</v>
      </c>
      <c r="I3" s="125" t="s">
        <v>13</v>
      </c>
      <c r="R3" s="2"/>
    </row>
    <row r="4" ht="22.5" customHeight="1">
      <c r="A4" s="126">
        <v>45663.0</v>
      </c>
      <c r="B4" s="127" t="s">
        <v>8</v>
      </c>
      <c r="C4" s="128" t="s">
        <v>9</v>
      </c>
      <c r="D4" s="129">
        <v>14.0</v>
      </c>
      <c r="E4" s="130" t="s">
        <v>10</v>
      </c>
      <c r="F4" s="131" t="s">
        <v>11</v>
      </c>
      <c r="G4" s="132" t="s">
        <v>12</v>
      </c>
      <c r="H4" s="133">
        <f t="shared" si="1"/>
        <v>1</v>
      </c>
      <c r="I4" s="134" t="s">
        <v>39</v>
      </c>
    </row>
    <row r="5" ht="22.5" customHeight="1">
      <c r="A5" s="135">
        <v>45664.0</v>
      </c>
      <c r="B5" s="136" t="s">
        <v>14</v>
      </c>
      <c r="C5" s="137" t="s">
        <v>9</v>
      </c>
      <c r="D5" s="138">
        <v>21.0</v>
      </c>
      <c r="E5" s="139" t="s">
        <v>10</v>
      </c>
      <c r="F5" s="140" t="s">
        <v>15</v>
      </c>
      <c r="G5" s="141" t="s">
        <v>12</v>
      </c>
      <c r="H5" s="142">
        <f t="shared" si="1"/>
        <v>1</v>
      </c>
      <c r="I5" s="143" t="s">
        <v>16</v>
      </c>
    </row>
    <row r="6" ht="22.5" customHeight="1">
      <c r="A6" s="126">
        <v>45665.0</v>
      </c>
      <c r="B6" s="144" t="s">
        <v>17</v>
      </c>
      <c r="C6" s="128" t="s">
        <v>9</v>
      </c>
      <c r="D6" s="129">
        <v>10.0</v>
      </c>
      <c r="E6" s="130" t="s">
        <v>10</v>
      </c>
      <c r="F6" s="131" t="s">
        <v>11</v>
      </c>
      <c r="G6" s="132" t="s">
        <v>12</v>
      </c>
      <c r="H6" s="145">
        <f t="shared" si="1"/>
        <v>1</v>
      </c>
      <c r="I6" s="146" t="s">
        <v>18</v>
      </c>
    </row>
    <row r="7" ht="22.5" customHeight="1">
      <c r="A7" s="135">
        <v>45666.0</v>
      </c>
      <c r="B7" s="147" t="s">
        <v>19</v>
      </c>
      <c r="C7" s="137" t="s">
        <v>9</v>
      </c>
      <c r="D7" s="138">
        <v>7.0</v>
      </c>
      <c r="E7" s="139" t="s">
        <v>10</v>
      </c>
      <c r="F7" s="140" t="s">
        <v>15</v>
      </c>
      <c r="G7" s="141" t="s">
        <v>12</v>
      </c>
      <c r="H7" s="148">
        <f t="shared" si="1"/>
        <v>1</v>
      </c>
      <c r="I7" s="149" t="s">
        <v>33</v>
      </c>
    </row>
    <row r="8" ht="22.5" customHeight="1">
      <c r="A8" s="107">
        <v>45667.0</v>
      </c>
      <c r="B8" s="150" t="s">
        <v>19</v>
      </c>
      <c r="C8" s="109" t="s">
        <v>9</v>
      </c>
      <c r="D8" s="110">
        <v>7.0</v>
      </c>
      <c r="E8" s="111" t="s">
        <v>10</v>
      </c>
      <c r="F8" s="112" t="s">
        <v>11</v>
      </c>
      <c r="G8" s="113" t="s">
        <v>12</v>
      </c>
      <c r="H8" s="114">
        <f t="shared" si="1"/>
        <v>1</v>
      </c>
      <c r="I8" s="115" t="s">
        <v>20</v>
      </c>
    </row>
    <row r="9" ht="22.5" customHeight="1">
      <c r="A9" s="117">
        <v>45668.0</v>
      </c>
      <c r="B9" s="151" t="s">
        <v>17</v>
      </c>
      <c r="C9" s="119" t="s">
        <v>9</v>
      </c>
      <c r="D9" s="120">
        <v>9.0</v>
      </c>
      <c r="E9" s="121" t="s">
        <v>10</v>
      </c>
      <c r="F9" s="122" t="s">
        <v>11</v>
      </c>
      <c r="G9" s="123" t="s">
        <v>12</v>
      </c>
      <c r="H9" s="152">
        <f t="shared" si="1"/>
        <v>1</v>
      </c>
      <c r="I9" s="153" t="s">
        <v>40</v>
      </c>
    </row>
    <row r="10" ht="22.5" customHeight="1">
      <c r="A10" s="126">
        <v>45669.0</v>
      </c>
      <c r="B10" s="127" t="s">
        <v>8</v>
      </c>
      <c r="C10" s="154" t="s">
        <v>21</v>
      </c>
      <c r="D10" s="129">
        <v>15.0</v>
      </c>
      <c r="E10" s="155" t="s">
        <v>22</v>
      </c>
      <c r="F10" s="156" t="s">
        <v>15</v>
      </c>
      <c r="G10" s="132" t="s">
        <v>12</v>
      </c>
      <c r="H10" s="157">
        <f t="shared" si="1"/>
        <v>1</v>
      </c>
      <c r="I10" s="158" t="s">
        <v>13</v>
      </c>
    </row>
    <row r="11" ht="22.5" customHeight="1">
      <c r="A11" s="135">
        <v>45670.0</v>
      </c>
      <c r="B11" s="159" t="s">
        <v>8</v>
      </c>
      <c r="C11" s="160" t="s">
        <v>21</v>
      </c>
      <c r="D11" s="138">
        <v>14.0</v>
      </c>
      <c r="E11" s="139" t="s">
        <v>10</v>
      </c>
      <c r="F11" s="161" t="s">
        <v>11</v>
      </c>
      <c r="G11" s="141" t="s">
        <v>12</v>
      </c>
      <c r="H11" s="162">
        <f t="shared" si="1"/>
        <v>1</v>
      </c>
      <c r="I11" s="163" t="s">
        <v>39</v>
      </c>
    </row>
    <row r="12" ht="22.5" customHeight="1">
      <c r="A12" s="107">
        <v>45671.0</v>
      </c>
      <c r="B12" s="164" t="s">
        <v>8</v>
      </c>
      <c r="C12" s="109" t="s">
        <v>9</v>
      </c>
      <c r="D12" s="110">
        <v>14.0</v>
      </c>
      <c r="E12" s="111" t="s">
        <v>10</v>
      </c>
      <c r="F12" s="112" t="s">
        <v>11</v>
      </c>
      <c r="G12" s="113" t="s">
        <v>12</v>
      </c>
      <c r="H12" s="165">
        <f t="shared" si="1"/>
        <v>1</v>
      </c>
      <c r="I12" s="166" t="s">
        <v>16</v>
      </c>
    </row>
    <row r="13" ht="22.5" customHeight="1">
      <c r="A13" s="117">
        <v>45672.0</v>
      </c>
      <c r="B13" s="167" t="s">
        <v>23</v>
      </c>
      <c r="C13" s="119" t="s">
        <v>9</v>
      </c>
      <c r="D13" s="120">
        <v>18.0</v>
      </c>
      <c r="E13" s="121" t="s">
        <v>10</v>
      </c>
      <c r="F13" s="168" t="s">
        <v>15</v>
      </c>
      <c r="G13" s="123" t="s">
        <v>12</v>
      </c>
      <c r="H13" s="169">
        <f t="shared" si="1"/>
        <v>1</v>
      </c>
      <c r="I13" s="170" t="s">
        <v>18</v>
      </c>
    </row>
    <row r="14" ht="22.5" customHeight="1">
      <c r="A14" s="126">
        <v>45673.0</v>
      </c>
      <c r="B14" s="171" t="s">
        <v>23</v>
      </c>
      <c r="C14" s="128" t="s">
        <v>9</v>
      </c>
      <c r="D14" s="129">
        <v>20.0</v>
      </c>
      <c r="E14" s="130" t="s">
        <v>10</v>
      </c>
      <c r="F14" s="156" t="s">
        <v>15</v>
      </c>
      <c r="G14" s="132" t="s">
        <v>12</v>
      </c>
      <c r="H14" s="157">
        <f t="shared" si="1"/>
        <v>1</v>
      </c>
      <c r="I14" s="158" t="s">
        <v>33</v>
      </c>
    </row>
    <row r="15" ht="22.5" customHeight="1">
      <c r="A15" s="135">
        <v>45674.0</v>
      </c>
      <c r="B15" s="136" t="s">
        <v>14</v>
      </c>
      <c r="C15" s="172" t="s">
        <v>24</v>
      </c>
      <c r="D15" s="138">
        <v>25.0</v>
      </c>
      <c r="E15" s="139" t="s">
        <v>10</v>
      </c>
      <c r="F15" s="161" t="s">
        <v>11</v>
      </c>
      <c r="G15" s="141" t="s">
        <v>12</v>
      </c>
      <c r="H15" s="173">
        <f t="shared" si="1"/>
        <v>1</v>
      </c>
      <c r="I15" s="174" t="s">
        <v>20</v>
      </c>
    </row>
    <row r="16" ht="22.5" customHeight="1">
      <c r="A16" s="107">
        <v>45675.0</v>
      </c>
      <c r="B16" s="175" t="s">
        <v>17</v>
      </c>
      <c r="C16" s="176" t="s">
        <v>24</v>
      </c>
      <c r="D16" s="110">
        <v>11.0</v>
      </c>
      <c r="E16" s="111" t="s">
        <v>10</v>
      </c>
      <c r="F16" s="112" t="s">
        <v>11</v>
      </c>
      <c r="G16" s="113" t="s">
        <v>12</v>
      </c>
      <c r="H16" s="177">
        <f t="shared" si="1"/>
        <v>1</v>
      </c>
      <c r="I16" s="178" t="s">
        <v>40</v>
      </c>
    </row>
    <row r="17" ht="22.5" customHeight="1">
      <c r="A17" s="117">
        <v>45676.0</v>
      </c>
      <c r="B17" s="151" t="s">
        <v>17</v>
      </c>
      <c r="C17" s="119" t="s">
        <v>9</v>
      </c>
      <c r="D17" s="120">
        <v>8.0</v>
      </c>
      <c r="E17" s="121" t="s">
        <v>10</v>
      </c>
      <c r="F17" s="122" t="s">
        <v>11</v>
      </c>
      <c r="G17" s="123" t="s">
        <v>12</v>
      </c>
      <c r="H17" s="124">
        <f t="shared" si="1"/>
        <v>1</v>
      </c>
      <c r="I17" s="125" t="s">
        <v>13</v>
      </c>
    </row>
    <row r="18" ht="22.5" customHeight="1">
      <c r="A18" s="126">
        <v>45677.0</v>
      </c>
      <c r="B18" s="127" t="s">
        <v>8</v>
      </c>
      <c r="C18" s="128" t="s">
        <v>9</v>
      </c>
      <c r="D18" s="129">
        <v>14.0</v>
      </c>
      <c r="E18" s="130" t="s">
        <v>10</v>
      </c>
      <c r="F18" s="131" t="s">
        <v>11</v>
      </c>
      <c r="G18" s="132" t="s">
        <v>12</v>
      </c>
      <c r="H18" s="133">
        <f t="shared" si="1"/>
        <v>1</v>
      </c>
      <c r="I18" s="134" t="s">
        <v>39</v>
      </c>
    </row>
    <row r="19" ht="22.5" customHeight="1">
      <c r="A19" s="135">
        <v>45678.0</v>
      </c>
      <c r="B19" s="159" t="s">
        <v>8</v>
      </c>
      <c r="C19" s="137" t="s">
        <v>9</v>
      </c>
      <c r="D19" s="138">
        <v>14.0</v>
      </c>
      <c r="E19" s="139" t="s">
        <v>10</v>
      </c>
      <c r="F19" s="140" t="s">
        <v>15</v>
      </c>
      <c r="G19" s="141" t="s">
        <v>12</v>
      </c>
      <c r="H19" s="142">
        <f t="shared" si="1"/>
        <v>1</v>
      </c>
      <c r="I19" s="143" t="s">
        <v>16</v>
      </c>
    </row>
    <row r="20" ht="22.5" customHeight="1">
      <c r="A20" s="126">
        <v>45679.0</v>
      </c>
      <c r="B20" s="179" t="s">
        <v>25</v>
      </c>
      <c r="C20" s="128" t="s">
        <v>9</v>
      </c>
      <c r="D20" s="129">
        <v>30.0</v>
      </c>
      <c r="E20" s="155" t="s">
        <v>22</v>
      </c>
      <c r="F20" s="131" t="s">
        <v>11</v>
      </c>
      <c r="G20" s="132" t="s">
        <v>12</v>
      </c>
      <c r="H20" s="145">
        <f t="shared" si="1"/>
        <v>1</v>
      </c>
      <c r="I20" s="146" t="s">
        <v>18</v>
      </c>
    </row>
    <row r="21" ht="22.5" customHeight="1">
      <c r="A21" s="135">
        <v>45680.0</v>
      </c>
      <c r="B21" s="136" t="s">
        <v>14</v>
      </c>
      <c r="C21" s="137" t="s">
        <v>9</v>
      </c>
      <c r="D21" s="138">
        <v>24.0</v>
      </c>
      <c r="E21" s="139" t="s">
        <v>10</v>
      </c>
      <c r="F21" s="140" t="s">
        <v>15</v>
      </c>
      <c r="G21" s="141" t="s">
        <v>12</v>
      </c>
      <c r="H21" s="148">
        <f t="shared" si="1"/>
        <v>1</v>
      </c>
      <c r="I21" s="149" t="s">
        <v>33</v>
      </c>
    </row>
    <row r="22" ht="22.5" customHeight="1">
      <c r="A22" s="107">
        <v>45681.0</v>
      </c>
      <c r="B22" s="164" t="s">
        <v>8</v>
      </c>
      <c r="C22" s="180" t="s">
        <v>21</v>
      </c>
      <c r="D22" s="110">
        <v>14.0</v>
      </c>
      <c r="E22" s="111" t="s">
        <v>10</v>
      </c>
      <c r="F22" s="112" t="s">
        <v>11</v>
      </c>
      <c r="G22" s="113" t="s">
        <v>12</v>
      </c>
      <c r="H22" s="114">
        <f t="shared" si="1"/>
        <v>1</v>
      </c>
      <c r="I22" s="115" t="s">
        <v>20</v>
      </c>
    </row>
    <row r="23" ht="22.5" customHeight="1">
      <c r="A23" s="117">
        <v>45682.0</v>
      </c>
      <c r="B23" s="181" t="s">
        <v>19</v>
      </c>
      <c r="C23" s="119" t="s">
        <v>9</v>
      </c>
      <c r="D23" s="120">
        <v>7.0</v>
      </c>
      <c r="E23" s="121" t="s">
        <v>10</v>
      </c>
      <c r="F23" s="122" t="s">
        <v>11</v>
      </c>
      <c r="G23" s="123" t="s">
        <v>12</v>
      </c>
      <c r="H23" s="152">
        <f t="shared" si="1"/>
        <v>1</v>
      </c>
      <c r="I23" s="153" t="s">
        <v>40</v>
      </c>
    </row>
    <row r="24" ht="22.5" customHeight="1">
      <c r="A24" s="126">
        <v>45683.0</v>
      </c>
      <c r="B24" s="182" t="s">
        <v>19</v>
      </c>
      <c r="C24" s="128" t="s">
        <v>9</v>
      </c>
      <c r="D24" s="129">
        <v>7.0</v>
      </c>
      <c r="E24" s="130" t="s">
        <v>10</v>
      </c>
      <c r="F24" s="156" t="s">
        <v>15</v>
      </c>
      <c r="G24" s="132" t="s">
        <v>12</v>
      </c>
      <c r="H24" s="157">
        <f t="shared" si="1"/>
        <v>1</v>
      </c>
      <c r="I24" s="158" t="s">
        <v>13</v>
      </c>
    </row>
    <row r="25" ht="22.5" customHeight="1">
      <c r="A25" s="135">
        <v>45684.0</v>
      </c>
      <c r="B25" s="159" t="s">
        <v>8</v>
      </c>
      <c r="C25" s="137" t="s">
        <v>9</v>
      </c>
      <c r="D25" s="138">
        <v>14.0</v>
      </c>
      <c r="E25" s="139" t="s">
        <v>10</v>
      </c>
      <c r="F25" s="161" t="s">
        <v>11</v>
      </c>
      <c r="G25" s="141" t="s">
        <v>12</v>
      </c>
      <c r="H25" s="162">
        <f t="shared" si="1"/>
        <v>1</v>
      </c>
      <c r="I25" s="163" t="s">
        <v>39</v>
      </c>
    </row>
    <row r="26" ht="22.5" customHeight="1">
      <c r="A26" s="107">
        <v>45685.0</v>
      </c>
      <c r="B26" s="164" t="s">
        <v>8</v>
      </c>
      <c r="C26" s="109" t="s">
        <v>9</v>
      </c>
      <c r="D26" s="110">
        <v>16.0</v>
      </c>
      <c r="E26" s="111" t="s">
        <v>10</v>
      </c>
      <c r="F26" s="112" t="s">
        <v>11</v>
      </c>
      <c r="G26" s="113" t="s">
        <v>12</v>
      </c>
      <c r="H26" s="165">
        <f t="shared" si="1"/>
        <v>1</v>
      </c>
      <c r="I26" s="166" t="s">
        <v>16</v>
      </c>
    </row>
    <row r="27" ht="22.5" customHeight="1">
      <c r="A27" s="117">
        <v>45686.0</v>
      </c>
      <c r="B27" s="151" t="s">
        <v>17</v>
      </c>
      <c r="C27" s="119" t="s">
        <v>9</v>
      </c>
      <c r="D27" s="120">
        <v>9.0</v>
      </c>
      <c r="E27" s="121" t="s">
        <v>10</v>
      </c>
      <c r="F27" s="122" t="s">
        <v>11</v>
      </c>
      <c r="G27" s="123" t="s">
        <v>12</v>
      </c>
      <c r="H27" s="169">
        <f t="shared" si="1"/>
        <v>1</v>
      </c>
      <c r="I27" s="170" t="s">
        <v>18</v>
      </c>
    </row>
    <row r="28" ht="22.5" customHeight="1">
      <c r="A28" s="126">
        <v>45687.0</v>
      </c>
      <c r="B28" s="183" t="s">
        <v>26</v>
      </c>
      <c r="C28" s="154" t="s">
        <v>21</v>
      </c>
      <c r="D28" s="129">
        <v>27.0</v>
      </c>
      <c r="E28" s="155" t="s">
        <v>22</v>
      </c>
      <c r="F28" s="156" t="s">
        <v>15</v>
      </c>
      <c r="G28" s="132" t="s">
        <v>12</v>
      </c>
      <c r="H28" s="157">
        <f t="shared" si="1"/>
        <v>1</v>
      </c>
      <c r="I28" s="158" t="s">
        <v>33</v>
      </c>
    </row>
    <row r="29" ht="22.5" customHeight="1">
      <c r="A29" s="135">
        <v>45688.0</v>
      </c>
      <c r="B29" s="184" t="s">
        <v>26</v>
      </c>
      <c r="C29" s="137" t="s">
        <v>9</v>
      </c>
      <c r="D29" s="138">
        <v>21.0</v>
      </c>
      <c r="E29" s="139" t="s">
        <v>10</v>
      </c>
      <c r="F29" s="140" t="s">
        <v>15</v>
      </c>
      <c r="G29" s="141" t="s">
        <v>12</v>
      </c>
      <c r="H29" s="173">
        <f t="shared" si="1"/>
        <v>1</v>
      </c>
      <c r="I29" s="174" t="s">
        <v>20</v>
      </c>
    </row>
    <row r="30" ht="22.5" customHeight="1">
      <c r="A30" s="107">
        <v>45689.0</v>
      </c>
      <c r="B30" s="175" t="s">
        <v>17</v>
      </c>
      <c r="C30" s="109" t="s">
        <v>9</v>
      </c>
      <c r="D30" s="110">
        <v>10.0</v>
      </c>
      <c r="E30" s="111" t="s">
        <v>10</v>
      </c>
      <c r="F30" s="112" t="s">
        <v>11</v>
      </c>
      <c r="G30" s="113" t="s">
        <v>27</v>
      </c>
      <c r="H30" s="177">
        <f t="shared" si="1"/>
        <v>2</v>
      </c>
      <c r="I30" s="178" t="s">
        <v>40</v>
      </c>
    </row>
    <row r="31" ht="22.5" customHeight="1">
      <c r="A31" s="117">
        <v>45690.0</v>
      </c>
      <c r="B31" s="118" t="s">
        <v>8</v>
      </c>
      <c r="C31" s="119" t="s">
        <v>9</v>
      </c>
      <c r="D31" s="120">
        <v>14.0</v>
      </c>
      <c r="E31" s="121" t="s">
        <v>10</v>
      </c>
      <c r="F31" s="122" t="s">
        <v>11</v>
      </c>
      <c r="G31" s="123" t="s">
        <v>27</v>
      </c>
      <c r="H31" s="124">
        <f t="shared" si="1"/>
        <v>2</v>
      </c>
      <c r="I31" s="125" t="s">
        <v>13</v>
      </c>
    </row>
    <row r="32" ht="22.5" customHeight="1">
      <c r="A32" s="126">
        <v>45691.0</v>
      </c>
      <c r="B32" s="127" t="s">
        <v>8</v>
      </c>
      <c r="C32" s="128" t="s">
        <v>9</v>
      </c>
      <c r="D32" s="129">
        <v>14.0</v>
      </c>
      <c r="E32" s="130" t="s">
        <v>10</v>
      </c>
      <c r="F32" s="131" t="s">
        <v>11</v>
      </c>
      <c r="G32" s="132" t="s">
        <v>27</v>
      </c>
      <c r="H32" s="133">
        <f t="shared" si="1"/>
        <v>2</v>
      </c>
      <c r="I32" s="134" t="s">
        <v>39</v>
      </c>
    </row>
    <row r="33" ht="22.5" customHeight="1">
      <c r="A33" s="135">
        <v>45692.0</v>
      </c>
      <c r="B33" s="185" t="s">
        <v>17</v>
      </c>
      <c r="C33" s="172" t="s">
        <v>24</v>
      </c>
      <c r="D33" s="138">
        <v>12.0</v>
      </c>
      <c r="E33" s="139" t="s">
        <v>10</v>
      </c>
      <c r="F33" s="161" t="s">
        <v>11</v>
      </c>
      <c r="G33" s="141" t="s">
        <v>27</v>
      </c>
      <c r="H33" s="142">
        <f t="shared" si="1"/>
        <v>2</v>
      </c>
      <c r="I33" s="143" t="s">
        <v>16</v>
      </c>
    </row>
    <row r="34" ht="22.5" customHeight="1">
      <c r="A34" s="126">
        <v>45693.0</v>
      </c>
      <c r="B34" s="127" t="s">
        <v>8</v>
      </c>
      <c r="C34" s="128" t="s">
        <v>9</v>
      </c>
      <c r="D34" s="129">
        <v>14.0</v>
      </c>
      <c r="E34" s="130" t="s">
        <v>10</v>
      </c>
      <c r="F34" s="156" t="s">
        <v>15</v>
      </c>
      <c r="G34" s="132" t="s">
        <v>27</v>
      </c>
      <c r="H34" s="145">
        <f t="shared" si="1"/>
        <v>2</v>
      </c>
      <c r="I34" s="146" t="s">
        <v>18</v>
      </c>
    </row>
    <row r="35" ht="22.5" customHeight="1">
      <c r="A35" s="135">
        <v>45694.0</v>
      </c>
      <c r="B35" s="136" t="s">
        <v>14</v>
      </c>
      <c r="C35" s="172" t="s">
        <v>24</v>
      </c>
      <c r="D35" s="138">
        <v>21.0</v>
      </c>
      <c r="E35" s="139" t="s">
        <v>10</v>
      </c>
      <c r="F35" s="140" t="s">
        <v>15</v>
      </c>
      <c r="G35" s="141" t="s">
        <v>27</v>
      </c>
      <c r="H35" s="148">
        <f t="shared" si="1"/>
        <v>2</v>
      </c>
      <c r="I35" s="149" t="s">
        <v>33</v>
      </c>
    </row>
    <row r="36" ht="22.5" customHeight="1">
      <c r="A36" s="107">
        <v>45695.0</v>
      </c>
      <c r="B36" s="108" t="s">
        <v>14</v>
      </c>
      <c r="C36" s="109" t="s">
        <v>9</v>
      </c>
      <c r="D36" s="110">
        <v>28.0</v>
      </c>
      <c r="E36" s="186" t="s">
        <v>22</v>
      </c>
      <c r="F36" s="112" t="s">
        <v>11</v>
      </c>
      <c r="G36" s="113" t="s">
        <v>27</v>
      </c>
      <c r="H36" s="114">
        <f t="shared" si="1"/>
        <v>2</v>
      </c>
      <c r="I36" s="115" t="s">
        <v>20</v>
      </c>
    </row>
    <row r="37" ht="22.5" customHeight="1">
      <c r="A37" s="117">
        <v>45696.0</v>
      </c>
      <c r="B37" s="181" t="s">
        <v>19</v>
      </c>
      <c r="C37" s="119" t="s">
        <v>9</v>
      </c>
      <c r="D37" s="120">
        <v>7.0</v>
      </c>
      <c r="E37" s="121" t="s">
        <v>10</v>
      </c>
      <c r="F37" s="122" t="s">
        <v>11</v>
      </c>
      <c r="G37" s="123" t="s">
        <v>27</v>
      </c>
      <c r="H37" s="152">
        <f t="shared" si="1"/>
        <v>2</v>
      </c>
      <c r="I37" s="153" t="s">
        <v>40</v>
      </c>
    </row>
    <row r="38" ht="22.5" customHeight="1">
      <c r="A38" s="126">
        <v>45697.0</v>
      </c>
      <c r="B38" s="182" t="s">
        <v>19</v>
      </c>
      <c r="C38" s="128" t="s">
        <v>9</v>
      </c>
      <c r="D38" s="129">
        <v>7.0</v>
      </c>
      <c r="E38" s="130" t="s">
        <v>10</v>
      </c>
      <c r="F38" s="131" t="s">
        <v>11</v>
      </c>
      <c r="G38" s="132" t="s">
        <v>27</v>
      </c>
      <c r="H38" s="157">
        <f t="shared" si="1"/>
        <v>2</v>
      </c>
      <c r="I38" s="158" t="s">
        <v>13</v>
      </c>
    </row>
    <row r="39" ht="22.5" customHeight="1">
      <c r="A39" s="135">
        <v>45698.0</v>
      </c>
      <c r="B39" s="159" t="s">
        <v>8</v>
      </c>
      <c r="C39" s="137" t="s">
        <v>9</v>
      </c>
      <c r="D39" s="138">
        <v>14.0</v>
      </c>
      <c r="E39" s="139" t="s">
        <v>10</v>
      </c>
      <c r="F39" s="161" t="s">
        <v>11</v>
      </c>
      <c r="G39" s="141" t="s">
        <v>27</v>
      </c>
      <c r="H39" s="162">
        <f t="shared" si="1"/>
        <v>2</v>
      </c>
      <c r="I39" s="163" t="s">
        <v>39</v>
      </c>
    </row>
    <row r="40" ht="22.5" customHeight="1">
      <c r="A40" s="107">
        <v>45699.0</v>
      </c>
      <c r="B40" s="164" t="s">
        <v>8</v>
      </c>
      <c r="C40" s="180" t="s">
        <v>21</v>
      </c>
      <c r="D40" s="110">
        <v>14.0</v>
      </c>
      <c r="E40" s="111" t="s">
        <v>10</v>
      </c>
      <c r="F40" s="187" t="s">
        <v>15</v>
      </c>
      <c r="G40" s="113" t="s">
        <v>27</v>
      </c>
      <c r="H40" s="165">
        <f t="shared" si="1"/>
        <v>2</v>
      </c>
      <c r="I40" s="166" t="s">
        <v>16</v>
      </c>
    </row>
    <row r="41" ht="22.5" customHeight="1">
      <c r="A41" s="117">
        <v>45700.0</v>
      </c>
      <c r="B41" s="151" t="s">
        <v>17</v>
      </c>
      <c r="C41" s="119" t="s">
        <v>9</v>
      </c>
      <c r="D41" s="120">
        <v>10.0</v>
      </c>
      <c r="E41" s="121" t="s">
        <v>10</v>
      </c>
      <c r="F41" s="122" t="s">
        <v>11</v>
      </c>
      <c r="G41" s="123" t="s">
        <v>27</v>
      </c>
      <c r="H41" s="169">
        <f t="shared" si="1"/>
        <v>2</v>
      </c>
      <c r="I41" s="170" t="s">
        <v>18</v>
      </c>
    </row>
    <row r="42" ht="22.5" customHeight="1">
      <c r="A42" s="126">
        <v>45701.0</v>
      </c>
      <c r="B42" s="144" t="s">
        <v>17</v>
      </c>
      <c r="C42" s="128" t="s">
        <v>9</v>
      </c>
      <c r="D42" s="129">
        <v>12.0</v>
      </c>
      <c r="E42" s="130" t="s">
        <v>10</v>
      </c>
      <c r="F42" s="156" t="s">
        <v>15</v>
      </c>
      <c r="G42" s="132" t="s">
        <v>27</v>
      </c>
      <c r="H42" s="157">
        <f t="shared" si="1"/>
        <v>2</v>
      </c>
      <c r="I42" s="158" t="s">
        <v>33</v>
      </c>
    </row>
    <row r="43" ht="22.5" customHeight="1">
      <c r="A43" s="135">
        <v>45702.0</v>
      </c>
      <c r="B43" s="159" t="s">
        <v>8</v>
      </c>
      <c r="C43" s="137" t="s">
        <v>9</v>
      </c>
      <c r="D43" s="138">
        <v>14.0</v>
      </c>
      <c r="E43" s="139" t="s">
        <v>10</v>
      </c>
      <c r="F43" s="161" t="s">
        <v>11</v>
      </c>
      <c r="G43" s="141" t="s">
        <v>27</v>
      </c>
      <c r="H43" s="173">
        <f t="shared" si="1"/>
        <v>2</v>
      </c>
      <c r="I43" s="174" t="s">
        <v>20</v>
      </c>
    </row>
    <row r="44" ht="22.5" customHeight="1">
      <c r="A44" s="107">
        <v>45703.0</v>
      </c>
      <c r="B44" s="164" t="s">
        <v>8</v>
      </c>
      <c r="C44" s="180" t="s">
        <v>21</v>
      </c>
      <c r="D44" s="110">
        <v>15.0</v>
      </c>
      <c r="E44" s="111" t="s">
        <v>10</v>
      </c>
      <c r="F44" s="112" t="s">
        <v>11</v>
      </c>
      <c r="G44" s="113" t="s">
        <v>27</v>
      </c>
      <c r="H44" s="177">
        <f t="shared" si="1"/>
        <v>2</v>
      </c>
      <c r="I44" s="178" t="s">
        <v>40</v>
      </c>
    </row>
    <row r="45" ht="22.5" customHeight="1">
      <c r="A45" s="117">
        <v>45704.0</v>
      </c>
      <c r="B45" s="167" t="s">
        <v>23</v>
      </c>
      <c r="C45" s="119" t="s">
        <v>9</v>
      </c>
      <c r="D45" s="120">
        <v>21.0</v>
      </c>
      <c r="E45" s="121" t="s">
        <v>10</v>
      </c>
      <c r="F45" s="168" t="s">
        <v>15</v>
      </c>
      <c r="G45" s="123" t="s">
        <v>27</v>
      </c>
      <c r="H45" s="124">
        <f t="shared" si="1"/>
        <v>2</v>
      </c>
      <c r="I45" s="125" t="s">
        <v>13</v>
      </c>
    </row>
    <row r="46" ht="22.5" customHeight="1">
      <c r="A46" s="126">
        <v>45705.0</v>
      </c>
      <c r="B46" s="171" t="s">
        <v>23</v>
      </c>
      <c r="C46" s="128" t="s">
        <v>9</v>
      </c>
      <c r="D46" s="129">
        <v>19.0</v>
      </c>
      <c r="E46" s="130" t="s">
        <v>10</v>
      </c>
      <c r="F46" s="131" t="s">
        <v>11</v>
      </c>
      <c r="G46" s="132" t="s">
        <v>27</v>
      </c>
      <c r="H46" s="133">
        <f t="shared" si="1"/>
        <v>2</v>
      </c>
      <c r="I46" s="134" t="s">
        <v>39</v>
      </c>
    </row>
    <row r="47" ht="22.5" customHeight="1">
      <c r="A47" s="135">
        <v>45706.0</v>
      </c>
      <c r="B47" s="136" t="s">
        <v>14</v>
      </c>
      <c r="C47" s="137" t="s">
        <v>9</v>
      </c>
      <c r="D47" s="138">
        <v>23.0</v>
      </c>
      <c r="E47" s="139" t="s">
        <v>10</v>
      </c>
      <c r="F47" s="161" t="s">
        <v>11</v>
      </c>
      <c r="G47" s="141" t="s">
        <v>27</v>
      </c>
      <c r="H47" s="142">
        <f t="shared" si="1"/>
        <v>2</v>
      </c>
      <c r="I47" s="143" t="s">
        <v>16</v>
      </c>
    </row>
    <row r="48" ht="22.5" customHeight="1">
      <c r="A48" s="126">
        <v>45707.0</v>
      </c>
      <c r="B48" s="127" t="s">
        <v>8</v>
      </c>
      <c r="C48" s="128" t="s">
        <v>9</v>
      </c>
      <c r="D48" s="129">
        <v>15.0</v>
      </c>
      <c r="E48" s="130" t="s">
        <v>10</v>
      </c>
      <c r="F48" s="131" t="s">
        <v>11</v>
      </c>
      <c r="G48" s="132" t="s">
        <v>27</v>
      </c>
      <c r="H48" s="145">
        <f t="shared" si="1"/>
        <v>2</v>
      </c>
      <c r="I48" s="146" t="s">
        <v>18</v>
      </c>
    </row>
    <row r="49" ht="22.5" customHeight="1">
      <c r="A49" s="135">
        <v>45708.0</v>
      </c>
      <c r="B49" s="136" t="s">
        <v>14</v>
      </c>
      <c r="C49" s="137" t="s">
        <v>9</v>
      </c>
      <c r="D49" s="138">
        <v>22.0</v>
      </c>
      <c r="E49" s="139" t="s">
        <v>10</v>
      </c>
      <c r="F49" s="140" t="s">
        <v>15</v>
      </c>
      <c r="G49" s="141" t="s">
        <v>27</v>
      </c>
      <c r="H49" s="148">
        <f t="shared" si="1"/>
        <v>2</v>
      </c>
      <c r="I49" s="149" t="s">
        <v>33</v>
      </c>
    </row>
    <row r="50" ht="22.5" customHeight="1">
      <c r="A50" s="107">
        <v>45709.0</v>
      </c>
      <c r="B50" s="175" t="s">
        <v>17</v>
      </c>
      <c r="C50" s="109" t="s">
        <v>9</v>
      </c>
      <c r="D50" s="110">
        <v>11.0</v>
      </c>
      <c r="E50" s="111" t="s">
        <v>10</v>
      </c>
      <c r="F50" s="187" t="s">
        <v>15</v>
      </c>
      <c r="G50" s="113" t="s">
        <v>27</v>
      </c>
      <c r="H50" s="114">
        <f t="shared" si="1"/>
        <v>2</v>
      </c>
      <c r="I50" s="115" t="s">
        <v>20</v>
      </c>
    </row>
    <row r="51" ht="22.5" customHeight="1">
      <c r="A51" s="117">
        <v>45710.0</v>
      </c>
      <c r="B51" s="118" t="s">
        <v>8</v>
      </c>
      <c r="C51" s="119" t="s">
        <v>9</v>
      </c>
      <c r="D51" s="120">
        <v>14.0</v>
      </c>
      <c r="E51" s="121" t="s">
        <v>10</v>
      </c>
      <c r="F51" s="122" t="s">
        <v>11</v>
      </c>
      <c r="G51" s="123" t="s">
        <v>27</v>
      </c>
      <c r="H51" s="152">
        <f t="shared" si="1"/>
        <v>2</v>
      </c>
      <c r="I51" s="153" t="s">
        <v>40</v>
      </c>
    </row>
    <row r="52" ht="22.5" customHeight="1">
      <c r="A52" s="126">
        <v>45711.0</v>
      </c>
      <c r="B52" s="127" t="s">
        <v>8</v>
      </c>
      <c r="C52" s="188" t="s">
        <v>24</v>
      </c>
      <c r="D52" s="129">
        <v>14.0</v>
      </c>
      <c r="E52" s="130" t="s">
        <v>10</v>
      </c>
      <c r="F52" s="131" t="s">
        <v>11</v>
      </c>
      <c r="G52" s="132" t="s">
        <v>27</v>
      </c>
      <c r="H52" s="157">
        <f t="shared" si="1"/>
        <v>2</v>
      </c>
      <c r="I52" s="158" t="s">
        <v>13</v>
      </c>
    </row>
    <row r="53" ht="22.5" customHeight="1">
      <c r="A53" s="135">
        <v>45712.0</v>
      </c>
      <c r="B53" s="147" t="s">
        <v>19</v>
      </c>
      <c r="C53" s="137" t="s">
        <v>9</v>
      </c>
      <c r="D53" s="138">
        <v>7.0</v>
      </c>
      <c r="E53" s="139" t="s">
        <v>10</v>
      </c>
      <c r="F53" s="161" t="s">
        <v>11</v>
      </c>
      <c r="G53" s="141" t="s">
        <v>27</v>
      </c>
      <c r="H53" s="162">
        <f t="shared" si="1"/>
        <v>2</v>
      </c>
      <c r="I53" s="163" t="s">
        <v>39</v>
      </c>
    </row>
    <row r="54" ht="22.5" customHeight="1">
      <c r="A54" s="107">
        <v>45713.0</v>
      </c>
      <c r="B54" s="150" t="s">
        <v>19</v>
      </c>
      <c r="C54" s="109" t="s">
        <v>9</v>
      </c>
      <c r="D54" s="110">
        <v>7.0</v>
      </c>
      <c r="E54" s="111" t="s">
        <v>10</v>
      </c>
      <c r="F54" s="112" t="s">
        <v>11</v>
      </c>
      <c r="G54" s="113" t="s">
        <v>27</v>
      </c>
      <c r="H54" s="165">
        <f t="shared" si="1"/>
        <v>2</v>
      </c>
      <c r="I54" s="166" t="s">
        <v>16</v>
      </c>
    </row>
    <row r="55" ht="22.5" customHeight="1">
      <c r="A55" s="117">
        <v>45714.0</v>
      </c>
      <c r="B55" s="189" t="s">
        <v>26</v>
      </c>
      <c r="C55" s="190" t="s">
        <v>21</v>
      </c>
      <c r="D55" s="120">
        <v>25.0</v>
      </c>
      <c r="E55" s="121" t="s">
        <v>10</v>
      </c>
      <c r="F55" s="168" t="s">
        <v>15</v>
      </c>
      <c r="G55" s="123" t="s">
        <v>27</v>
      </c>
      <c r="H55" s="169">
        <f t="shared" si="1"/>
        <v>2</v>
      </c>
      <c r="I55" s="170" t="s">
        <v>18</v>
      </c>
    </row>
    <row r="56" ht="22.5" customHeight="1">
      <c r="A56" s="126">
        <v>45715.0</v>
      </c>
      <c r="B56" s="144" t="s">
        <v>17</v>
      </c>
      <c r="C56" s="188" t="s">
        <v>24</v>
      </c>
      <c r="D56" s="129">
        <v>10.0</v>
      </c>
      <c r="E56" s="130" t="s">
        <v>10</v>
      </c>
      <c r="F56" s="156" t="s">
        <v>15</v>
      </c>
      <c r="G56" s="132" t="s">
        <v>27</v>
      </c>
      <c r="H56" s="157">
        <f t="shared" si="1"/>
        <v>2</v>
      </c>
      <c r="I56" s="158" t="s">
        <v>33</v>
      </c>
    </row>
    <row r="57" ht="22.5" customHeight="1">
      <c r="A57" s="135">
        <v>45716.0</v>
      </c>
      <c r="B57" s="159" t="s">
        <v>8</v>
      </c>
      <c r="C57" s="137" t="s">
        <v>9</v>
      </c>
      <c r="D57" s="138">
        <v>14.0</v>
      </c>
      <c r="E57" s="139" t="s">
        <v>10</v>
      </c>
      <c r="F57" s="161" t="s">
        <v>11</v>
      </c>
      <c r="G57" s="141" t="s">
        <v>27</v>
      </c>
      <c r="H57" s="173">
        <f t="shared" si="1"/>
        <v>2</v>
      </c>
      <c r="I57" s="174" t="s">
        <v>20</v>
      </c>
    </row>
    <row r="58" ht="22.5" customHeight="1">
      <c r="A58" s="107">
        <v>45717.0</v>
      </c>
      <c r="B58" s="164" t="s">
        <v>8</v>
      </c>
      <c r="C58" s="109" t="s">
        <v>9</v>
      </c>
      <c r="D58" s="110">
        <v>14.0</v>
      </c>
      <c r="E58" s="111" t="s">
        <v>10</v>
      </c>
      <c r="F58" s="112" t="s">
        <v>11</v>
      </c>
      <c r="G58" s="113" t="s">
        <v>28</v>
      </c>
      <c r="H58" s="177">
        <f t="shared" si="1"/>
        <v>3</v>
      </c>
      <c r="I58" s="178" t="s">
        <v>40</v>
      </c>
    </row>
    <row r="59" ht="22.5" customHeight="1">
      <c r="A59" s="117">
        <v>45718.0</v>
      </c>
      <c r="B59" s="151" t="s">
        <v>17</v>
      </c>
      <c r="C59" s="119" t="s">
        <v>9</v>
      </c>
      <c r="D59" s="120">
        <v>9.0</v>
      </c>
      <c r="E59" s="121" t="s">
        <v>10</v>
      </c>
      <c r="F59" s="122" t="s">
        <v>11</v>
      </c>
      <c r="G59" s="123" t="s">
        <v>28</v>
      </c>
      <c r="H59" s="124">
        <f t="shared" si="1"/>
        <v>3</v>
      </c>
      <c r="I59" s="125" t="s">
        <v>13</v>
      </c>
    </row>
    <row r="60" ht="22.5" customHeight="1">
      <c r="A60" s="126">
        <v>45719.0</v>
      </c>
      <c r="B60" s="191" t="s">
        <v>14</v>
      </c>
      <c r="C60" s="128" t="s">
        <v>9</v>
      </c>
      <c r="D60" s="129">
        <v>23.0</v>
      </c>
      <c r="E60" s="130" t="s">
        <v>10</v>
      </c>
      <c r="F60" s="131" t="s">
        <v>11</v>
      </c>
      <c r="G60" s="132" t="s">
        <v>28</v>
      </c>
      <c r="H60" s="133">
        <f t="shared" si="1"/>
        <v>3</v>
      </c>
      <c r="I60" s="134" t="s">
        <v>39</v>
      </c>
    </row>
    <row r="61" ht="22.5" customHeight="1">
      <c r="A61" s="135">
        <v>45720.0</v>
      </c>
      <c r="B61" s="159" t="s">
        <v>8</v>
      </c>
      <c r="C61" s="137" t="s">
        <v>9</v>
      </c>
      <c r="D61" s="138">
        <v>14.0</v>
      </c>
      <c r="E61" s="139" t="s">
        <v>10</v>
      </c>
      <c r="F61" s="140" t="s">
        <v>15</v>
      </c>
      <c r="G61" s="141" t="s">
        <v>28</v>
      </c>
      <c r="H61" s="142">
        <f t="shared" si="1"/>
        <v>3</v>
      </c>
      <c r="I61" s="143" t="s">
        <v>16</v>
      </c>
    </row>
    <row r="62" ht="22.5" customHeight="1">
      <c r="A62" s="126">
        <v>45721.0</v>
      </c>
      <c r="B62" s="191" t="s">
        <v>14</v>
      </c>
      <c r="C62" s="128" t="s">
        <v>9</v>
      </c>
      <c r="D62" s="129">
        <v>22.0</v>
      </c>
      <c r="E62" s="130" t="s">
        <v>10</v>
      </c>
      <c r="F62" s="131" t="s">
        <v>11</v>
      </c>
      <c r="G62" s="132" t="s">
        <v>28</v>
      </c>
      <c r="H62" s="145">
        <f t="shared" si="1"/>
        <v>3</v>
      </c>
      <c r="I62" s="146" t="s">
        <v>18</v>
      </c>
    </row>
    <row r="63" ht="22.5" customHeight="1">
      <c r="A63" s="135">
        <v>45722.0</v>
      </c>
      <c r="B63" s="159" t="s">
        <v>8</v>
      </c>
      <c r="C63" s="137" t="s">
        <v>9</v>
      </c>
      <c r="D63" s="138">
        <v>14.0</v>
      </c>
      <c r="E63" s="139" t="s">
        <v>10</v>
      </c>
      <c r="F63" s="140" t="s">
        <v>15</v>
      </c>
      <c r="G63" s="141" t="s">
        <v>28</v>
      </c>
      <c r="H63" s="148">
        <f t="shared" si="1"/>
        <v>3</v>
      </c>
      <c r="I63" s="149" t="s">
        <v>33</v>
      </c>
    </row>
    <row r="64" ht="22.5" customHeight="1">
      <c r="A64" s="107">
        <v>45723.0</v>
      </c>
      <c r="B64" s="164" t="s">
        <v>8</v>
      </c>
      <c r="C64" s="180" t="s">
        <v>21</v>
      </c>
      <c r="D64" s="110">
        <v>17.0</v>
      </c>
      <c r="E64" s="186" t="s">
        <v>22</v>
      </c>
      <c r="F64" s="112" t="s">
        <v>11</v>
      </c>
      <c r="G64" s="113" t="s">
        <v>28</v>
      </c>
      <c r="H64" s="114">
        <f t="shared" si="1"/>
        <v>3</v>
      </c>
      <c r="I64" s="115" t="s">
        <v>20</v>
      </c>
    </row>
    <row r="65" ht="22.5" customHeight="1">
      <c r="A65" s="117">
        <v>45724.0</v>
      </c>
      <c r="B65" s="181" t="s">
        <v>19</v>
      </c>
      <c r="C65" s="119" t="s">
        <v>9</v>
      </c>
      <c r="D65" s="120">
        <v>7.0</v>
      </c>
      <c r="E65" s="121" t="s">
        <v>10</v>
      </c>
      <c r="F65" s="122" t="s">
        <v>11</v>
      </c>
      <c r="G65" s="123" t="s">
        <v>28</v>
      </c>
      <c r="H65" s="152">
        <f t="shared" si="1"/>
        <v>3</v>
      </c>
      <c r="I65" s="153" t="s">
        <v>40</v>
      </c>
    </row>
    <row r="66" ht="22.5" customHeight="1">
      <c r="A66" s="126">
        <v>45725.0</v>
      </c>
      <c r="B66" s="182" t="s">
        <v>19</v>
      </c>
      <c r="C66" s="128" t="s">
        <v>9</v>
      </c>
      <c r="D66" s="129">
        <v>7.0</v>
      </c>
      <c r="E66" s="130" t="s">
        <v>10</v>
      </c>
      <c r="F66" s="156" t="s">
        <v>15</v>
      </c>
      <c r="G66" s="132" t="s">
        <v>28</v>
      </c>
      <c r="H66" s="157">
        <f t="shared" si="1"/>
        <v>3</v>
      </c>
      <c r="I66" s="158" t="s">
        <v>13</v>
      </c>
    </row>
    <row r="67" ht="22.5" customHeight="1">
      <c r="A67" s="135">
        <v>45726.0</v>
      </c>
      <c r="B67" s="185" t="s">
        <v>17</v>
      </c>
      <c r="C67" s="137" t="s">
        <v>9</v>
      </c>
      <c r="D67" s="138">
        <v>11.0</v>
      </c>
      <c r="E67" s="139" t="s">
        <v>10</v>
      </c>
      <c r="F67" s="161" t="s">
        <v>11</v>
      </c>
      <c r="G67" s="141" t="s">
        <v>28</v>
      </c>
      <c r="H67" s="162">
        <f t="shared" si="1"/>
        <v>3</v>
      </c>
      <c r="I67" s="163" t="s">
        <v>39</v>
      </c>
    </row>
    <row r="68" ht="22.5" customHeight="1">
      <c r="A68" s="107">
        <v>45727.0</v>
      </c>
      <c r="B68" s="175" t="s">
        <v>17</v>
      </c>
      <c r="C68" s="176" t="s">
        <v>24</v>
      </c>
      <c r="D68" s="110">
        <v>10.0</v>
      </c>
      <c r="E68" s="111" t="s">
        <v>10</v>
      </c>
      <c r="F68" s="112" t="s">
        <v>11</v>
      </c>
      <c r="G68" s="113" t="s">
        <v>28</v>
      </c>
      <c r="H68" s="165">
        <f t="shared" si="1"/>
        <v>3</v>
      </c>
      <c r="I68" s="166" t="s">
        <v>16</v>
      </c>
    </row>
    <row r="69" ht="22.5" customHeight="1">
      <c r="A69" s="117">
        <v>45728.0</v>
      </c>
      <c r="B69" s="118" t="s">
        <v>8</v>
      </c>
      <c r="C69" s="119" t="s">
        <v>9</v>
      </c>
      <c r="D69" s="120">
        <v>14.0</v>
      </c>
      <c r="E69" s="121" t="s">
        <v>10</v>
      </c>
      <c r="F69" s="122" t="s">
        <v>11</v>
      </c>
      <c r="G69" s="123" t="s">
        <v>28</v>
      </c>
      <c r="H69" s="169">
        <f t="shared" si="1"/>
        <v>3</v>
      </c>
      <c r="I69" s="170" t="s">
        <v>18</v>
      </c>
    </row>
    <row r="70" ht="22.5" customHeight="1">
      <c r="A70" s="126">
        <v>45729.0</v>
      </c>
      <c r="B70" s="183" t="s">
        <v>26</v>
      </c>
      <c r="C70" s="128" t="s">
        <v>9</v>
      </c>
      <c r="D70" s="129">
        <v>25.0</v>
      </c>
      <c r="E70" s="130" t="s">
        <v>10</v>
      </c>
      <c r="F70" s="156" t="s">
        <v>15</v>
      </c>
      <c r="G70" s="132" t="s">
        <v>28</v>
      </c>
      <c r="H70" s="157">
        <f t="shared" si="1"/>
        <v>3</v>
      </c>
      <c r="I70" s="158" t="s">
        <v>33</v>
      </c>
    </row>
    <row r="71" ht="22.5" customHeight="1">
      <c r="A71" s="135">
        <v>45730.0</v>
      </c>
      <c r="B71" s="192" t="s">
        <v>25</v>
      </c>
      <c r="C71" s="137" t="s">
        <v>9</v>
      </c>
      <c r="D71" s="138">
        <v>35.0</v>
      </c>
      <c r="E71" s="193" t="s">
        <v>22</v>
      </c>
      <c r="F71" s="140" t="s">
        <v>15</v>
      </c>
      <c r="G71" s="141" t="s">
        <v>28</v>
      </c>
      <c r="H71" s="173">
        <f t="shared" si="1"/>
        <v>3</v>
      </c>
      <c r="I71" s="174" t="s">
        <v>20</v>
      </c>
    </row>
    <row r="72" ht="22.5" customHeight="1">
      <c r="A72" s="107">
        <v>45731.0</v>
      </c>
      <c r="B72" s="164" t="s">
        <v>8</v>
      </c>
      <c r="C72" s="180" t="s">
        <v>21</v>
      </c>
      <c r="D72" s="110">
        <v>14.0</v>
      </c>
      <c r="E72" s="111" t="s">
        <v>10</v>
      </c>
      <c r="F72" s="112" t="s">
        <v>11</v>
      </c>
      <c r="G72" s="113" t="s">
        <v>28</v>
      </c>
      <c r="H72" s="177">
        <f t="shared" si="1"/>
        <v>3</v>
      </c>
      <c r="I72" s="178" t="s">
        <v>40</v>
      </c>
    </row>
    <row r="73" ht="22.5" customHeight="1">
      <c r="A73" s="117">
        <v>45732.0</v>
      </c>
      <c r="B73" s="118" t="s">
        <v>8</v>
      </c>
      <c r="C73" s="119" t="s">
        <v>9</v>
      </c>
      <c r="D73" s="120">
        <v>14.0</v>
      </c>
      <c r="E73" s="121" t="s">
        <v>10</v>
      </c>
      <c r="F73" s="122" t="s">
        <v>11</v>
      </c>
      <c r="G73" s="123" t="s">
        <v>28</v>
      </c>
      <c r="H73" s="124">
        <f t="shared" si="1"/>
        <v>3</v>
      </c>
      <c r="I73" s="125" t="s">
        <v>13</v>
      </c>
    </row>
    <row r="74" ht="22.5" customHeight="1">
      <c r="A74" s="126">
        <v>45733.0</v>
      </c>
      <c r="B74" s="127" t="s">
        <v>8</v>
      </c>
      <c r="C74" s="188" t="s">
        <v>24</v>
      </c>
      <c r="D74" s="129">
        <v>16.0</v>
      </c>
      <c r="E74" s="155" t="s">
        <v>22</v>
      </c>
      <c r="F74" s="131" t="s">
        <v>11</v>
      </c>
      <c r="G74" s="132" t="s">
        <v>28</v>
      </c>
      <c r="H74" s="133">
        <f t="shared" si="1"/>
        <v>3</v>
      </c>
      <c r="I74" s="134" t="s">
        <v>39</v>
      </c>
    </row>
    <row r="75" ht="22.5" customHeight="1">
      <c r="A75" s="135">
        <v>45734.0</v>
      </c>
      <c r="B75" s="194" t="s">
        <v>23</v>
      </c>
      <c r="C75" s="137" t="s">
        <v>9</v>
      </c>
      <c r="D75" s="138">
        <v>19.0</v>
      </c>
      <c r="E75" s="139" t="s">
        <v>10</v>
      </c>
      <c r="F75" s="140" t="s">
        <v>15</v>
      </c>
      <c r="G75" s="141" t="s">
        <v>28</v>
      </c>
      <c r="H75" s="142">
        <f t="shared" si="1"/>
        <v>3</v>
      </c>
      <c r="I75" s="143" t="s">
        <v>16</v>
      </c>
    </row>
    <row r="76" ht="22.5" customHeight="1">
      <c r="A76" s="126">
        <v>45735.0</v>
      </c>
      <c r="B76" s="127" t="s">
        <v>8</v>
      </c>
      <c r="C76" s="128" t="s">
        <v>9</v>
      </c>
      <c r="D76" s="129">
        <v>14.0</v>
      </c>
      <c r="E76" s="130" t="s">
        <v>10</v>
      </c>
      <c r="F76" s="131" t="s">
        <v>11</v>
      </c>
      <c r="G76" s="132" t="s">
        <v>28</v>
      </c>
      <c r="H76" s="145">
        <f t="shared" si="1"/>
        <v>3</v>
      </c>
      <c r="I76" s="146" t="s">
        <v>18</v>
      </c>
    </row>
    <row r="77" ht="22.5" customHeight="1">
      <c r="A77" s="135">
        <v>45736.0</v>
      </c>
      <c r="B77" s="194" t="s">
        <v>23</v>
      </c>
      <c r="C77" s="137" t="s">
        <v>9</v>
      </c>
      <c r="D77" s="138">
        <v>18.0</v>
      </c>
      <c r="E77" s="139" t="s">
        <v>10</v>
      </c>
      <c r="F77" s="140" t="s">
        <v>15</v>
      </c>
      <c r="G77" s="141" t="s">
        <v>28</v>
      </c>
      <c r="H77" s="148">
        <f t="shared" si="1"/>
        <v>3</v>
      </c>
      <c r="I77" s="149" t="s">
        <v>33</v>
      </c>
    </row>
    <row r="78" ht="22.5" customHeight="1">
      <c r="A78" s="107">
        <v>45737.0</v>
      </c>
      <c r="B78" s="175" t="s">
        <v>17</v>
      </c>
      <c r="C78" s="109" t="s">
        <v>9</v>
      </c>
      <c r="D78" s="110">
        <v>8.0</v>
      </c>
      <c r="E78" s="111" t="s">
        <v>10</v>
      </c>
      <c r="F78" s="112" t="s">
        <v>11</v>
      </c>
      <c r="G78" s="113" t="s">
        <v>28</v>
      </c>
      <c r="H78" s="114">
        <f t="shared" si="1"/>
        <v>3</v>
      </c>
      <c r="I78" s="115" t="s">
        <v>20</v>
      </c>
    </row>
    <row r="79" ht="22.5" customHeight="1">
      <c r="A79" s="117">
        <v>45738.0</v>
      </c>
      <c r="B79" s="151" t="s">
        <v>17</v>
      </c>
      <c r="C79" s="119" t="s">
        <v>9</v>
      </c>
      <c r="D79" s="120">
        <v>9.0</v>
      </c>
      <c r="E79" s="121" t="s">
        <v>10</v>
      </c>
      <c r="F79" s="122" t="s">
        <v>11</v>
      </c>
      <c r="G79" s="123" t="s">
        <v>28</v>
      </c>
      <c r="H79" s="152">
        <f t="shared" si="1"/>
        <v>3</v>
      </c>
      <c r="I79" s="153" t="s">
        <v>40</v>
      </c>
    </row>
    <row r="80" ht="22.5" customHeight="1">
      <c r="A80" s="126">
        <v>45739.0</v>
      </c>
      <c r="B80" s="191" t="s">
        <v>14</v>
      </c>
      <c r="C80" s="128" t="s">
        <v>9</v>
      </c>
      <c r="D80" s="129">
        <v>21.0</v>
      </c>
      <c r="E80" s="130" t="s">
        <v>10</v>
      </c>
      <c r="F80" s="156" t="s">
        <v>15</v>
      </c>
      <c r="G80" s="132" t="s">
        <v>28</v>
      </c>
      <c r="H80" s="157">
        <f t="shared" si="1"/>
        <v>3</v>
      </c>
      <c r="I80" s="158" t="s">
        <v>13</v>
      </c>
    </row>
    <row r="81" ht="22.5" customHeight="1">
      <c r="A81" s="135">
        <v>45740.0</v>
      </c>
      <c r="B81" s="136" t="s">
        <v>14</v>
      </c>
      <c r="C81" s="137" t="s">
        <v>9</v>
      </c>
      <c r="D81" s="138">
        <v>21.0</v>
      </c>
      <c r="E81" s="139" t="s">
        <v>10</v>
      </c>
      <c r="F81" s="161" t="s">
        <v>11</v>
      </c>
      <c r="G81" s="141" t="s">
        <v>28</v>
      </c>
      <c r="H81" s="162">
        <f t="shared" si="1"/>
        <v>3</v>
      </c>
      <c r="I81" s="163" t="s">
        <v>39</v>
      </c>
    </row>
    <row r="82" ht="22.5" customHeight="1">
      <c r="A82" s="107">
        <v>45741.0</v>
      </c>
      <c r="B82" s="164" t="s">
        <v>8</v>
      </c>
      <c r="C82" s="176" t="s">
        <v>24</v>
      </c>
      <c r="D82" s="110">
        <v>14.0</v>
      </c>
      <c r="E82" s="111" t="s">
        <v>10</v>
      </c>
      <c r="F82" s="112" t="s">
        <v>11</v>
      </c>
      <c r="G82" s="113" t="s">
        <v>28</v>
      </c>
      <c r="H82" s="165">
        <f t="shared" si="1"/>
        <v>3</v>
      </c>
      <c r="I82" s="166" t="s">
        <v>16</v>
      </c>
    </row>
    <row r="83" ht="22.5" customHeight="1">
      <c r="A83" s="117">
        <v>45742.0</v>
      </c>
      <c r="B83" s="181" t="s">
        <v>19</v>
      </c>
      <c r="C83" s="119" t="s">
        <v>9</v>
      </c>
      <c r="D83" s="120">
        <v>7.0</v>
      </c>
      <c r="E83" s="121" t="s">
        <v>10</v>
      </c>
      <c r="F83" s="122" t="s">
        <v>11</v>
      </c>
      <c r="G83" s="123" t="s">
        <v>28</v>
      </c>
      <c r="H83" s="169">
        <f t="shared" si="1"/>
        <v>3</v>
      </c>
      <c r="I83" s="170" t="s">
        <v>18</v>
      </c>
    </row>
    <row r="84" ht="22.5" customHeight="1">
      <c r="A84" s="126">
        <v>45743.0</v>
      </c>
      <c r="B84" s="127" t="s">
        <v>8</v>
      </c>
      <c r="C84" s="128" t="s">
        <v>9</v>
      </c>
      <c r="D84" s="129">
        <v>14.0</v>
      </c>
      <c r="E84" s="130" t="s">
        <v>10</v>
      </c>
      <c r="F84" s="156" t="s">
        <v>15</v>
      </c>
      <c r="G84" s="132" t="s">
        <v>28</v>
      </c>
      <c r="H84" s="157">
        <f t="shared" si="1"/>
        <v>3</v>
      </c>
      <c r="I84" s="158" t="s">
        <v>33</v>
      </c>
    </row>
    <row r="85" ht="22.5" customHeight="1">
      <c r="A85" s="135">
        <v>45744.0</v>
      </c>
      <c r="B85" s="159" t="s">
        <v>8</v>
      </c>
      <c r="C85" s="137" t="s">
        <v>9</v>
      </c>
      <c r="D85" s="138">
        <v>15.0</v>
      </c>
      <c r="E85" s="139" t="s">
        <v>10</v>
      </c>
      <c r="F85" s="140" t="s">
        <v>15</v>
      </c>
      <c r="G85" s="141" t="s">
        <v>28</v>
      </c>
      <c r="H85" s="173">
        <f t="shared" si="1"/>
        <v>3</v>
      </c>
      <c r="I85" s="174" t="s">
        <v>20</v>
      </c>
    </row>
    <row r="86" ht="22.5" customHeight="1">
      <c r="A86" s="107">
        <v>45745.0</v>
      </c>
      <c r="B86" s="150" t="s">
        <v>19</v>
      </c>
      <c r="C86" s="109" t="s">
        <v>9</v>
      </c>
      <c r="D86" s="110">
        <v>7.0</v>
      </c>
      <c r="E86" s="111" t="s">
        <v>10</v>
      </c>
      <c r="F86" s="112" t="s">
        <v>11</v>
      </c>
      <c r="G86" s="113" t="s">
        <v>28</v>
      </c>
      <c r="H86" s="177">
        <f t="shared" si="1"/>
        <v>3</v>
      </c>
      <c r="I86" s="178" t="s">
        <v>40</v>
      </c>
    </row>
    <row r="87" ht="22.5" customHeight="1">
      <c r="A87" s="117">
        <v>45746.0</v>
      </c>
      <c r="B87" s="189" t="s">
        <v>26</v>
      </c>
      <c r="C87" s="119" t="s">
        <v>9</v>
      </c>
      <c r="D87" s="120">
        <v>24.0</v>
      </c>
      <c r="E87" s="121" t="s">
        <v>10</v>
      </c>
      <c r="F87" s="122" t="s">
        <v>11</v>
      </c>
      <c r="G87" s="123" t="s">
        <v>28</v>
      </c>
      <c r="H87" s="124">
        <f t="shared" si="1"/>
        <v>3</v>
      </c>
      <c r="I87" s="125" t="s">
        <v>13</v>
      </c>
    </row>
    <row r="88" ht="22.5" customHeight="1">
      <c r="A88" s="126">
        <v>45747.0</v>
      </c>
      <c r="B88" s="127" t="s">
        <v>8</v>
      </c>
      <c r="C88" s="128" t="s">
        <v>9</v>
      </c>
      <c r="D88" s="129">
        <v>14.0</v>
      </c>
      <c r="E88" s="130" t="s">
        <v>10</v>
      </c>
      <c r="F88" s="131" t="s">
        <v>11</v>
      </c>
      <c r="G88" s="132" t="s">
        <v>28</v>
      </c>
      <c r="H88" s="133">
        <f t="shared" si="1"/>
        <v>3</v>
      </c>
      <c r="I88" s="134" t="s">
        <v>39</v>
      </c>
    </row>
    <row r="89" ht="22.5" customHeight="1">
      <c r="A89" s="135">
        <v>45748.0</v>
      </c>
      <c r="B89" s="159" t="s">
        <v>8</v>
      </c>
      <c r="C89" s="137" t="s">
        <v>9</v>
      </c>
      <c r="D89" s="138">
        <v>14.0</v>
      </c>
      <c r="E89" s="139" t="s">
        <v>10</v>
      </c>
      <c r="F89" s="161" t="s">
        <v>11</v>
      </c>
      <c r="G89" s="141" t="s">
        <v>29</v>
      </c>
      <c r="H89" s="142">
        <f t="shared" si="1"/>
        <v>4</v>
      </c>
      <c r="I89" s="143" t="s">
        <v>16</v>
      </c>
    </row>
    <row r="90" ht="22.5" customHeight="1">
      <c r="A90" s="126">
        <v>45749.0</v>
      </c>
      <c r="B90" s="144" t="s">
        <v>17</v>
      </c>
      <c r="C90" s="128" t="s">
        <v>9</v>
      </c>
      <c r="D90" s="129">
        <v>10.0</v>
      </c>
      <c r="E90" s="130" t="s">
        <v>10</v>
      </c>
      <c r="F90" s="131" t="s">
        <v>11</v>
      </c>
      <c r="G90" s="132" t="s">
        <v>29</v>
      </c>
      <c r="H90" s="145">
        <f t="shared" si="1"/>
        <v>4</v>
      </c>
      <c r="I90" s="146" t="s">
        <v>18</v>
      </c>
    </row>
    <row r="91" ht="22.5" customHeight="1">
      <c r="A91" s="135">
        <v>45750.0</v>
      </c>
      <c r="B91" s="185" t="s">
        <v>17</v>
      </c>
      <c r="C91" s="172" t="s">
        <v>24</v>
      </c>
      <c r="D91" s="138">
        <v>10.0</v>
      </c>
      <c r="E91" s="139" t="s">
        <v>10</v>
      </c>
      <c r="F91" s="140" t="s">
        <v>15</v>
      </c>
      <c r="G91" s="141" t="s">
        <v>29</v>
      </c>
      <c r="H91" s="148">
        <f t="shared" si="1"/>
        <v>4</v>
      </c>
      <c r="I91" s="149" t="s">
        <v>33</v>
      </c>
    </row>
    <row r="92" ht="22.5" customHeight="1">
      <c r="A92" s="107">
        <v>45751.0</v>
      </c>
      <c r="B92" s="164" t="s">
        <v>8</v>
      </c>
      <c r="C92" s="180" t="s">
        <v>21</v>
      </c>
      <c r="D92" s="110">
        <v>14.0</v>
      </c>
      <c r="E92" s="111" t="s">
        <v>10</v>
      </c>
      <c r="F92" s="187" t="s">
        <v>15</v>
      </c>
      <c r="G92" s="113" t="s">
        <v>29</v>
      </c>
      <c r="H92" s="114">
        <f t="shared" si="1"/>
        <v>4</v>
      </c>
      <c r="I92" s="115" t="s">
        <v>20</v>
      </c>
    </row>
    <row r="93" ht="22.5" customHeight="1">
      <c r="A93" s="117">
        <v>45752.0</v>
      </c>
      <c r="B93" s="195" t="s">
        <v>14</v>
      </c>
      <c r="C93" s="119" t="s">
        <v>9</v>
      </c>
      <c r="D93" s="120">
        <v>22.0</v>
      </c>
      <c r="E93" s="121" t="s">
        <v>10</v>
      </c>
      <c r="F93" s="122" t="s">
        <v>11</v>
      </c>
      <c r="G93" s="123" t="s">
        <v>29</v>
      </c>
      <c r="H93" s="152">
        <f t="shared" si="1"/>
        <v>4</v>
      </c>
      <c r="I93" s="153" t="s">
        <v>40</v>
      </c>
    </row>
    <row r="94" ht="22.5" customHeight="1">
      <c r="A94" s="126">
        <v>45753.0</v>
      </c>
      <c r="B94" s="191" t="s">
        <v>14</v>
      </c>
      <c r="C94" s="128" t="s">
        <v>9</v>
      </c>
      <c r="D94" s="129">
        <v>20.0</v>
      </c>
      <c r="E94" s="130" t="s">
        <v>10</v>
      </c>
      <c r="F94" s="131" t="s">
        <v>11</v>
      </c>
      <c r="G94" s="132" t="s">
        <v>29</v>
      </c>
      <c r="H94" s="157">
        <f t="shared" si="1"/>
        <v>4</v>
      </c>
      <c r="I94" s="158" t="s">
        <v>13</v>
      </c>
    </row>
    <row r="95" ht="22.5" customHeight="1">
      <c r="A95" s="135">
        <v>45754.0</v>
      </c>
      <c r="B95" s="159" t="s">
        <v>8</v>
      </c>
      <c r="C95" s="137" t="s">
        <v>9</v>
      </c>
      <c r="D95" s="138">
        <v>14.0</v>
      </c>
      <c r="E95" s="139" t="s">
        <v>10</v>
      </c>
      <c r="F95" s="161" t="s">
        <v>11</v>
      </c>
      <c r="G95" s="141" t="s">
        <v>29</v>
      </c>
      <c r="H95" s="162">
        <f t="shared" si="1"/>
        <v>4</v>
      </c>
      <c r="I95" s="163" t="s">
        <v>39</v>
      </c>
    </row>
    <row r="96" ht="22.5" customHeight="1">
      <c r="A96" s="107">
        <v>45755.0</v>
      </c>
      <c r="B96" s="150" t="s">
        <v>19</v>
      </c>
      <c r="C96" s="109" t="s">
        <v>9</v>
      </c>
      <c r="D96" s="110">
        <v>7.0</v>
      </c>
      <c r="E96" s="111" t="s">
        <v>10</v>
      </c>
      <c r="F96" s="112" t="s">
        <v>11</v>
      </c>
      <c r="G96" s="113" t="s">
        <v>29</v>
      </c>
      <c r="H96" s="165">
        <f t="shared" si="1"/>
        <v>4</v>
      </c>
      <c r="I96" s="166" t="s">
        <v>16</v>
      </c>
    </row>
    <row r="97" ht="22.5" customHeight="1">
      <c r="A97" s="117">
        <v>45756.0</v>
      </c>
      <c r="B97" s="118" t="s">
        <v>8</v>
      </c>
      <c r="C97" s="119" t="s">
        <v>9</v>
      </c>
      <c r="D97" s="120">
        <v>14.0</v>
      </c>
      <c r="E97" s="121" t="s">
        <v>10</v>
      </c>
      <c r="F97" s="168" t="s">
        <v>15</v>
      </c>
      <c r="G97" s="123" t="s">
        <v>29</v>
      </c>
      <c r="H97" s="169">
        <f t="shared" si="1"/>
        <v>4</v>
      </c>
      <c r="I97" s="170" t="s">
        <v>18</v>
      </c>
    </row>
    <row r="98" ht="22.5" customHeight="1">
      <c r="A98" s="126">
        <v>45757.0</v>
      </c>
      <c r="B98" s="127" t="s">
        <v>8</v>
      </c>
      <c r="C98" s="154" t="s">
        <v>21</v>
      </c>
      <c r="D98" s="129">
        <v>15.0</v>
      </c>
      <c r="E98" s="130" t="s">
        <v>10</v>
      </c>
      <c r="F98" s="156" t="s">
        <v>15</v>
      </c>
      <c r="G98" s="132" t="s">
        <v>29</v>
      </c>
      <c r="H98" s="157">
        <f t="shared" si="1"/>
        <v>4</v>
      </c>
      <c r="I98" s="158" t="s">
        <v>33</v>
      </c>
    </row>
    <row r="99" ht="22.5" customHeight="1">
      <c r="A99" s="135">
        <v>45758.0</v>
      </c>
      <c r="B99" s="185" t="s">
        <v>17</v>
      </c>
      <c r="C99" s="172" t="s">
        <v>24</v>
      </c>
      <c r="D99" s="138">
        <v>11.0</v>
      </c>
      <c r="E99" s="139" t="s">
        <v>10</v>
      </c>
      <c r="F99" s="161" t="s">
        <v>11</v>
      </c>
      <c r="G99" s="141" t="s">
        <v>29</v>
      </c>
      <c r="H99" s="173">
        <f t="shared" si="1"/>
        <v>4</v>
      </c>
      <c r="I99" s="174" t="s">
        <v>20</v>
      </c>
    </row>
    <row r="100" ht="22.5" customHeight="1">
      <c r="A100" s="107">
        <v>45759.0</v>
      </c>
      <c r="B100" s="150" t="s">
        <v>19</v>
      </c>
      <c r="C100" s="109" t="s">
        <v>9</v>
      </c>
      <c r="D100" s="110">
        <v>7.0</v>
      </c>
      <c r="E100" s="111" t="s">
        <v>10</v>
      </c>
      <c r="F100" s="112" t="s">
        <v>11</v>
      </c>
      <c r="G100" s="113" t="s">
        <v>29</v>
      </c>
      <c r="H100" s="177">
        <f t="shared" si="1"/>
        <v>4</v>
      </c>
      <c r="I100" s="178" t="s">
        <v>40</v>
      </c>
    </row>
    <row r="101" ht="22.5" customHeight="1">
      <c r="A101" s="117">
        <v>45760.0</v>
      </c>
      <c r="B101" s="118" t="s">
        <v>8</v>
      </c>
      <c r="C101" s="119" t="s">
        <v>9</v>
      </c>
      <c r="D101" s="120">
        <v>16.0</v>
      </c>
      <c r="E101" s="196" t="s">
        <v>22</v>
      </c>
      <c r="F101" s="122" t="s">
        <v>11</v>
      </c>
      <c r="G101" s="123" t="s">
        <v>29</v>
      </c>
      <c r="H101" s="124">
        <f t="shared" si="1"/>
        <v>4</v>
      </c>
      <c r="I101" s="125" t="s">
        <v>13</v>
      </c>
    </row>
    <row r="102" ht="22.5" customHeight="1">
      <c r="A102" s="126">
        <v>45761.0</v>
      </c>
      <c r="B102" s="144" t="s">
        <v>17</v>
      </c>
      <c r="C102" s="128" t="s">
        <v>9</v>
      </c>
      <c r="D102" s="129">
        <v>12.0</v>
      </c>
      <c r="E102" s="130" t="s">
        <v>10</v>
      </c>
      <c r="F102" s="131" t="s">
        <v>11</v>
      </c>
      <c r="G102" s="132" t="s">
        <v>29</v>
      </c>
      <c r="H102" s="133">
        <f t="shared" si="1"/>
        <v>4</v>
      </c>
      <c r="I102" s="134" t="s">
        <v>39</v>
      </c>
    </row>
    <row r="103" ht="22.5" customHeight="1">
      <c r="A103" s="135">
        <v>45762.0</v>
      </c>
      <c r="B103" s="194" t="s">
        <v>23</v>
      </c>
      <c r="C103" s="137" t="s">
        <v>9</v>
      </c>
      <c r="D103" s="138">
        <v>21.0</v>
      </c>
      <c r="E103" s="139" t="s">
        <v>10</v>
      </c>
      <c r="F103" s="140" t="s">
        <v>15</v>
      </c>
      <c r="G103" s="141" t="s">
        <v>29</v>
      </c>
      <c r="H103" s="142">
        <f t="shared" si="1"/>
        <v>4</v>
      </c>
      <c r="I103" s="143" t="s">
        <v>16</v>
      </c>
    </row>
    <row r="104" ht="22.5" customHeight="1">
      <c r="A104" s="126">
        <v>45763.0</v>
      </c>
      <c r="B104" s="127" t="s">
        <v>8</v>
      </c>
      <c r="C104" s="128" t="s">
        <v>9</v>
      </c>
      <c r="D104" s="129">
        <v>14.0</v>
      </c>
      <c r="E104" s="130" t="s">
        <v>10</v>
      </c>
      <c r="F104" s="131" t="s">
        <v>11</v>
      </c>
      <c r="G104" s="132" t="s">
        <v>29</v>
      </c>
      <c r="H104" s="145">
        <f t="shared" si="1"/>
        <v>4</v>
      </c>
      <c r="I104" s="146" t="s">
        <v>18</v>
      </c>
    </row>
    <row r="105" ht="22.5" customHeight="1">
      <c r="A105" s="135">
        <v>45764.0</v>
      </c>
      <c r="B105" s="194" t="s">
        <v>23</v>
      </c>
      <c r="C105" s="137" t="s">
        <v>9</v>
      </c>
      <c r="D105" s="138">
        <v>20.0</v>
      </c>
      <c r="E105" s="139" t="s">
        <v>10</v>
      </c>
      <c r="F105" s="140" t="s">
        <v>15</v>
      </c>
      <c r="G105" s="141" t="s">
        <v>29</v>
      </c>
      <c r="H105" s="148">
        <f t="shared" si="1"/>
        <v>4</v>
      </c>
      <c r="I105" s="149" t="s">
        <v>33</v>
      </c>
    </row>
    <row r="106" ht="22.5" customHeight="1">
      <c r="A106" s="107">
        <v>45765.0</v>
      </c>
      <c r="B106" s="175" t="s">
        <v>17</v>
      </c>
      <c r="C106" s="109" t="s">
        <v>9</v>
      </c>
      <c r="D106" s="110">
        <v>9.0</v>
      </c>
      <c r="E106" s="111" t="s">
        <v>10</v>
      </c>
      <c r="F106" s="112" t="s">
        <v>11</v>
      </c>
      <c r="G106" s="113" t="s">
        <v>29</v>
      </c>
      <c r="H106" s="114">
        <f t="shared" si="1"/>
        <v>4</v>
      </c>
      <c r="I106" s="115" t="s">
        <v>20</v>
      </c>
    </row>
    <row r="107" ht="22.5" customHeight="1">
      <c r="A107" s="117">
        <v>45766.0</v>
      </c>
      <c r="B107" s="118" t="s">
        <v>8</v>
      </c>
      <c r="C107" s="119" t="s">
        <v>9</v>
      </c>
      <c r="D107" s="120">
        <v>14.0</v>
      </c>
      <c r="E107" s="121" t="s">
        <v>10</v>
      </c>
      <c r="F107" s="122" t="s">
        <v>11</v>
      </c>
      <c r="G107" s="123" t="s">
        <v>29</v>
      </c>
      <c r="H107" s="152">
        <f t="shared" si="1"/>
        <v>4</v>
      </c>
      <c r="I107" s="153" t="s">
        <v>40</v>
      </c>
    </row>
    <row r="108" ht="22.5" customHeight="1">
      <c r="A108" s="126">
        <v>45767.0</v>
      </c>
      <c r="B108" s="191" t="s">
        <v>14</v>
      </c>
      <c r="C108" s="128" t="s">
        <v>9</v>
      </c>
      <c r="D108" s="129">
        <v>23.0</v>
      </c>
      <c r="E108" s="130" t="s">
        <v>10</v>
      </c>
      <c r="F108" s="156" t="s">
        <v>15</v>
      </c>
      <c r="G108" s="132" t="s">
        <v>29</v>
      </c>
      <c r="H108" s="157">
        <f t="shared" si="1"/>
        <v>4</v>
      </c>
      <c r="I108" s="158" t="s">
        <v>13</v>
      </c>
    </row>
    <row r="109" ht="22.5" customHeight="1">
      <c r="A109" s="135">
        <v>45768.0</v>
      </c>
      <c r="B109" s="136" t="s">
        <v>14</v>
      </c>
      <c r="C109" s="172" t="s">
        <v>24</v>
      </c>
      <c r="D109" s="138">
        <v>24.0</v>
      </c>
      <c r="E109" s="139" t="s">
        <v>10</v>
      </c>
      <c r="F109" s="161" t="s">
        <v>11</v>
      </c>
      <c r="G109" s="141" t="s">
        <v>29</v>
      </c>
      <c r="H109" s="162">
        <f t="shared" si="1"/>
        <v>4</v>
      </c>
      <c r="I109" s="163" t="s">
        <v>39</v>
      </c>
    </row>
    <row r="110" ht="22.5" customHeight="1">
      <c r="A110" s="107">
        <v>45769.0</v>
      </c>
      <c r="B110" s="164" t="s">
        <v>8</v>
      </c>
      <c r="C110" s="109" t="s">
        <v>9</v>
      </c>
      <c r="D110" s="110">
        <v>14.0</v>
      </c>
      <c r="E110" s="111" t="s">
        <v>10</v>
      </c>
      <c r="F110" s="112" t="s">
        <v>11</v>
      </c>
      <c r="G110" s="113" t="s">
        <v>29</v>
      </c>
      <c r="H110" s="165">
        <f t="shared" si="1"/>
        <v>4</v>
      </c>
      <c r="I110" s="166" t="s">
        <v>16</v>
      </c>
    </row>
    <row r="111" ht="22.5" customHeight="1">
      <c r="A111" s="117">
        <v>45770.0</v>
      </c>
      <c r="B111" s="181" t="s">
        <v>19</v>
      </c>
      <c r="C111" s="119" t="s">
        <v>9</v>
      </c>
      <c r="D111" s="120">
        <v>7.0</v>
      </c>
      <c r="E111" s="121" t="s">
        <v>10</v>
      </c>
      <c r="F111" s="122" t="s">
        <v>11</v>
      </c>
      <c r="G111" s="123" t="s">
        <v>29</v>
      </c>
      <c r="H111" s="169">
        <f t="shared" si="1"/>
        <v>4</v>
      </c>
      <c r="I111" s="170" t="s">
        <v>18</v>
      </c>
    </row>
    <row r="112" ht="22.5" customHeight="1">
      <c r="A112" s="126">
        <v>45771.0</v>
      </c>
      <c r="B112" s="127" t="s">
        <v>8</v>
      </c>
      <c r="C112" s="128" t="s">
        <v>9</v>
      </c>
      <c r="D112" s="129">
        <v>14.0</v>
      </c>
      <c r="E112" s="130" t="s">
        <v>10</v>
      </c>
      <c r="F112" s="156" t="s">
        <v>15</v>
      </c>
      <c r="G112" s="132" t="s">
        <v>29</v>
      </c>
      <c r="H112" s="157">
        <f t="shared" si="1"/>
        <v>4</v>
      </c>
      <c r="I112" s="158" t="s">
        <v>33</v>
      </c>
    </row>
    <row r="113" ht="22.5" customHeight="1">
      <c r="A113" s="135">
        <v>45772.0</v>
      </c>
      <c r="B113" s="184" t="s">
        <v>26</v>
      </c>
      <c r="C113" s="160" t="s">
        <v>21</v>
      </c>
      <c r="D113" s="138">
        <v>26.0</v>
      </c>
      <c r="E113" s="139" t="s">
        <v>10</v>
      </c>
      <c r="F113" s="140" t="s">
        <v>15</v>
      </c>
      <c r="G113" s="141" t="s">
        <v>29</v>
      </c>
      <c r="H113" s="173">
        <f t="shared" si="1"/>
        <v>4</v>
      </c>
      <c r="I113" s="174" t="s">
        <v>20</v>
      </c>
    </row>
    <row r="114" ht="22.5" customHeight="1">
      <c r="A114" s="107">
        <v>45773.0</v>
      </c>
      <c r="B114" s="150" t="s">
        <v>19</v>
      </c>
      <c r="C114" s="109" t="s">
        <v>9</v>
      </c>
      <c r="D114" s="110">
        <v>7.0</v>
      </c>
      <c r="E114" s="111" t="s">
        <v>10</v>
      </c>
      <c r="F114" s="112" t="s">
        <v>11</v>
      </c>
      <c r="G114" s="113" t="s">
        <v>29</v>
      </c>
      <c r="H114" s="177">
        <f t="shared" si="1"/>
        <v>4</v>
      </c>
      <c r="I114" s="178" t="s">
        <v>40</v>
      </c>
    </row>
    <row r="115" ht="22.5" customHeight="1">
      <c r="A115" s="117">
        <v>45774.0</v>
      </c>
      <c r="B115" s="118" t="s">
        <v>8</v>
      </c>
      <c r="C115" s="119" t="s">
        <v>9</v>
      </c>
      <c r="D115" s="120">
        <v>14.0</v>
      </c>
      <c r="E115" s="121" t="s">
        <v>10</v>
      </c>
      <c r="F115" s="122" t="s">
        <v>11</v>
      </c>
      <c r="G115" s="123" t="s">
        <v>29</v>
      </c>
      <c r="H115" s="124">
        <f t="shared" si="1"/>
        <v>4</v>
      </c>
      <c r="I115" s="125" t="s">
        <v>13</v>
      </c>
    </row>
    <row r="116" ht="22.5" customHeight="1">
      <c r="A116" s="126">
        <v>45775.0</v>
      </c>
      <c r="B116" s="144" t="s">
        <v>17</v>
      </c>
      <c r="C116" s="128" t="s">
        <v>9</v>
      </c>
      <c r="D116" s="129">
        <v>11.0</v>
      </c>
      <c r="E116" s="130" t="s">
        <v>10</v>
      </c>
      <c r="F116" s="131" t="s">
        <v>11</v>
      </c>
      <c r="G116" s="132" t="s">
        <v>29</v>
      </c>
      <c r="H116" s="133">
        <f t="shared" si="1"/>
        <v>4</v>
      </c>
      <c r="I116" s="134" t="s">
        <v>39</v>
      </c>
    </row>
    <row r="117" ht="22.5" customHeight="1">
      <c r="A117" s="135">
        <v>45776.0</v>
      </c>
      <c r="B117" s="185" t="s">
        <v>17</v>
      </c>
      <c r="C117" s="137" t="s">
        <v>9</v>
      </c>
      <c r="D117" s="138">
        <v>10.0</v>
      </c>
      <c r="E117" s="139" t="s">
        <v>10</v>
      </c>
      <c r="F117" s="161" t="s">
        <v>11</v>
      </c>
      <c r="G117" s="141" t="s">
        <v>29</v>
      </c>
      <c r="H117" s="142">
        <f t="shared" si="1"/>
        <v>4</v>
      </c>
      <c r="I117" s="143" t="s">
        <v>16</v>
      </c>
    </row>
    <row r="118" ht="22.5" customHeight="1">
      <c r="A118" s="126">
        <v>45777.0</v>
      </c>
      <c r="B118" s="127" t="s">
        <v>8</v>
      </c>
      <c r="C118" s="188" t="s">
        <v>24</v>
      </c>
      <c r="D118" s="129">
        <v>14.0</v>
      </c>
      <c r="E118" s="130" t="s">
        <v>10</v>
      </c>
      <c r="F118" s="156" t="s">
        <v>15</v>
      </c>
      <c r="G118" s="132" t="s">
        <v>29</v>
      </c>
      <c r="H118" s="145">
        <f t="shared" si="1"/>
        <v>4</v>
      </c>
      <c r="I118" s="146" t="s">
        <v>18</v>
      </c>
    </row>
    <row r="119" ht="22.5" customHeight="1">
      <c r="A119" s="135">
        <v>45778.0</v>
      </c>
      <c r="B119" s="184" t="s">
        <v>26</v>
      </c>
      <c r="C119" s="137" t="s">
        <v>9</v>
      </c>
      <c r="D119" s="138">
        <v>26.0</v>
      </c>
      <c r="E119" s="193" t="s">
        <v>22</v>
      </c>
      <c r="F119" s="140" t="s">
        <v>15</v>
      </c>
      <c r="G119" s="141" t="s">
        <v>30</v>
      </c>
      <c r="H119" s="148">
        <f t="shared" si="1"/>
        <v>5</v>
      </c>
      <c r="I119" s="149" t="s">
        <v>33</v>
      </c>
    </row>
    <row r="120" ht="22.5" customHeight="1">
      <c r="A120" s="107">
        <v>45779.0</v>
      </c>
      <c r="B120" s="108" t="s">
        <v>14</v>
      </c>
      <c r="C120" s="109" t="s">
        <v>9</v>
      </c>
      <c r="D120" s="110">
        <v>21.0</v>
      </c>
      <c r="E120" s="111" t="s">
        <v>10</v>
      </c>
      <c r="F120" s="112" t="s">
        <v>11</v>
      </c>
      <c r="G120" s="113" t="s">
        <v>30</v>
      </c>
      <c r="H120" s="114">
        <f t="shared" si="1"/>
        <v>5</v>
      </c>
      <c r="I120" s="115" t="s">
        <v>20</v>
      </c>
    </row>
    <row r="121" ht="22.5" customHeight="1">
      <c r="A121" s="117">
        <v>45780.0</v>
      </c>
      <c r="B121" s="118" t="s">
        <v>8</v>
      </c>
      <c r="C121" s="119" t="s">
        <v>9</v>
      </c>
      <c r="D121" s="120">
        <v>14.0</v>
      </c>
      <c r="E121" s="121" t="s">
        <v>10</v>
      </c>
      <c r="F121" s="122" t="s">
        <v>11</v>
      </c>
      <c r="G121" s="123" t="s">
        <v>30</v>
      </c>
      <c r="H121" s="152">
        <f t="shared" si="1"/>
        <v>5</v>
      </c>
      <c r="I121" s="153" t="s">
        <v>40</v>
      </c>
    </row>
    <row r="122" ht="22.5" customHeight="1">
      <c r="A122" s="126">
        <v>45781.0</v>
      </c>
      <c r="B122" s="127" t="s">
        <v>8</v>
      </c>
      <c r="C122" s="128" t="s">
        <v>9</v>
      </c>
      <c r="D122" s="129">
        <v>14.0</v>
      </c>
      <c r="E122" s="130" t="s">
        <v>10</v>
      </c>
      <c r="F122" s="131" t="s">
        <v>11</v>
      </c>
      <c r="G122" s="132" t="s">
        <v>30</v>
      </c>
      <c r="H122" s="157">
        <f t="shared" si="1"/>
        <v>5</v>
      </c>
      <c r="I122" s="158" t="s">
        <v>13</v>
      </c>
    </row>
    <row r="123" ht="22.5" customHeight="1">
      <c r="A123" s="135">
        <v>45782.0</v>
      </c>
      <c r="B123" s="136" t="s">
        <v>14</v>
      </c>
      <c r="C123" s="137" t="s">
        <v>9</v>
      </c>
      <c r="D123" s="138">
        <v>21.0</v>
      </c>
      <c r="E123" s="139" t="s">
        <v>10</v>
      </c>
      <c r="F123" s="161" t="s">
        <v>11</v>
      </c>
      <c r="G123" s="141" t="s">
        <v>30</v>
      </c>
      <c r="H123" s="162">
        <f t="shared" si="1"/>
        <v>5</v>
      </c>
      <c r="I123" s="163" t="s">
        <v>39</v>
      </c>
    </row>
    <row r="124" ht="22.5" customHeight="1">
      <c r="A124" s="107">
        <v>45783.0</v>
      </c>
      <c r="B124" s="150" t="s">
        <v>19</v>
      </c>
      <c r="C124" s="109" t="s">
        <v>9</v>
      </c>
      <c r="D124" s="110">
        <v>7.0</v>
      </c>
      <c r="E124" s="111" t="s">
        <v>10</v>
      </c>
      <c r="F124" s="187" t="s">
        <v>15</v>
      </c>
      <c r="G124" s="113" t="s">
        <v>30</v>
      </c>
      <c r="H124" s="165">
        <f t="shared" si="1"/>
        <v>5</v>
      </c>
      <c r="I124" s="166" t="s">
        <v>16</v>
      </c>
    </row>
    <row r="125" ht="22.5" customHeight="1">
      <c r="A125" s="117">
        <v>45784.0</v>
      </c>
      <c r="B125" s="151" t="s">
        <v>17</v>
      </c>
      <c r="C125" s="119" t="s">
        <v>9</v>
      </c>
      <c r="D125" s="120">
        <v>12.0</v>
      </c>
      <c r="E125" s="121" t="s">
        <v>10</v>
      </c>
      <c r="F125" s="122" t="s">
        <v>11</v>
      </c>
      <c r="G125" s="123" t="s">
        <v>30</v>
      </c>
      <c r="H125" s="169">
        <f t="shared" si="1"/>
        <v>5</v>
      </c>
      <c r="I125" s="170" t="s">
        <v>18</v>
      </c>
    </row>
    <row r="126" ht="22.5" customHeight="1">
      <c r="A126" s="126">
        <v>45785.0</v>
      </c>
      <c r="B126" s="144" t="s">
        <v>17</v>
      </c>
      <c r="C126" s="188" t="s">
        <v>24</v>
      </c>
      <c r="D126" s="129">
        <v>10.0</v>
      </c>
      <c r="E126" s="130" t="s">
        <v>10</v>
      </c>
      <c r="F126" s="156" t="s">
        <v>15</v>
      </c>
      <c r="G126" s="132" t="s">
        <v>30</v>
      </c>
      <c r="H126" s="157">
        <f t="shared" si="1"/>
        <v>5</v>
      </c>
      <c r="I126" s="158" t="s">
        <v>33</v>
      </c>
    </row>
    <row r="127" ht="22.5" customHeight="1">
      <c r="A127" s="135">
        <v>45786.0</v>
      </c>
      <c r="B127" s="159" t="s">
        <v>8</v>
      </c>
      <c r="C127" s="160" t="s">
        <v>21</v>
      </c>
      <c r="D127" s="138">
        <v>15.0</v>
      </c>
      <c r="E127" s="139" t="s">
        <v>10</v>
      </c>
      <c r="F127" s="161" t="s">
        <v>11</v>
      </c>
      <c r="G127" s="141" t="s">
        <v>30</v>
      </c>
      <c r="H127" s="173">
        <f t="shared" si="1"/>
        <v>5</v>
      </c>
      <c r="I127" s="174" t="s">
        <v>20</v>
      </c>
    </row>
    <row r="128" ht="22.5" customHeight="1">
      <c r="A128" s="107">
        <v>45787.0</v>
      </c>
      <c r="B128" s="164" t="s">
        <v>8</v>
      </c>
      <c r="C128" s="180" t="s">
        <v>21</v>
      </c>
      <c r="D128" s="110">
        <v>14.0</v>
      </c>
      <c r="E128" s="111" t="s">
        <v>10</v>
      </c>
      <c r="F128" s="112" t="s">
        <v>11</v>
      </c>
      <c r="G128" s="113" t="s">
        <v>30</v>
      </c>
      <c r="H128" s="177">
        <f t="shared" si="1"/>
        <v>5</v>
      </c>
      <c r="I128" s="178" t="s">
        <v>40</v>
      </c>
    </row>
    <row r="129" ht="22.5" customHeight="1">
      <c r="A129" s="117">
        <v>45788.0</v>
      </c>
      <c r="B129" s="197" t="s">
        <v>25</v>
      </c>
      <c r="C129" s="119" t="s">
        <v>9</v>
      </c>
      <c r="D129" s="120">
        <v>28.0</v>
      </c>
      <c r="E129" s="121" t="s">
        <v>10</v>
      </c>
      <c r="F129" s="168" t="s">
        <v>15</v>
      </c>
      <c r="G129" s="123" t="s">
        <v>30</v>
      </c>
      <c r="H129" s="124">
        <f t="shared" si="1"/>
        <v>5</v>
      </c>
      <c r="I129" s="125" t="s">
        <v>13</v>
      </c>
    </row>
    <row r="130" ht="22.5" customHeight="1">
      <c r="A130" s="126">
        <v>45789.0</v>
      </c>
      <c r="B130" s="182" t="s">
        <v>19</v>
      </c>
      <c r="C130" s="128" t="s">
        <v>9</v>
      </c>
      <c r="D130" s="129">
        <v>7.0</v>
      </c>
      <c r="E130" s="130" t="s">
        <v>10</v>
      </c>
      <c r="F130" s="131" t="s">
        <v>11</v>
      </c>
      <c r="G130" s="132" t="s">
        <v>30</v>
      </c>
      <c r="H130" s="133">
        <f t="shared" si="1"/>
        <v>5</v>
      </c>
      <c r="I130" s="134" t="s">
        <v>39</v>
      </c>
    </row>
    <row r="131" ht="22.5" customHeight="1">
      <c r="A131" s="135">
        <v>45790.0</v>
      </c>
      <c r="B131" s="159" t="s">
        <v>8</v>
      </c>
      <c r="C131" s="137" t="s">
        <v>9</v>
      </c>
      <c r="D131" s="138">
        <v>14.0</v>
      </c>
      <c r="E131" s="139" t="s">
        <v>10</v>
      </c>
      <c r="F131" s="161" t="s">
        <v>11</v>
      </c>
      <c r="G131" s="141" t="s">
        <v>30</v>
      </c>
      <c r="H131" s="142">
        <f t="shared" si="1"/>
        <v>5</v>
      </c>
      <c r="I131" s="143" t="s">
        <v>16</v>
      </c>
    </row>
    <row r="132" ht="22.5" customHeight="1">
      <c r="A132" s="126">
        <v>45791.0</v>
      </c>
      <c r="B132" s="171" t="s">
        <v>23</v>
      </c>
      <c r="C132" s="128" t="s">
        <v>9</v>
      </c>
      <c r="D132" s="129">
        <v>18.0</v>
      </c>
      <c r="E132" s="130" t="s">
        <v>10</v>
      </c>
      <c r="F132" s="131" t="s">
        <v>11</v>
      </c>
      <c r="G132" s="132" t="s">
        <v>30</v>
      </c>
      <c r="H132" s="145">
        <f t="shared" si="1"/>
        <v>5</v>
      </c>
      <c r="I132" s="146" t="s">
        <v>18</v>
      </c>
    </row>
    <row r="133" ht="22.5" customHeight="1">
      <c r="A133" s="135">
        <v>45792.0</v>
      </c>
      <c r="B133" s="159" t="s">
        <v>8</v>
      </c>
      <c r="C133" s="137" t="s">
        <v>9</v>
      </c>
      <c r="D133" s="138">
        <v>14.0</v>
      </c>
      <c r="E133" s="139" t="s">
        <v>10</v>
      </c>
      <c r="F133" s="140" t="s">
        <v>15</v>
      </c>
      <c r="G133" s="141" t="s">
        <v>30</v>
      </c>
      <c r="H133" s="148">
        <f t="shared" si="1"/>
        <v>5</v>
      </c>
      <c r="I133" s="149" t="s">
        <v>33</v>
      </c>
    </row>
    <row r="134" ht="22.5" customHeight="1">
      <c r="A134" s="107">
        <v>45793.0</v>
      </c>
      <c r="B134" s="175" t="s">
        <v>17</v>
      </c>
      <c r="C134" s="176" t="s">
        <v>24</v>
      </c>
      <c r="D134" s="110">
        <v>9.0</v>
      </c>
      <c r="E134" s="111" t="s">
        <v>10</v>
      </c>
      <c r="F134" s="187" t="s">
        <v>15</v>
      </c>
      <c r="G134" s="113" t="s">
        <v>30</v>
      </c>
      <c r="H134" s="114">
        <f t="shared" si="1"/>
        <v>5</v>
      </c>
      <c r="I134" s="115" t="s">
        <v>20</v>
      </c>
    </row>
    <row r="135" ht="22.5" customHeight="1">
      <c r="A135" s="117">
        <v>45794.0</v>
      </c>
      <c r="B135" s="167" t="s">
        <v>23</v>
      </c>
      <c r="C135" s="119" t="s">
        <v>9</v>
      </c>
      <c r="D135" s="120">
        <v>19.0</v>
      </c>
      <c r="E135" s="121" t="s">
        <v>10</v>
      </c>
      <c r="F135" s="122" t="s">
        <v>11</v>
      </c>
      <c r="G135" s="123" t="s">
        <v>30</v>
      </c>
      <c r="H135" s="152">
        <f t="shared" si="1"/>
        <v>5</v>
      </c>
      <c r="I135" s="153" t="s">
        <v>40</v>
      </c>
    </row>
    <row r="136" ht="22.5" customHeight="1">
      <c r="A136" s="126">
        <v>45795.0</v>
      </c>
      <c r="B136" s="127" t="s">
        <v>8</v>
      </c>
      <c r="C136" s="128" t="s">
        <v>9</v>
      </c>
      <c r="D136" s="129">
        <v>14.0</v>
      </c>
      <c r="E136" s="130" t="s">
        <v>10</v>
      </c>
      <c r="F136" s="131" t="s">
        <v>11</v>
      </c>
      <c r="G136" s="132" t="s">
        <v>30</v>
      </c>
      <c r="H136" s="157">
        <f t="shared" si="1"/>
        <v>5</v>
      </c>
      <c r="I136" s="158" t="s">
        <v>13</v>
      </c>
    </row>
    <row r="137" ht="22.5" customHeight="1">
      <c r="A137" s="135">
        <v>45796.0</v>
      </c>
      <c r="B137" s="185" t="s">
        <v>17</v>
      </c>
      <c r="C137" s="137" t="s">
        <v>9</v>
      </c>
      <c r="D137" s="138">
        <v>9.0</v>
      </c>
      <c r="E137" s="139" t="s">
        <v>10</v>
      </c>
      <c r="F137" s="161" t="s">
        <v>11</v>
      </c>
      <c r="G137" s="141" t="s">
        <v>30</v>
      </c>
      <c r="H137" s="162">
        <f t="shared" si="1"/>
        <v>5</v>
      </c>
      <c r="I137" s="163" t="s">
        <v>39</v>
      </c>
    </row>
    <row r="138" ht="22.5" customHeight="1">
      <c r="A138" s="107">
        <v>45797.0</v>
      </c>
      <c r="B138" s="108" t="s">
        <v>14</v>
      </c>
      <c r="C138" s="109" t="s">
        <v>9</v>
      </c>
      <c r="D138" s="110">
        <v>22.0</v>
      </c>
      <c r="E138" s="111" t="s">
        <v>10</v>
      </c>
      <c r="F138" s="112" t="s">
        <v>11</v>
      </c>
      <c r="G138" s="113" t="s">
        <v>30</v>
      </c>
      <c r="H138" s="165">
        <f t="shared" si="1"/>
        <v>5</v>
      </c>
      <c r="I138" s="166" t="s">
        <v>16</v>
      </c>
    </row>
    <row r="139" ht="22.5" customHeight="1">
      <c r="A139" s="117">
        <v>45798.0</v>
      </c>
      <c r="B139" s="181" t="s">
        <v>19</v>
      </c>
      <c r="C139" s="119" t="s">
        <v>9</v>
      </c>
      <c r="D139" s="120">
        <v>7.0</v>
      </c>
      <c r="E139" s="121" t="s">
        <v>10</v>
      </c>
      <c r="F139" s="168" t="s">
        <v>15</v>
      </c>
      <c r="G139" s="123" t="s">
        <v>30</v>
      </c>
      <c r="H139" s="169">
        <f t="shared" si="1"/>
        <v>5</v>
      </c>
      <c r="I139" s="170" t="s">
        <v>18</v>
      </c>
    </row>
    <row r="140" ht="22.5" customHeight="1">
      <c r="A140" s="126">
        <v>45799.0</v>
      </c>
      <c r="B140" s="191" t="s">
        <v>14</v>
      </c>
      <c r="C140" s="128" t="s">
        <v>9</v>
      </c>
      <c r="D140" s="129">
        <v>23.0</v>
      </c>
      <c r="E140" s="130" t="s">
        <v>10</v>
      </c>
      <c r="F140" s="156" t="s">
        <v>15</v>
      </c>
      <c r="G140" s="132" t="s">
        <v>30</v>
      </c>
      <c r="H140" s="157">
        <f t="shared" si="1"/>
        <v>5</v>
      </c>
      <c r="I140" s="158" t="s">
        <v>33</v>
      </c>
    </row>
    <row r="141" ht="22.5" customHeight="1">
      <c r="A141" s="135">
        <v>45800.0</v>
      </c>
      <c r="B141" s="159" t="s">
        <v>8</v>
      </c>
      <c r="C141" s="137" t="s">
        <v>9</v>
      </c>
      <c r="D141" s="138">
        <v>14.0</v>
      </c>
      <c r="E141" s="139" t="s">
        <v>10</v>
      </c>
      <c r="F141" s="161" t="s">
        <v>11</v>
      </c>
      <c r="G141" s="141" t="s">
        <v>30</v>
      </c>
      <c r="H141" s="173">
        <f t="shared" si="1"/>
        <v>5</v>
      </c>
      <c r="I141" s="174" t="s">
        <v>20</v>
      </c>
    </row>
    <row r="142" ht="22.5" customHeight="1">
      <c r="A142" s="107">
        <v>45801.0</v>
      </c>
      <c r="B142" s="164" t="s">
        <v>8</v>
      </c>
      <c r="C142" s="109" t="s">
        <v>9</v>
      </c>
      <c r="D142" s="110">
        <v>14.0</v>
      </c>
      <c r="E142" s="111" t="s">
        <v>10</v>
      </c>
      <c r="F142" s="112" t="s">
        <v>11</v>
      </c>
      <c r="G142" s="113" t="s">
        <v>30</v>
      </c>
      <c r="H142" s="177">
        <f t="shared" si="1"/>
        <v>5</v>
      </c>
      <c r="I142" s="178" t="s">
        <v>40</v>
      </c>
    </row>
    <row r="143" ht="22.5" customHeight="1">
      <c r="A143" s="117">
        <v>45802.0</v>
      </c>
      <c r="B143" s="189" t="s">
        <v>26</v>
      </c>
      <c r="C143" s="119" t="s">
        <v>9</v>
      </c>
      <c r="D143" s="120">
        <v>25.0</v>
      </c>
      <c r="E143" s="196" t="s">
        <v>22</v>
      </c>
      <c r="F143" s="168" t="s">
        <v>15</v>
      </c>
      <c r="G143" s="123" t="s">
        <v>30</v>
      </c>
      <c r="H143" s="124">
        <f t="shared" si="1"/>
        <v>5</v>
      </c>
      <c r="I143" s="125" t="s">
        <v>13</v>
      </c>
    </row>
    <row r="144" ht="22.5" customHeight="1">
      <c r="A144" s="126">
        <v>45803.0</v>
      </c>
      <c r="B144" s="127" t="s">
        <v>8</v>
      </c>
      <c r="C144" s="188" t="s">
        <v>24</v>
      </c>
      <c r="D144" s="129">
        <v>15.0</v>
      </c>
      <c r="E144" s="130" t="s">
        <v>10</v>
      </c>
      <c r="F144" s="131" t="s">
        <v>11</v>
      </c>
      <c r="G144" s="132" t="s">
        <v>30</v>
      </c>
      <c r="H144" s="133">
        <f t="shared" si="1"/>
        <v>5</v>
      </c>
      <c r="I144" s="134" t="s">
        <v>39</v>
      </c>
    </row>
    <row r="145" ht="22.5" customHeight="1">
      <c r="A145" s="135">
        <v>45804.0</v>
      </c>
      <c r="B145" s="185" t="s">
        <v>17</v>
      </c>
      <c r="C145" s="137" t="s">
        <v>9</v>
      </c>
      <c r="D145" s="138">
        <v>10.0</v>
      </c>
      <c r="E145" s="139" t="s">
        <v>10</v>
      </c>
      <c r="F145" s="161" t="s">
        <v>11</v>
      </c>
      <c r="G145" s="141" t="s">
        <v>30</v>
      </c>
      <c r="H145" s="142">
        <f t="shared" si="1"/>
        <v>5</v>
      </c>
      <c r="I145" s="143" t="s">
        <v>16</v>
      </c>
    </row>
    <row r="146" ht="22.5" customHeight="1">
      <c r="A146" s="126">
        <v>45805.0</v>
      </c>
      <c r="B146" s="127" t="s">
        <v>8</v>
      </c>
      <c r="C146" s="128" t="s">
        <v>9</v>
      </c>
      <c r="D146" s="129">
        <v>14.0</v>
      </c>
      <c r="E146" s="130" t="s">
        <v>10</v>
      </c>
      <c r="F146" s="131" t="s">
        <v>11</v>
      </c>
      <c r="G146" s="132" t="s">
        <v>30</v>
      </c>
      <c r="H146" s="145">
        <f t="shared" si="1"/>
        <v>5</v>
      </c>
      <c r="I146" s="146" t="s">
        <v>18</v>
      </c>
    </row>
    <row r="147" ht="22.5" customHeight="1">
      <c r="A147" s="135">
        <v>45806.0</v>
      </c>
      <c r="B147" s="147" t="s">
        <v>19</v>
      </c>
      <c r="C147" s="137" t="s">
        <v>9</v>
      </c>
      <c r="D147" s="138">
        <v>7.0</v>
      </c>
      <c r="E147" s="139" t="s">
        <v>10</v>
      </c>
      <c r="F147" s="140" t="s">
        <v>15</v>
      </c>
      <c r="G147" s="141" t="s">
        <v>30</v>
      </c>
      <c r="H147" s="148">
        <f t="shared" si="1"/>
        <v>5</v>
      </c>
      <c r="I147" s="149" t="s">
        <v>33</v>
      </c>
    </row>
    <row r="148" ht="22.5" customHeight="1">
      <c r="A148" s="107">
        <v>45807.0</v>
      </c>
      <c r="B148" s="164" t="s">
        <v>8</v>
      </c>
      <c r="C148" s="180" t="s">
        <v>21</v>
      </c>
      <c r="D148" s="110">
        <v>16.0</v>
      </c>
      <c r="E148" s="111" t="s">
        <v>10</v>
      </c>
      <c r="F148" s="187" t="s">
        <v>15</v>
      </c>
      <c r="G148" s="113" t="s">
        <v>30</v>
      </c>
      <c r="H148" s="114">
        <f t="shared" si="1"/>
        <v>5</v>
      </c>
      <c r="I148" s="115" t="s">
        <v>20</v>
      </c>
    </row>
    <row r="149" ht="22.5" customHeight="1">
      <c r="A149" s="117">
        <v>45808.0</v>
      </c>
      <c r="B149" s="151" t="s">
        <v>17</v>
      </c>
      <c r="C149" s="119" t="s">
        <v>9</v>
      </c>
      <c r="D149" s="120">
        <v>10.0</v>
      </c>
      <c r="E149" s="121" t="s">
        <v>10</v>
      </c>
      <c r="F149" s="122" t="s">
        <v>11</v>
      </c>
      <c r="G149" s="123" t="s">
        <v>30</v>
      </c>
      <c r="H149" s="152">
        <f t="shared" si="1"/>
        <v>5</v>
      </c>
      <c r="I149" s="153" t="s">
        <v>40</v>
      </c>
    </row>
    <row r="150" ht="22.5" customHeight="1">
      <c r="A150" s="126">
        <v>45809.0</v>
      </c>
      <c r="B150" s="182" t="s">
        <v>19</v>
      </c>
      <c r="C150" s="128" t="s">
        <v>9</v>
      </c>
      <c r="D150" s="129">
        <v>7.0</v>
      </c>
      <c r="E150" s="130" t="s">
        <v>10</v>
      </c>
      <c r="F150" s="131" t="s">
        <v>11</v>
      </c>
      <c r="G150" s="132" t="s">
        <v>31</v>
      </c>
      <c r="H150" s="157">
        <f t="shared" si="1"/>
        <v>6</v>
      </c>
      <c r="I150" s="158" t="s">
        <v>13</v>
      </c>
    </row>
    <row r="151" ht="22.5" customHeight="1">
      <c r="A151" s="135">
        <v>45811.0</v>
      </c>
      <c r="B151" s="159" t="s">
        <v>8</v>
      </c>
      <c r="C151" s="137" t="s">
        <v>9</v>
      </c>
      <c r="D151" s="138">
        <v>21.0</v>
      </c>
      <c r="E151" s="139" t="s">
        <v>10</v>
      </c>
      <c r="F151" s="161" t="s">
        <v>11</v>
      </c>
      <c r="G151" s="141" t="s">
        <v>31</v>
      </c>
      <c r="H151" s="142">
        <f t="shared" si="1"/>
        <v>6</v>
      </c>
      <c r="I151" s="143" t="s">
        <v>16</v>
      </c>
    </row>
    <row r="152" ht="22.5" customHeight="1">
      <c r="A152" s="126">
        <v>45812.0</v>
      </c>
      <c r="B152" s="144" t="s">
        <v>17</v>
      </c>
      <c r="C152" s="128" t="s">
        <v>9</v>
      </c>
      <c r="D152" s="129">
        <v>14.0</v>
      </c>
      <c r="E152" s="130" t="s">
        <v>10</v>
      </c>
      <c r="F152" s="156" t="s">
        <v>15</v>
      </c>
      <c r="G152" s="132" t="s">
        <v>31</v>
      </c>
      <c r="H152" s="145">
        <f t="shared" si="1"/>
        <v>6</v>
      </c>
      <c r="I152" s="146" t="s">
        <v>18</v>
      </c>
    </row>
    <row r="153" ht="22.5" customHeight="1">
      <c r="A153" s="135">
        <v>45814.0</v>
      </c>
      <c r="B153" s="136" t="s">
        <v>14</v>
      </c>
      <c r="C153" s="172" t="s">
        <v>24</v>
      </c>
      <c r="D153" s="138">
        <v>20.0</v>
      </c>
      <c r="E153" s="139" t="s">
        <v>10</v>
      </c>
      <c r="F153" s="161" t="s">
        <v>11</v>
      </c>
      <c r="G153" s="141" t="s">
        <v>31</v>
      </c>
      <c r="H153" s="173">
        <f t="shared" si="1"/>
        <v>6</v>
      </c>
      <c r="I153" s="174" t="s">
        <v>20</v>
      </c>
    </row>
    <row r="154" ht="22.5" customHeight="1">
      <c r="A154" s="126">
        <v>45816.0</v>
      </c>
      <c r="B154" s="127" t="s">
        <v>8</v>
      </c>
      <c r="C154" s="128" t="s">
        <v>9</v>
      </c>
      <c r="D154" s="129">
        <v>14.0</v>
      </c>
      <c r="E154" s="130" t="s">
        <v>10</v>
      </c>
      <c r="F154" s="131" t="s">
        <v>11</v>
      </c>
      <c r="G154" s="132" t="s">
        <v>31</v>
      </c>
      <c r="H154" s="157">
        <f t="shared" si="1"/>
        <v>6</v>
      </c>
      <c r="I154" s="158" t="s">
        <v>13</v>
      </c>
    </row>
    <row r="155" ht="22.5" customHeight="1">
      <c r="A155" s="135">
        <v>45818.0</v>
      </c>
      <c r="B155" s="147" t="s">
        <v>19</v>
      </c>
      <c r="C155" s="137" t="s">
        <v>9</v>
      </c>
      <c r="D155" s="138">
        <v>7.0</v>
      </c>
      <c r="E155" s="139" t="s">
        <v>10</v>
      </c>
      <c r="F155" s="140" t="s">
        <v>15</v>
      </c>
      <c r="G155" s="141" t="s">
        <v>31</v>
      </c>
      <c r="H155" s="142">
        <f t="shared" si="1"/>
        <v>6</v>
      </c>
      <c r="I155" s="143" t="s">
        <v>16</v>
      </c>
    </row>
    <row r="156" ht="22.5" customHeight="1">
      <c r="A156" s="126">
        <v>45819.0</v>
      </c>
      <c r="B156" s="144" t="s">
        <v>17</v>
      </c>
      <c r="C156" s="128" t="s">
        <v>9</v>
      </c>
      <c r="D156" s="129">
        <v>11.0</v>
      </c>
      <c r="E156" s="130" t="s">
        <v>10</v>
      </c>
      <c r="F156" s="131" t="s">
        <v>11</v>
      </c>
      <c r="G156" s="132" t="s">
        <v>31</v>
      </c>
      <c r="H156" s="145">
        <f t="shared" si="1"/>
        <v>6</v>
      </c>
      <c r="I156" s="146" t="s">
        <v>18</v>
      </c>
    </row>
    <row r="157" ht="22.5" customHeight="1">
      <c r="A157" s="135">
        <v>45821.0</v>
      </c>
      <c r="B157" s="159" t="s">
        <v>8</v>
      </c>
      <c r="C157" s="137" t="s">
        <v>9</v>
      </c>
      <c r="D157" s="138">
        <v>15.0</v>
      </c>
      <c r="E157" s="139" t="s">
        <v>10</v>
      </c>
      <c r="F157" s="161" t="s">
        <v>11</v>
      </c>
      <c r="G157" s="141" t="s">
        <v>31</v>
      </c>
      <c r="H157" s="173">
        <f t="shared" si="1"/>
        <v>6</v>
      </c>
      <c r="I157" s="174" t="s">
        <v>20</v>
      </c>
    </row>
    <row r="158" ht="22.5" customHeight="1">
      <c r="A158" s="126">
        <v>45823.0</v>
      </c>
      <c r="B158" s="171" t="s">
        <v>23</v>
      </c>
      <c r="C158" s="128" t="s">
        <v>9</v>
      </c>
      <c r="D158" s="129">
        <v>19.0</v>
      </c>
      <c r="E158" s="130" t="s">
        <v>10</v>
      </c>
      <c r="F158" s="156" t="s">
        <v>15</v>
      </c>
      <c r="G158" s="132" t="s">
        <v>31</v>
      </c>
      <c r="H158" s="157">
        <f t="shared" si="1"/>
        <v>6</v>
      </c>
      <c r="I158" s="158" t="s">
        <v>13</v>
      </c>
    </row>
    <row r="159" ht="22.5" customHeight="1">
      <c r="A159" s="135">
        <v>45825.0</v>
      </c>
      <c r="B159" s="159" t="s">
        <v>8</v>
      </c>
      <c r="C159" s="160" t="s">
        <v>21</v>
      </c>
      <c r="D159" s="138">
        <v>14.0</v>
      </c>
      <c r="E159" s="139" t="s">
        <v>10</v>
      </c>
      <c r="F159" s="161" t="s">
        <v>11</v>
      </c>
      <c r="G159" s="141" t="s">
        <v>31</v>
      </c>
      <c r="H159" s="142">
        <f t="shared" si="1"/>
        <v>6</v>
      </c>
      <c r="I159" s="143" t="s">
        <v>16</v>
      </c>
    </row>
    <row r="160" ht="22.5" customHeight="1">
      <c r="A160" s="126">
        <v>45826.0</v>
      </c>
      <c r="B160" s="144" t="s">
        <v>17</v>
      </c>
      <c r="C160" s="188" t="s">
        <v>24</v>
      </c>
      <c r="D160" s="129">
        <v>10.0</v>
      </c>
      <c r="E160" s="130" t="s">
        <v>10</v>
      </c>
      <c r="F160" s="131" t="s">
        <v>11</v>
      </c>
      <c r="G160" s="132" t="s">
        <v>31</v>
      </c>
      <c r="H160" s="145">
        <f t="shared" si="1"/>
        <v>6</v>
      </c>
      <c r="I160" s="146" t="s">
        <v>18</v>
      </c>
    </row>
    <row r="161" ht="22.5" customHeight="1">
      <c r="A161" s="135">
        <v>45828.0</v>
      </c>
      <c r="B161" s="136" t="s">
        <v>14</v>
      </c>
      <c r="C161" s="137" t="s">
        <v>9</v>
      </c>
      <c r="D161" s="138">
        <v>24.0</v>
      </c>
      <c r="E161" s="139" t="s">
        <v>10</v>
      </c>
      <c r="F161" s="140" t="s">
        <v>15</v>
      </c>
      <c r="G161" s="141" t="s">
        <v>31</v>
      </c>
      <c r="H161" s="173">
        <f t="shared" si="1"/>
        <v>6</v>
      </c>
      <c r="I161" s="174" t="s">
        <v>20</v>
      </c>
    </row>
    <row r="162" ht="22.5" customHeight="1">
      <c r="A162" s="126">
        <v>45830.0</v>
      </c>
      <c r="B162" s="127" t="s">
        <v>8</v>
      </c>
      <c r="C162" s="128" t="s">
        <v>9</v>
      </c>
      <c r="D162" s="129">
        <v>14.0</v>
      </c>
      <c r="E162" s="130" t="s">
        <v>10</v>
      </c>
      <c r="F162" s="131" t="s">
        <v>11</v>
      </c>
      <c r="G162" s="132" t="s">
        <v>31</v>
      </c>
      <c r="H162" s="157">
        <f t="shared" si="1"/>
        <v>6</v>
      </c>
      <c r="I162" s="158" t="s">
        <v>13</v>
      </c>
    </row>
    <row r="163" ht="22.5" customHeight="1">
      <c r="A163" s="135">
        <v>45832.0</v>
      </c>
      <c r="B163" s="147" t="s">
        <v>19</v>
      </c>
      <c r="C163" s="137" t="s">
        <v>9</v>
      </c>
      <c r="D163" s="138">
        <v>7.0</v>
      </c>
      <c r="E163" s="139" t="s">
        <v>10</v>
      </c>
      <c r="F163" s="161" t="s">
        <v>11</v>
      </c>
      <c r="G163" s="141" t="s">
        <v>31</v>
      </c>
      <c r="H163" s="142">
        <f t="shared" si="1"/>
        <v>6</v>
      </c>
      <c r="I163" s="143" t="s">
        <v>16</v>
      </c>
    </row>
    <row r="164" ht="22.5" customHeight="1">
      <c r="A164" s="126">
        <v>45833.0</v>
      </c>
      <c r="B164" s="183" t="s">
        <v>26</v>
      </c>
      <c r="C164" s="128" t="s">
        <v>9</v>
      </c>
      <c r="D164" s="129">
        <v>22.0</v>
      </c>
      <c r="E164" s="130" t="s">
        <v>10</v>
      </c>
      <c r="F164" s="156" t="s">
        <v>15</v>
      </c>
      <c r="G164" s="132" t="s">
        <v>31</v>
      </c>
      <c r="H164" s="145">
        <f t="shared" si="1"/>
        <v>6</v>
      </c>
      <c r="I164" s="146" t="s">
        <v>18</v>
      </c>
    </row>
    <row r="165" ht="22.5" customHeight="1">
      <c r="A165" s="135">
        <v>45835.0</v>
      </c>
      <c r="B165" s="159" t="s">
        <v>8</v>
      </c>
      <c r="C165" s="137" t="s">
        <v>9</v>
      </c>
      <c r="D165" s="138">
        <v>14.0</v>
      </c>
      <c r="E165" s="139" t="s">
        <v>10</v>
      </c>
      <c r="F165" s="161" t="s">
        <v>11</v>
      </c>
      <c r="G165" s="141" t="s">
        <v>31</v>
      </c>
      <c r="H165" s="173">
        <f t="shared" si="1"/>
        <v>6</v>
      </c>
      <c r="I165" s="174" t="s">
        <v>20</v>
      </c>
    </row>
    <row r="166" ht="22.5" customHeight="1">
      <c r="A166" s="126">
        <v>45837.0</v>
      </c>
      <c r="B166" s="144" t="s">
        <v>17</v>
      </c>
      <c r="C166" s="128" t="s">
        <v>9</v>
      </c>
      <c r="D166" s="129">
        <v>9.0</v>
      </c>
      <c r="E166" s="130" t="s">
        <v>10</v>
      </c>
      <c r="F166" s="131" t="s">
        <v>11</v>
      </c>
      <c r="G166" s="132" t="s">
        <v>31</v>
      </c>
      <c r="H166" s="157">
        <f t="shared" si="1"/>
        <v>6</v>
      </c>
      <c r="I166" s="158" t="s">
        <v>13</v>
      </c>
    </row>
    <row r="167" ht="22.5" customHeight="1">
      <c r="A167" s="135">
        <v>45839.0</v>
      </c>
      <c r="B167" s="159" t="s">
        <v>8</v>
      </c>
      <c r="C167" s="137" t="s">
        <v>9</v>
      </c>
      <c r="D167" s="138">
        <v>21.0</v>
      </c>
      <c r="E167" s="139" t="s">
        <v>10</v>
      </c>
      <c r="F167" s="140" t="s">
        <v>15</v>
      </c>
      <c r="G167" s="141" t="s">
        <v>32</v>
      </c>
      <c r="H167" s="142">
        <f t="shared" si="1"/>
        <v>7</v>
      </c>
      <c r="I167" s="143" t="s">
        <v>16</v>
      </c>
    </row>
    <row r="168" ht="22.5" customHeight="1">
      <c r="A168" s="126">
        <v>45841.0</v>
      </c>
      <c r="B168" s="191" t="s">
        <v>14</v>
      </c>
      <c r="C168" s="128" t="s">
        <v>9</v>
      </c>
      <c r="D168" s="129">
        <v>28.0</v>
      </c>
      <c r="E168" s="155" t="s">
        <v>22</v>
      </c>
      <c r="F168" s="131" t="s">
        <v>11</v>
      </c>
      <c r="G168" s="132" t="s">
        <v>32</v>
      </c>
      <c r="H168" s="157">
        <f t="shared" si="1"/>
        <v>7</v>
      </c>
      <c r="I168" s="158" t="s">
        <v>33</v>
      </c>
    </row>
    <row r="169" ht="22.5" customHeight="1">
      <c r="A169" s="135">
        <v>45844.0</v>
      </c>
      <c r="B169" s="147" t="s">
        <v>19</v>
      </c>
      <c r="C169" s="137" t="s">
        <v>9</v>
      </c>
      <c r="D169" s="138">
        <v>7.0</v>
      </c>
      <c r="E169" s="139" t="s">
        <v>10</v>
      </c>
      <c r="F169" s="161" t="s">
        <v>11</v>
      </c>
      <c r="G169" s="141" t="s">
        <v>32</v>
      </c>
      <c r="H169" s="148">
        <f t="shared" si="1"/>
        <v>7</v>
      </c>
      <c r="I169" s="149" t="s">
        <v>13</v>
      </c>
    </row>
    <row r="170" ht="22.5" customHeight="1">
      <c r="A170" s="126">
        <v>45846.0</v>
      </c>
      <c r="B170" s="144" t="s">
        <v>17</v>
      </c>
      <c r="C170" s="128" t="s">
        <v>9</v>
      </c>
      <c r="D170" s="129">
        <v>14.0</v>
      </c>
      <c r="E170" s="130" t="s">
        <v>10</v>
      </c>
      <c r="F170" s="156" t="s">
        <v>15</v>
      </c>
      <c r="G170" s="132" t="s">
        <v>32</v>
      </c>
      <c r="H170" s="198">
        <f t="shared" si="1"/>
        <v>7</v>
      </c>
      <c r="I170" s="199" t="s">
        <v>16</v>
      </c>
    </row>
    <row r="171" ht="22.5" customHeight="1">
      <c r="A171" s="135">
        <v>45848.0</v>
      </c>
      <c r="B171" s="159" t="s">
        <v>8</v>
      </c>
      <c r="C171" s="172" t="s">
        <v>24</v>
      </c>
      <c r="D171" s="138">
        <v>15.0</v>
      </c>
      <c r="E171" s="139" t="s">
        <v>10</v>
      </c>
      <c r="F171" s="161" t="s">
        <v>11</v>
      </c>
      <c r="G171" s="141" t="s">
        <v>32</v>
      </c>
      <c r="H171" s="148">
        <f t="shared" si="1"/>
        <v>7</v>
      </c>
      <c r="I171" s="149" t="s">
        <v>33</v>
      </c>
    </row>
    <row r="172" ht="22.5" customHeight="1">
      <c r="A172" s="126">
        <v>45851.0</v>
      </c>
      <c r="B172" s="127" t="s">
        <v>8</v>
      </c>
      <c r="C172" s="128" t="s">
        <v>9</v>
      </c>
      <c r="D172" s="129">
        <v>21.0</v>
      </c>
      <c r="E172" s="130" t="s">
        <v>10</v>
      </c>
      <c r="F172" s="131" t="s">
        <v>11</v>
      </c>
      <c r="G172" s="132" t="s">
        <v>32</v>
      </c>
      <c r="H172" s="157">
        <f t="shared" si="1"/>
        <v>7</v>
      </c>
      <c r="I172" s="158" t="s">
        <v>13</v>
      </c>
    </row>
    <row r="173" ht="22.5" customHeight="1">
      <c r="A173" s="135">
        <v>45853.0</v>
      </c>
      <c r="B173" s="185" t="s">
        <v>17</v>
      </c>
      <c r="C173" s="137" t="s">
        <v>9</v>
      </c>
      <c r="D173" s="138">
        <v>12.0</v>
      </c>
      <c r="E173" s="139" t="s">
        <v>10</v>
      </c>
      <c r="F173" s="140" t="s">
        <v>15</v>
      </c>
      <c r="G173" s="141" t="s">
        <v>32</v>
      </c>
      <c r="H173" s="142">
        <f t="shared" si="1"/>
        <v>7</v>
      </c>
      <c r="I173" s="143" t="s">
        <v>16</v>
      </c>
    </row>
    <row r="174" ht="22.5" customHeight="1">
      <c r="A174" s="126">
        <v>45855.0</v>
      </c>
      <c r="B174" s="171" t="s">
        <v>23</v>
      </c>
      <c r="C174" s="128" t="s">
        <v>9</v>
      </c>
      <c r="D174" s="129">
        <v>20.0</v>
      </c>
      <c r="E174" s="130" t="s">
        <v>10</v>
      </c>
      <c r="F174" s="131" t="s">
        <v>11</v>
      </c>
      <c r="G174" s="132" t="s">
        <v>32</v>
      </c>
      <c r="H174" s="157">
        <f t="shared" si="1"/>
        <v>7</v>
      </c>
      <c r="I174" s="158" t="s">
        <v>33</v>
      </c>
    </row>
    <row r="175" ht="22.5" customHeight="1">
      <c r="A175" s="135">
        <v>45858.0</v>
      </c>
      <c r="B175" s="159" t="s">
        <v>8</v>
      </c>
      <c r="C175" s="160" t="s">
        <v>21</v>
      </c>
      <c r="D175" s="138">
        <v>14.0</v>
      </c>
      <c r="E175" s="139" t="s">
        <v>10</v>
      </c>
      <c r="F175" s="161" t="s">
        <v>11</v>
      </c>
      <c r="G175" s="141" t="s">
        <v>32</v>
      </c>
      <c r="H175" s="148">
        <f t="shared" si="1"/>
        <v>7</v>
      </c>
      <c r="I175" s="149" t="s">
        <v>13</v>
      </c>
    </row>
    <row r="176" ht="22.5" customHeight="1">
      <c r="A176" s="126">
        <v>45860.0</v>
      </c>
      <c r="B176" s="182" t="s">
        <v>19</v>
      </c>
      <c r="C176" s="128" t="s">
        <v>9</v>
      </c>
      <c r="D176" s="129">
        <v>7.0</v>
      </c>
      <c r="E176" s="130" t="s">
        <v>10</v>
      </c>
      <c r="F176" s="156" t="s">
        <v>15</v>
      </c>
      <c r="G176" s="132" t="s">
        <v>32</v>
      </c>
      <c r="H176" s="198">
        <f t="shared" si="1"/>
        <v>7</v>
      </c>
      <c r="I176" s="199" t="s">
        <v>16</v>
      </c>
    </row>
    <row r="177" ht="22.5" customHeight="1">
      <c r="A177" s="135">
        <v>45862.0</v>
      </c>
      <c r="B177" s="159" t="s">
        <v>8</v>
      </c>
      <c r="C177" s="137" t="s">
        <v>9</v>
      </c>
      <c r="D177" s="138">
        <v>21.0</v>
      </c>
      <c r="E177" s="139" t="s">
        <v>10</v>
      </c>
      <c r="F177" s="161" t="s">
        <v>11</v>
      </c>
      <c r="G177" s="141" t="s">
        <v>32</v>
      </c>
      <c r="H177" s="148">
        <f t="shared" si="1"/>
        <v>7</v>
      </c>
      <c r="I177" s="149" t="s">
        <v>33</v>
      </c>
    </row>
    <row r="178" ht="22.5" customHeight="1">
      <c r="A178" s="126">
        <v>45865.0</v>
      </c>
      <c r="B178" s="144" t="s">
        <v>17</v>
      </c>
      <c r="C178" s="128" t="s">
        <v>9</v>
      </c>
      <c r="D178" s="129">
        <v>10.0</v>
      </c>
      <c r="E178" s="130" t="s">
        <v>10</v>
      </c>
      <c r="F178" s="131" t="s">
        <v>11</v>
      </c>
      <c r="G178" s="132" t="s">
        <v>32</v>
      </c>
      <c r="H178" s="157">
        <f t="shared" si="1"/>
        <v>7</v>
      </c>
      <c r="I178" s="158" t="s">
        <v>13</v>
      </c>
    </row>
    <row r="179" ht="22.5" customHeight="1">
      <c r="A179" s="135">
        <v>45867.0</v>
      </c>
      <c r="B179" s="136" t="s">
        <v>14</v>
      </c>
      <c r="C179" s="137" t="s">
        <v>9</v>
      </c>
      <c r="D179" s="138">
        <v>25.0</v>
      </c>
      <c r="E179" s="139" t="s">
        <v>10</v>
      </c>
      <c r="F179" s="140" t="s">
        <v>15</v>
      </c>
      <c r="G179" s="141" t="s">
        <v>32</v>
      </c>
      <c r="H179" s="142">
        <f t="shared" si="1"/>
        <v>7</v>
      </c>
      <c r="I179" s="143" t="s">
        <v>16</v>
      </c>
    </row>
    <row r="180" ht="22.5" customHeight="1">
      <c r="A180" s="126">
        <v>45869.0</v>
      </c>
      <c r="B180" s="127" t="s">
        <v>8</v>
      </c>
      <c r="C180" s="128" t="s">
        <v>9</v>
      </c>
      <c r="D180" s="129">
        <v>14.0</v>
      </c>
      <c r="E180" s="130" t="s">
        <v>10</v>
      </c>
      <c r="F180" s="131" t="s">
        <v>11</v>
      </c>
      <c r="G180" s="132" t="s">
        <v>32</v>
      </c>
      <c r="H180" s="157">
        <f t="shared" si="1"/>
        <v>7</v>
      </c>
      <c r="I180" s="158" t="s">
        <v>33</v>
      </c>
    </row>
    <row r="181" ht="22.5" customHeight="1">
      <c r="A181" s="135">
        <v>45872.0</v>
      </c>
      <c r="B181" s="147" t="s">
        <v>19</v>
      </c>
      <c r="C181" s="137" t="s">
        <v>9</v>
      </c>
      <c r="D181" s="138">
        <v>7.0</v>
      </c>
      <c r="E181" s="139" t="s">
        <v>10</v>
      </c>
      <c r="F181" s="161" t="s">
        <v>11</v>
      </c>
      <c r="G181" s="141" t="s">
        <v>34</v>
      </c>
      <c r="H181" s="148">
        <f t="shared" si="1"/>
        <v>8</v>
      </c>
      <c r="I181" s="149" t="s">
        <v>13</v>
      </c>
    </row>
    <row r="182" ht="22.5" customHeight="1">
      <c r="A182" s="126">
        <v>45874.0</v>
      </c>
      <c r="B182" s="127" t="s">
        <v>8</v>
      </c>
      <c r="C182" s="128" t="s">
        <v>9</v>
      </c>
      <c r="D182" s="129">
        <v>28.0</v>
      </c>
      <c r="E182" s="155" t="s">
        <v>22</v>
      </c>
      <c r="F182" s="156" t="s">
        <v>15</v>
      </c>
      <c r="G182" s="132" t="s">
        <v>34</v>
      </c>
      <c r="H182" s="198">
        <f t="shared" si="1"/>
        <v>8</v>
      </c>
      <c r="I182" s="199" t="s">
        <v>16</v>
      </c>
    </row>
    <row r="183" ht="22.5" customHeight="1">
      <c r="A183" s="135">
        <v>45876.0</v>
      </c>
      <c r="B183" s="185" t="s">
        <v>17</v>
      </c>
      <c r="C183" s="172" t="s">
        <v>24</v>
      </c>
      <c r="D183" s="138">
        <v>14.0</v>
      </c>
      <c r="E183" s="139" t="s">
        <v>10</v>
      </c>
      <c r="F183" s="161" t="s">
        <v>11</v>
      </c>
      <c r="G183" s="141" t="s">
        <v>34</v>
      </c>
      <c r="H183" s="148">
        <f t="shared" si="1"/>
        <v>8</v>
      </c>
      <c r="I183" s="149" t="s">
        <v>33</v>
      </c>
    </row>
    <row r="184" ht="22.5" customHeight="1">
      <c r="A184" s="126">
        <v>45879.0</v>
      </c>
      <c r="B184" s="127" t="s">
        <v>8</v>
      </c>
      <c r="C184" s="128" t="s">
        <v>9</v>
      </c>
      <c r="D184" s="129">
        <v>21.0</v>
      </c>
      <c r="E184" s="130" t="s">
        <v>10</v>
      </c>
      <c r="F184" s="131" t="s">
        <v>11</v>
      </c>
      <c r="G184" s="132" t="s">
        <v>34</v>
      </c>
      <c r="H184" s="157">
        <f t="shared" si="1"/>
        <v>8</v>
      </c>
      <c r="I184" s="158" t="s">
        <v>13</v>
      </c>
    </row>
    <row r="185" ht="22.5" customHeight="1">
      <c r="A185" s="135">
        <v>45881.0</v>
      </c>
      <c r="B185" s="136" t="s">
        <v>14</v>
      </c>
      <c r="C185" s="137" t="s">
        <v>9</v>
      </c>
      <c r="D185" s="138">
        <v>23.0</v>
      </c>
      <c r="E185" s="139" t="s">
        <v>10</v>
      </c>
      <c r="F185" s="140" t="s">
        <v>15</v>
      </c>
      <c r="G185" s="141" t="s">
        <v>34</v>
      </c>
      <c r="H185" s="142">
        <f t="shared" si="1"/>
        <v>8</v>
      </c>
      <c r="I185" s="143" t="s">
        <v>16</v>
      </c>
    </row>
    <row r="186" ht="22.5" customHeight="1">
      <c r="A186" s="126">
        <v>45883.0</v>
      </c>
      <c r="B186" s="144" t="s">
        <v>17</v>
      </c>
      <c r="C186" s="128" t="s">
        <v>9</v>
      </c>
      <c r="D186" s="129">
        <v>11.0</v>
      </c>
      <c r="E186" s="130" t="s">
        <v>10</v>
      </c>
      <c r="F186" s="131" t="s">
        <v>11</v>
      </c>
      <c r="G186" s="132" t="s">
        <v>34</v>
      </c>
      <c r="H186" s="157">
        <f t="shared" si="1"/>
        <v>8</v>
      </c>
      <c r="I186" s="158" t="s">
        <v>33</v>
      </c>
    </row>
    <row r="187" ht="22.5" customHeight="1">
      <c r="A187" s="135">
        <v>45886.0</v>
      </c>
      <c r="B187" s="159" t="s">
        <v>8</v>
      </c>
      <c r="C187" s="137" t="s">
        <v>9</v>
      </c>
      <c r="D187" s="138">
        <v>14.0</v>
      </c>
      <c r="E187" s="139" t="s">
        <v>10</v>
      </c>
      <c r="F187" s="161" t="s">
        <v>11</v>
      </c>
      <c r="G187" s="141" t="s">
        <v>34</v>
      </c>
      <c r="H187" s="148">
        <f t="shared" si="1"/>
        <v>8</v>
      </c>
      <c r="I187" s="149" t="s">
        <v>13</v>
      </c>
    </row>
    <row r="188" ht="22.5" customHeight="1">
      <c r="A188" s="126">
        <v>45888.0</v>
      </c>
      <c r="B188" s="182" t="s">
        <v>19</v>
      </c>
      <c r="C188" s="128" t="s">
        <v>9</v>
      </c>
      <c r="D188" s="129">
        <v>7.0</v>
      </c>
      <c r="E188" s="130" t="s">
        <v>10</v>
      </c>
      <c r="F188" s="156" t="s">
        <v>15</v>
      </c>
      <c r="G188" s="132" t="s">
        <v>34</v>
      </c>
      <c r="H188" s="198">
        <f t="shared" si="1"/>
        <v>8</v>
      </c>
      <c r="I188" s="199" t="s">
        <v>16</v>
      </c>
    </row>
    <row r="189" ht="22.5" customHeight="1">
      <c r="A189" s="135">
        <v>45890.0</v>
      </c>
      <c r="B189" s="184" t="s">
        <v>26</v>
      </c>
      <c r="C189" s="160" t="s">
        <v>21</v>
      </c>
      <c r="D189" s="138">
        <v>26.0</v>
      </c>
      <c r="E189" s="139" t="s">
        <v>10</v>
      </c>
      <c r="F189" s="161" t="s">
        <v>11</v>
      </c>
      <c r="G189" s="141" t="s">
        <v>34</v>
      </c>
      <c r="H189" s="148">
        <f t="shared" si="1"/>
        <v>8</v>
      </c>
      <c r="I189" s="149" t="s">
        <v>33</v>
      </c>
    </row>
    <row r="190" ht="22.5" customHeight="1">
      <c r="A190" s="126">
        <v>45893.0</v>
      </c>
      <c r="B190" s="127" t="s">
        <v>8</v>
      </c>
      <c r="C190" s="128" t="s">
        <v>9</v>
      </c>
      <c r="D190" s="129">
        <v>21.0</v>
      </c>
      <c r="E190" s="130" t="s">
        <v>10</v>
      </c>
      <c r="F190" s="131" t="s">
        <v>11</v>
      </c>
      <c r="G190" s="132" t="s">
        <v>34</v>
      </c>
      <c r="H190" s="157">
        <f t="shared" si="1"/>
        <v>8</v>
      </c>
      <c r="I190" s="158" t="s">
        <v>13</v>
      </c>
    </row>
    <row r="191" ht="22.5" customHeight="1">
      <c r="A191" s="135">
        <v>45895.0</v>
      </c>
      <c r="B191" s="185" t="s">
        <v>17</v>
      </c>
      <c r="C191" s="137" t="s">
        <v>9</v>
      </c>
      <c r="D191" s="138">
        <v>10.0</v>
      </c>
      <c r="E191" s="139" t="s">
        <v>10</v>
      </c>
      <c r="F191" s="140" t="s">
        <v>15</v>
      </c>
      <c r="G191" s="141" t="s">
        <v>34</v>
      </c>
      <c r="H191" s="142">
        <f t="shared" si="1"/>
        <v>8</v>
      </c>
      <c r="I191" s="143" t="s">
        <v>16</v>
      </c>
    </row>
    <row r="192" ht="22.5" customHeight="1">
      <c r="A192" s="126">
        <v>45897.0</v>
      </c>
      <c r="B192" s="127" t="s">
        <v>8</v>
      </c>
      <c r="C192" s="188" t="s">
        <v>24</v>
      </c>
      <c r="D192" s="129">
        <v>14.0</v>
      </c>
      <c r="E192" s="130" t="s">
        <v>10</v>
      </c>
      <c r="F192" s="131" t="s">
        <v>11</v>
      </c>
      <c r="G192" s="132" t="s">
        <v>34</v>
      </c>
      <c r="H192" s="157">
        <f t="shared" si="1"/>
        <v>8</v>
      </c>
      <c r="I192" s="158" t="s">
        <v>33</v>
      </c>
    </row>
    <row r="193" ht="22.5" customHeight="1">
      <c r="A193" s="135">
        <v>45900.0</v>
      </c>
      <c r="B193" s="194" t="s">
        <v>23</v>
      </c>
      <c r="C193" s="137" t="s">
        <v>9</v>
      </c>
      <c r="D193" s="138">
        <v>19.0</v>
      </c>
      <c r="E193" s="139" t="s">
        <v>10</v>
      </c>
      <c r="F193" s="161" t="s">
        <v>11</v>
      </c>
      <c r="G193" s="141" t="s">
        <v>34</v>
      </c>
      <c r="H193" s="148">
        <f t="shared" si="1"/>
        <v>8</v>
      </c>
      <c r="I193" s="149" t="s">
        <v>13</v>
      </c>
    </row>
    <row r="194" ht="22.5" customHeight="1">
      <c r="A194" s="126">
        <v>45902.0</v>
      </c>
      <c r="B194" s="127" t="s">
        <v>8</v>
      </c>
      <c r="C194" s="128" t="s">
        <v>9</v>
      </c>
      <c r="D194" s="129">
        <v>14.0</v>
      </c>
      <c r="E194" s="130" t="s">
        <v>10</v>
      </c>
      <c r="F194" s="156" t="s">
        <v>15</v>
      </c>
      <c r="G194" s="132" t="s">
        <v>35</v>
      </c>
      <c r="H194" s="198">
        <f t="shared" si="1"/>
        <v>9</v>
      </c>
      <c r="I194" s="199" t="s">
        <v>16</v>
      </c>
    </row>
    <row r="195" ht="22.5" customHeight="1">
      <c r="A195" s="135">
        <v>45903.0</v>
      </c>
      <c r="B195" s="185" t="s">
        <v>17</v>
      </c>
      <c r="C195" s="137" t="s">
        <v>9</v>
      </c>
      <c r="D195" s="138">
        <v>9.0</v>
      </c>
      <c r="E195" s="139" t="s">
        <v>10</v>
      </c>
      <c r="F195" s="161" t="s">
        <v>11</v>
      </c>
      <c r="G195" s="141" t="s">
        <v>35</v>
      </c>
      <c r="H195" s="200">
        <f t="shared" si="1"/>
        <v>9</v>
      </c>
      <c r="I195" s="201" t="s">
        <v>18</v>
      </c>
    </row>
    <row r="196" ht="22.5" customHeight="1">
      <c r="A196" s="126">
        <v>45905.0</v>
      </c>
      <c r="B196" s="191" t="s">
        <v>14</v>
      </c>
      <c r="C196" s="128" t="s">
        <v>9</v>
      </c>
      <c r="D196" s="129">
        <v>21.0</v>
      </c>
      <c r="E196" s="130" t="s">
        <v>10</v>
      </c>
      <c r="F196" s="131" t="s">
        <v>11</v>
      </c>
      <c r="G196" s="132" t="s">
        <v>35</v>
      </c>
      <c r="H196" s="202">
        <f t="shared" si="1"/>
        <v>9</v>
      </c>
      <c r="I196" s="203" t="s">
        <v>20</v>
      </c>
    </row>
    <row r="197" ht="22.5" customHeight="1">
      <c r="A197" s="135">
        <v>45907.0</v>
      </c>
      <c r="B197" s="159" t="s">
        <v>8</v>
      </c>
      <c r="C197" s="160" t="s">
        <v>21</v>
      </c>
      <c r="D197" s="138">
        <v>14.0</v>
      </c>
      <c r="E197" s="139" t="s">
        <v>10</v>
      </c>
      <c r="F197" s="140" t="s">
        <v>15</v>
      </c>
      <c r="G197" s="141" t="s">
        <v>35</v>
      </c>
      <c r="H197" s="148">
        <f t="shared" si="1"/>
        <v>9</v>
      </c>
      <c r="I197" s="149" t="s">
        <v>13</v>
      </c>
    </row>
    <row r="198" ht="22.5" customHeight="1">
      <c r="A198" s="126">
        <v>45909.0</v>
      </c>
      <c r="B198" s="182" t="s">
        <v>19</v>
      </c>
      <c r="C198" s="128" t="s">
        <v>9</v>
      </c>
      <c r="D198" s="129">
        <v>7.0</v>
      </c>
      <c r="E198" s="130" t="s">
        <v>10</v>
      </c>
      <c r="F198" s="131" t="s">
        <v>11</v>
      </c>
      <c r="G198" s="132" t="s">
        <v>35</v>
      </c>
      <c r="H198" s="198">
        <f t="shared" si="1"/>
        <v>9</v>
      </c>
      <c r="I198" s="199" t="s">
        <v>16</v>
      </c>
    </row>
    <row r="199" ht="22.5" customHeight="1">
      <c r="A199" s="135">
        <v>45910.0</v>
      </c>
      <c r="B199" s="185" t="s">
        <v>17</v>
      </c>
      <c r="C199" s="172" t="s">
        <v>24</v>
      </c>
      <c r="D199" s="138">
        <v>12.0</v>
      </c>
      <c r="E199" s="139" t="s">
        <v>10</v>
      </c>
      <c r="F199" s="161" t="s">
        <v>11</v>
      </c>
      <c r="G199" s="141" t="s">
        <v>35</v>
      </c>
      <c r="H199" s="200">
        <f t="shared" si="1"/>
        <v>9</v>
      </c>
      <c r="I199" s="201" t="s">
        <v>18</v>
      </c>
    </row>
    <row r="200" ht="22.5" customHeight="1">
      <c r="A200" s="126">
        <v>45912.0</v>
      </c>
      <c r="B200" s="127" t="s">
        <v>8</v>
      </c>
      <c r="C200" s="128" t="s">
        <v>9</v>
      </c>
      <c r="D200" s="129">
        <v>14.0</v>
      </c>
      <c r="E200" s="130" t="s">
        <v>10</v>
      </c>
      <c r="F200" s="156" t="s">
        <v>15</v>
      </c>
      <c r="G200" s="132" t="s">
        <v>35</v>
      </c>
      <c r="H200" s="202">
        <f t="shared" si="1"/>
        <v>9</v>
      </c>
      <c r="I200" s="203" t="s">
        <v>20</v>
      </c>
    </row>
    <row r="201" ht="22.5" customHeight="1">
      <c r="A201" s="135">
        <v>45914.0</v>
      </c>
      <c r="B201" s="159" t="s">
        <v>8</v>
      </c>
      <c r="C201" s="137" t="s">
        <v>9</v>
      </c>
      <c r="D201" s="138">
        <v>16.0</v>
      </c>
      <c r="E201" s="193" t="s">
        <v>22</v>
      </c>
      <c r="F201" s="161" t="s">
        <v>11</v>
      </c>
      <c r="G201" s="141" t="s">
        <v>35</v>
      </c>
      <c r="H201" s="148">
        <f t="shared" si="1"/>
        <v>9</v>
      </c>
      <c r="I201" s="149" t="s">
        <v>13</v>
      </c>
    </row>
    <row r="202" ht="22.5" customHeight="1">
      <c r="A202" s="126">
        <v>45916.0</v>
      </c>
      <c r="B202" s="171" t="s">
        <v>23</v>
      </c>
      <c r="C202" s="128" t="s">
        <v>9</v>
      </c>
      <c r="D202" s="129">
        <v>18.0</v>
      </c>
      <c r="E202" s="130" t="s">
        <v>10</v>
      </c>
      <c r="F202" s="156" t="s">
        <v>15</v>
      </c>
      <c r="G202" s="132" t="s">
        <v>35</v>
      </c>
      <c r="H202" s="198">
        <f t="shared" si="1"/>
        <v>9</v>
      </c>
      <c r="I202" s="199" t="s">
        <v>16</v>
      </c>
    </row>
    <row r="203" ht="22.5" customHeight="1">
      <c r="A203" s="135">
        <v>45917.0</v>
      </c>
      <c r="B203" s="185" t="s">
        <v>17</v>
      </c>
      <c r="C203" s="137" t="s">
        <v>9</v>
      </c>
      <c r="D203" s="138">
        <v>10.0</v>
      </c>
      <c r="E203" s="139" t="s">
        <v>10</v>
      </c>
      <c r="F203" s="161" t="s">
        <v>11</v>
      </c>
      <c r="G203" s="141" t="s">
        <v>35</v>
      </c>
      <c r="H203" s="200">
        <f t="shared" si="1"/>
        <v>9</v>
      </c>
      <c r="I203" s="201" t="s">
        <v>18</v>
      </c>
    </row>
    <row r="204" ht="22.5" customHeight="1">
      <c r="A204" s="126">
        <v>45919.0</v>
      </c>
      <c r="B204" s="191" t="s">
        <v>14</v>
      </c>
      <c r="C204" s="128" t="s">
        <v>9</v>
      </c>
      <c r="D204" s="129">
        <v>22.0</v>
      </c>
      <c r="E204" s="130" t="s">
        <v>10</v>
      </c>
      <c r="F204" s="131" t="s">
        <v>11</v>
      </c>
      <c r="G204" s="132" t="s">
        <v>35</v>
      </c>
      <c r="H204" s="202">
        <f t="shared" si="1"/>
        <v>9</v>
      </c>
      <c r="I204" s="203" t="s">
        <v>20</v>
      </c>
    </row>
    <row r="205" ht="22.5" customHeight="1">
      <c r="A205" s="135">
        <v>45921.0</v>
      </c>
      <c r="B205" s="159" t="s">
        <v>8</v>
      </c>
      <c r="C205" s="137" t="s">
        <v>9</v>
      </c>
      <c r="D205" s="138">
        <v>14.0</v>
      </c>
      <c r="E205" s="139" t="s">
        <v>10</v>
      </c>
      <c r="F205" s="140" t="s">
        <v>15</v>
      </c>
      <c r="G205" s="141" t="s">
        <v>35</v>
      </c>
      <c r="H205" s="148">
        <f t="shared" si="1"/>
        <v>9</v>
      </c>
      <c r="I205" s="149" t="s">
        <v>13</v>
      </c>
    </row>
    <row r="206" ht="22.5" customHeight="1">
      <c r="A206" s="126">
        <v>45923.0</v>
      </c>
      <c r="B206" s="182" t="s">
        <v>19</v>
      </c>
      <c r="C206" s="128" t="s">
        <v>9</v>
      </c>
      <c r="D206" s="129">
        <v>7.0</v>
      </c>
      <c r="E206" s="130" t="s">
        <v>10</v>
      </c>
      <c r="F206" s="131" t="s">
        <v>11</v>
      </c>
      <c r="G206" s="132" t="s">
        <v>35</v>
      </c>
      <c r="H206" s="198">
        <f t="shared" si="1"/>
        <v>9</v>
      </c>
      <c r="I206" s="199" t="s">
        <v>16</v>
      </c>
    </row>
    <row r="207" ht="22.5" customHeight="1">
      <c r="A207" s="135">
        <v>45924.0</v>
      </c>
      <c r="B207" s="159" t="s">
        <v>8</v>
      </c>
      <c r="C207" s="172" t="s">
        <v>24</v>
      </c>
      <c r="D207" s="138">
        <v>14.0</v>
      </c>
      <c r="E207" s="139" t="s">
        <v>10</v>
      </c>
      <c r="F207" s="161" t="s">
        <v>11</v>
      </c>
      <c r="G207" s="141" t="s">
        <v>35</v>
      </c>
      <c r="H207" s="200">
        <f t="shared" si="1"/>
        <v>9</v>
      </c>
      <c r="I207" s="201" t="s">
        <v>18</v>
      </c>
    </row>
    <row r="208" ht="22.5" customHeight="1">
      <c r="A208" s="126">
        <v>45926.0</v>
      </c>
      <c r="B208" s="183" t="s">
        <v>26</v>
      </c>
      <c r="C208" s="128" t="s">
        <v>9</v>
      </c>
      <c r="D208" s="129">
        <v>24.0</v>
      </c>
      <c r="E208" s="130" t="s">
        <v>10</v>
      </c>
      <c r="F208" s="156" t="s">
        <v>15</v>
      </c>
      <c r="G208" s="132" t="s">
        <v>35</v>
      </c>
      <c r="H208" s="202">
        <f t="shared" si="1"/>
        <v>9</v>
      </c>
      <c r="I208" s="203" t="s">
        <v>20</v>
      </c>
    </row>
    <row r="209" ht="22.5" customHeight="1">
      <c r="A209" s="135">
        <v>45928.0</v>
      </c>
      <c r="B209" s="185" t="s">
        <v>17</v>
      </c>
      <c r="C209" s="137" t="s">
        <v>9</v>
      </c>
      <c r="D209" s="138">
        <v>9.0</v>
      </c>
      <c r="E209" s="139" t="s">
        <v>10</v>
      </c>
      <c r="F209" s="161" t="s">
        <v>11</v>
      </c>
      <c r="G209" s="141" t="s">
        <v>35</v>
      </c>
      <c r="H209" s="148">
        <f t="shared" si="1"/>
        <v>9</v>
      </c>
      <c r="I209" s="149" t="s">
        <v>13</v>
      </c>
    </row>
    <row r="210" ht="22.5" customHeight="1">
      <c r="A210" s="126">
        <v>45930.0</v>
      </c>
      <c r="B210" s="127" t="s">
        <v>8</v>
      </c>
      <c r="C210" s="128" t="s">
        <v>9</v>
      </c>
      <c r="D210" s="129">
        <v>14.0</v>
      </c>
      <c r="E210" s="130" t="s">
        <v>10</v>
      </c>
      <c r="F210" s="131" t="s">
        <v>11</v>
      </c>
      <c r="G210" s="132" t="s">
        <v>35</v>
      </c>
      <c r="H210" s="198">
        <f t="shared" si="1"/>
        <v>9</v>
      </c>
      <c r="I210" s="199" t="s">
        <v>16</v>
      </c>
    </row>
    <row r="211" ht="22.5" customHeight="1">
      <c r="A211" s="135">
        <v>45931.0</v>
      </c>
      <c r="B211" s="136" t="s">
        <v>14</v>
      </c>
      <c r="C211" s="137" t="s">
        <v>9</v>
      </c>
      <c r="D211" s="138">
        <v>21.0</v>
      </c>
      <c r="E211" s="139" t="s">
        <v>10</v>
      </c>
      <c r="F211" s="140" t="s">
        <v>15</v>
      </c>
      <c r="G211" s="141" t="s">
        <v>36</v>
      </c>
      <c r="H211" s="200">
        <f t="shared" si="1"/>
        <v>10</v>
      </c>
      <c r="I211" s="201" t="s">
        <v>18</v>
      </c>
    </row>
    <row r="212" ht="22.5" customHeight="1">
      <c r="A212" s="126">
        <v>45933.0</v>
      </c>
      <c r="B212" s="127" t="s">
        <v>8</v>
      </c>
      <c r="C212" s="154" t="s">
        <v>21</v>
      </c>
      <c r="D212" s="129">
        <v>14.0</v>
      </c>
      <c r="E212" s="130" t="s">
        <v>10</v>
      </c>
      <c r="F212" s="131" t="s">
        <v>11</v>
      </c>
      <c r="G212" s="132" t="s">
        <v>36</v>
      </c>
      <c r="H212" s="202">
        <f t="shared" si="1"/>
        <v>10</v>
      </c>
      <c r="I212" s="203" t="s">
        <v>20</v>
      </c>
    </row>
    <row r="213" ht="22.5" customHeight="1">
      <c r="A213" s="135">
        <v>45935.0</v>
      </c>
      <c r="B213" s="147" t="s">
        <v>19</v>
      </c>
      <c r="C213" s="137" t="s">
        <v>9</v>
      </c>
      <c r="D213" s="138">
        <v>7.0</v>
      </c>
      <c r="E213" s="139" t="s">
        <v>10</v>
      </c>
      <c r="F213" s="161" t="s">
        <v>11</v>
      </c>
      <c r="G213" s="141" t="s">
        <v>36</v>
      </c>
      <c r="H213" s="148">
        <f t="shared" si="1"/>
        <v>10</v>
      </c>
      <c r="I213" s="149" t="s">
        <v>13</v>
      </c>
    </row>
    <row r="214" ht="22.5" customHeight="1">
      <c r="A214" s="126">
        <v>45937.0</v>
      </c>
      <c r="B214" s="144" t="s">
        <v>17</v>
      </c>
      <c r="C214" s="128" t="s">
        <v>9</v>
      </c>
      <c r="D214" s="129">
        <v>11.0</v>
      </c>
      <c r="E214" s="130" t="s">
        <v>10</v>
      </c>
      <c r="F214" s="156" t="s">
        <v>15</v>
      </c>
      <c r="G214" s="132" t="s">
        <v>36</v>
      </c>
      <c r="H214" s="198">
        <f t="shared" si="1"/>
        <v>10</v>
      </c>
      <c r="I214" s="199" t="s">
        <v>16</v>
      </c>
    </row>
    <row r="215" ht="22.5" customHeight="1">
      <c r="A215" s="135">
        <v>45938.0</v>
      </c>
      <c r="B215" s="159" t="s">
        <v>8</v>
      </c>
      <c r="C215" s="137" t="s">
        <v>9</v>
      </c>
      <c r="D215" s="138">
        <v>14.0</v>
      </c>
      <c r="E215" s="139" t="s">
        <v>10</v>
      </c>
      <c r="F215" s="161" t="s">
        <v>11</v>
      </c>
      <c r="G215" s="141" t="s">
        <v>36</v>
      </c>
      <c r="H215" s="200">
        <f t="shared" si="1"/>
        <v>10</v>
      </c>
      <c r="I215" s="201" t="s">
        <v>18</v>
      </c>
    </row>
    <row r="216" ht="22.5" customHeight="1">
      <c r="A216" s="126">
        <v>45940.0</v>
      </c>
      <c r="B216" s="127" t="s">
        <v>8</v>
      </c>
      <c r="C216" s="128" t="s">
        <v>9</v>
      </c>
      <c r="D216" s="129">
        <v>15.0</v>
      </c>
      <c r="E216" s="130" t="s">
        <v>10</v>
      </c>
      <c r="F216" s="131" t="s">
        <v>11</v>
      </c>
      <c r="G216" s="132" t="s">
        <v>36</v>
      </c>
      <c r="H216" s="202">
        <f t="shared" si="1"/>
        <v>10</v>
      </c>
      <c r="I216" s="203" t="s">
        <v>20</v>
      </c>
    </row>
    <row r="217" ht="22.5" customHeight="1">
      <c r="A217" s="135">
        <v>45942.0</v>
      </c>
      <c r="B217" s="194" t="s">
        <v>23</v>
      </c>
      <c r="C217" s="137" t="s">
        <v>9</v>
      </c>
      <c r="D217" s="138">
        <v>20.0</v>
      </c>
      <c r="E217" s="139" t="s">
        <v>10</v>
      </c>
      <c r="F217" s="140" t="s">
        <v>15</v>
      </c>
      <c r="G217" s="141" t="s">
        <v>36</v>
      </c>
      <c r="H217" s="148">
        <f t="shared" si="1"/>
        <v>10</v>
      </c>
      <c r="I217" s="149" t="s">
        <v>13</v>
      </c>
    </row>
    <row r="218" ht="22.5" customHeight="1">
      <c r="A218" s="126">
        <v>45944.0</v>
      </c>
      <c r="B218" s="144" t="s">
        <v>17</v>
      </c>
      <c r="C218" s="188" t="s">
        <v>24</v>
      </c>
      <c r="D218" s="129">
        <v>10.0</v>
      </c>
      <c r="E218" s="130" t="s">
        <v>10</v>
      </c>
      <c r="F218" s="131" t="s">
        <v>11</v>
      </c>
      <c r="G218" s="132" t="s">
        <v>36</v>
      </c>
      <c r="H218" s="198">
        <f t="shared" si="1"/>
        <v>10</v>
      </c>
      <c r="I218" s="199" t="s">
        <v>16</v>
      </c>
    </row>
    <row r="219" ht="22.5" customHeight="1">
      <c r="A219" s="135">
        <v>45945.0</v>
      </c>
      <c r="B219" s="136" t="s">
        <v>14</v>
      </c>
      <c r="C219" s="137" t="s">
        <v>9</v>
      </c>
      <c r="D219" s="138">
        <v>23.0</v>
      </c>
      <c r="E219" s="139" t="s">
        <v>10</v>
      </c>
      <c r="F219" s="161" t="s">
        <v>11</v>
      </c>
      <c r="G219" s="141" t="s">
        <v>36</v>
      </c>
      <c r="H219" s="200">
        <f t="shared" si="1"/>
        <v>10</v>
      </c>
      <c r="I219" s="201" t="s">
        <v>18</v>
      </c>
    </row>
    <row r="220" ht="22.5" customHeight="1">
      <c r="A220" s="126">
        <v>45947.0</v>
      </c>
      <c r="B220" s="127" t="s">
        <v>8</v>
      </c>
      <c r="C220" s="128" t="s">
        <v>9</v>
      </c>
      <c r="D220" s="129">
        <v>14.0</v>
      </c>
      <c r="E220" s="130" t="s">
        <v>10</v>
      </c>
      <c r="F220" s="156" t="s">
        <v>15</v>
      </c>
      <c r="G220" s="132" t="s">
        <v>36</v>
      </c>
      <c r="H220" s="202">
        <f t="shared" si="1"/>
        <v>10</v>
      </c>
      <c r="I220" s="203" t="s">
        <v>20</v>
      </c>
    </row>
    <row r="221" ht="22.5" customHeight="1">
      <c r="A221" s="135">
        <v>45949.0</v>
      </c>
      <c r="B221" s="147" t="s">
        <v>19</v>
      </c>
      <c r="C221" s="137" t="s">
        <v>9</v>
      </c>
      <c r="D221" s="138">
        <v>7.0</v>
      </c>
      <c r="E221" s="139" t="s">
        <v>10</v>
      </c>
      <c r="F221" s="161" t="s">
        <v>11</v>
      </c>
      <c r="G221" s="141" t="s">
        <v>36</v>
      </c>
      <c r="H221" s="148">
        <f t="shared" si="1"/>
        <v>10</v>
      </c>
      <c r="I221" s="149" t="s">
        <v>13</v>
      </c>
    </row>
    <row r="222" ht="22.5" customHeight="1">
      <c r="A222" s="126">
        <v>45951.0</v>
      </c>
      <c r="B222" s="127" t="s">
        <v>8</v>
      </c>
      <c r="C222" s="128" t="s">
        <v>9</v>
      </c>
      <c r="D222" s="129">
        <v>14.0</v>
      </c>
      <c r="E222" s="130" t="s">
        <v>10</v>
      </c>
      <c r="F222" s="131" t="s">
        <v>11</v>
      </c>
      <c r="G222" s="132" t="s">
        <v>36</v>
      </c>
      <c r="H222" s="198">
        <f t="shared" si="1"/>
        <v>10</v>
      </c>
      <c r="I222" s="199" t="s">
        <v>16</v>
      </c>
    </row>
    <row r="223" ht="22.5" customHeight="1">
      <c r="A223" s="135">
        <v>45952.0</v>
      </c>
      <c r="B223" s="185" t="s">
        <v>17</v>
      </c>
      <c r="C223" s="137" t="s">
        <v>9</v>
      </c>
      <c r="D223" s="138">
        <v>9.0</v>
      </c>
      <c r="E223" s="139" t="s">
        <v>10</v>
      </c>
      <c r="F223" s="140" t="s">
        <v>15</v>
      </c>
      <c r="G223" s="141" t="s">
        <v>36</v>
      </c>
      <c r="H223" s="200">
        <f t="shared" si="1"/>
        <v>10</v>
      </c>
      <c r="I223" s="201" t="s">
        <v>18</v>
      </c>
    </row>
    <row r="224" ht="22.5" customHeight="1">
      <c r="A224" s="126">
        <v>45954.0</v>
      </c>
      <c r="B224" s="183" t="s">
        <v>26</v>
      </c>
      <c r="C224" s="154" t="s">
        <v>21</v>
      </c>
      <c r="D224" s="129">
        <v>25.0</v>
      </c>
      <c r="E224" s="130" t="s">
        <v>10</v>
      </c>
      <c r="F224" s="131" t="s">
        <v>11</v>
      </c>
      <c r="G224" s="132" t="s">
        <v>36</v>
      </c>
      <c r="H224" s="202">
        <f t="shared" si="1"/>
        <v>10</v>
      </c>
      <c r="I224" s="203" t="s">
        <v>20</v>
      </c>
    </row>
    <row r="225" ht="22.5" customHeight="1">
      <c r="A225" s="135">
        <v>45956.0</v>
      </c>
      <c r="B225" s="159" t="s">
        <v>8</v>
      </c>
      <c r="C225" s="137" t="s">
        <v>9</v>
      </c>
      <c r="D225" s="138">
        <v>14.0</v>
      </c>
      <c r="E225" s="139" t="s">
        <v>10</v>
      </c>
      <c r="F225" s="161" t="s">
        <v>11</v>
      </c>
      <c r="G225" s="141" t="s">
        <v>36</v>
      </c>
      <c r="H225" s="148">
        <f t="shared" si="1"/>
        <v>10</v>
      </c>
      <c r="I225" s="149" t="s">
        <v>13</v>
      </c>
    </row>
    <row r="226" ht="22.5" customHeight="1">
      <c r="A226" s="126">
        <v>45958.0</v>
      </c>
      <c r="B226" s="127" t="s">
        <v>8</v>
      </c>
      <c r="C226" s="188" t="s">
        <v>24</v>
      </c>
      <c r="D226" s="129">
        <v>16.0</v>
      </c>
      <c r="E226" s="130" t="s">
        <v>10</v>
      </c>
      <c r="F226" s="156" t="s">
        <v>15</v>
      </c>
      <c r="G226" s="132" t="s">
        <v>36</v>
      </c>
      <c r="H226" s="198">
        <f t="shared" si="1"/>
        <v>10</v>
      </c>
      <c r="I226" s="199" t="s">
        <v>16</v>
      </c>
    </row>
    <row r="227" ht="22.5" customHeight="1">
      <c r="A227" s="135">
        <v>45959.0</v>
      </c>
      <c r="B227" s="136" t="s">
        <v>14</v>
      </c>
      <c r="C227" s="137" t="s">
        <v>9</v>
      </c>
      <c r="D227" s="138">
        <v>21.0</v>
      </c>
      <c r="E227" s="139" t="s">
        <v>10</v>
      </c>
      <c r="F227" s="161" t="s">
        <v>11</v>
      </c>
      <c r="G227" s="141" t="s">
        <v>36</v>
      </c>
      <c r="H227" s="200">
        <f t="shared" si="1"/>
        <v>10</v>
      </c>
      <c r="I227" s="201" t="s">
        <v>18</v>
      </c>
    </row>
    <row r="228" ht="22.5" customHeight="1">
      <c r="A228" s="126">
        <v>45961.0</v>
      </c>
      <c r="B228" s="144" t="s">
        <v>17</v>
      </c>
      <c r="C228" s="128" t="s">
        <v>9</v>
      </c>
      <c r="D228" s="129">
        <v>10.0</v>
      </c>
      <c r="E228" s="130" t="s">
        <v>10</v>
      </c>
      <c r="F228" s="131" t="s">
        <v>11</v>
      </c>
      <c r="G228" s="132" t="s">
        <v>36</v>
      </c>
      <c r="H228" s="202">
        <f t="shared" si="1"/>
        <v>10</v>
      </c>
      <c r="I228" s="203" t="s">
        <v>20</v>
      </c>
    </row>
    <row r="229" ht="22.5" customHeight="1">
      <c r="A229" s="135">
        <v>45963.0</v>
      </c>
      <c r="B229" s="159" t="s">
        <v>8</v>
      </c>
      <c r="C229" s="137" t="s">
        <v>9</v>
      </c>
      <c r="D229" s="138">
        <v>14.0</v>
      </c>
      <c r="E229" s="139" t="s">
        <v>10</v>
      </c>
      <c r="F229" s="140" t="s">
        <v>15</v>
      </c>
      <c r="G229" s="141" t="s">
        <v>37</v>
      </c>
      <c r="H229" s="148">
        <f t="shared" si="1"/>
        <v>11</v>
      </c>
      <c r="I229" s="149" t="s">
        <v>13</v>
      </c>
    </row>
    <row r="230" ht="22.5" customHeight="1">
      <c r="A230" s="126">
        <v>45965.0</v>
      </c>
      <c r="B230" s="182" t="s">
        <v>19</v>
      </c>
      <c r="C230" s="128" t="s">
        <v>9</v>
      </c>
      <c r="D230" s="129">
        <v>7.0</v>
      </c>
      <c r="E230" s="130" t="s">
        <v>10</v>
      </c>
      <c r="F230" s="131" t="s">
        <v>11</v>
      </c>
      <c r="G230" s="132" t="s">
        <v>37</v>
      </c>
      <c r="H230" s="198">
        <f t="shared" si="1"/>
        <v>11</v>
      </c>
      <c r="I230" s="199" t="s">
        <v>16</v>
      </c>
    </row>
    <row r="231" ht="22.5" customHeight="1">
      <c r="A231" s="135">
        <v>45966.0</v>
      </c>
      <c r="B231" s="159" t="s">
        <v>8</v>
      </c>
      <c r="C231" s="160" t="s">
        <v>21</v>
      </c>
      <c r="D231" s="138">
        <v>14.0</v>
      </c>
      <c r="E231" s="139" t="s">
        <v>10</v>
      </c>
      <c r="F231" s="161" t="s">
        <v>11</v>
      </c>
      <c r="G231" s="141" t="s">
        <v>37</v>
      </c>
      <c r="H231" s="200">
        <f t="shared" si="1"/>
        <v>11</v>
      </c>
      <c r="I231" s="201" t="s">
        <v>18</v>
      </c>
    </row>
    <row r="232" ht="22.5" customHeight="1">
      <c r="A232" s="126">
        <v>45968.0</v>
      </c>
      <c r="B232" s="144" t="s">
        <v>17</v>
      </c>
      <c r="C232" s="128" t="s">
        <v>9</v>
      </c>
      <c r="D232" s="129">
        <v>12.0</v>
      </c>
      <c r="E232" s="130" t="s">
        <v>10</v>
      </c>
      <c r="F232" s="156" t="s">
        <v>15</v>
      </c>
      <c r="G232" s="132" t="s">
        <v>37</v>
      </c>
      <c r="H232" s="202">
        <f t="shared" si="1"/>
        <v>11</v>
      </c>
      <c r="I232" s="203" t="s">
        <v>20</v>
      </c>
    </row>
    <row r="233" ht="22.5" customHeight="1">
      <c r="A233" s="135">
        <v>45970.0</v>
      </c>
      <c r="B233" s="136" t="s">
        <v>14</v>
      </c>
      <c r="C233" s="137" t="s">
        <v>9</v>
      </c>
      <c r="D233" s="138">
        <v>22.0</v>
      </c>
      <c r="E233" s="139" t="s">
        <v>10</v>
      </c>
      <c r="F233" s="161" t="s">
        <v>11</v>
      </c>
      <c r="G233" s="141" t="s">
        <v>37</v>
      </c>
      <c r="H233" s="148">
        <f t="shared" si="1"/>
        <v>11</v>
      </c>
      <c r="I233" s="149" t="s">
        <v>13</v>
      </c>
    </row>
    <row r="234" ht="22.5" customHeight="1">
      <c r="A234" s="126">
        <v>45972.0</v>
      </c>
      <c r="B234" s="127" t="s">
        <v>8</v>
      </c>
      <c r="C234" s="128" t="s">
        <v>9</v>
      </c>
      <c r="D234" s="129">
        <v>14.0</v>
      </c>
      <c r="E234" s="130" t="s">
        <v>10</v>
      </c>
      <c r="F234" s="131" t="s">
        <v>11</v>
      </c>
      <c r="G234" s="132" t="s">
        <v>37</v>
      </c>
      <c r="H234" s="198">
        <f t="shared" si="1"/>
        <v>11</v>
      </c>
      <c r="I234" s="199" t="s">
        <v>16</v>
      </c>
    </row>
    <row r="235" ht="22.5" customHeight="1">
      <c r="A235" s="135">
        <v>45973.0</v>
      </c>
      <c r="B235" s="194" t="s">
        <v>23</v>
      </c>
      <c r="C235" s="137" t="s">
        <v>9</v>
      </c>
      <c r="D235" s="138">
        <v>19.0</v>
      </c>
      <c r="E235" s="139" t="s">
        <v>10</v>
      </c>
      <c r="F235" s="140" t="s">
        <v>15</v>
      </c>
      <c r="G235" s="141" t="s">
        <v>37</v>
      </c>
      <c r="H235" s="200">
        <f t="shared" si="1"/>
        <v>11</v>
      </c>
      <c r="I235" s="201" t="s">
        <v>18</v>
      </c>
    </row>
    <row r="236" ht="22.5" customHeight="1">
      <c r="A236" s="126">
        <v>45975.0</v>
      </c>
      <c r="B236" s="144" t="s">
        <v>17</v>
      </c>
      <c r="C236" s="188" t="s">
        <v>24</v>
      </c>
      <c r="D236" s="129">
        <v>9.0</v>
      </c>
      <c r="E236" s="130" t="s">
        <v>10</v>
      </c>
      <c r="F236" s="131" t="s">
        <v>11</v>
      </c>
      <c r="G236" s="132" t="s">
        <v>37</v>
      </c>
      <c r="H236" s="202">
        <f t="shared" si="1"/>
        <v>11</v>
      </c>
      <c r="I236" s="203" t="s">
        <v>20</v>
      </c>
    </row>
    <row r="237" ht="22.5" customHeight="1">
      <c r="A237" s="135">
        <v>45977.0</v>
      </c>
      <c r="B237" s="159" t="s">
        <v>8</v>
      </c>
      <c r="C237" s="137" t="s">
        <v>9</v>
      </c>
      <c r="D237" s="138">
        <v>14.0</v>
      </c>
      <c r="E237" s="139" t="s">
        <v>10</v>
      </c>
      <c r="F237" s="161" t="s">
        <v>11</v>
      </c>
      <c r="G237" s="141" t="s">
        <v>37</v>
      </c>
      <c r="H237" s="148">
        <f t="shared" si="1"/>
        <v>11</v>
      </c>
      <c r="I237" s="149" t="s">
        <v>13</v>
      </c>
    </row>
    <row r="238" ht="22.5" customHeight="1">
      <c r="A238" s="126">
        <v>45979.0</v>
      </c>
      <c r="B238" s="182" t="s">
        <v>19</v>
      </c>
      <c r="C238" s="128" t="s">
        <v>9</v>
      </c>
      <c r="D238" s="129">
        <v>7.0</v>
      </c>
      <c r="E238" s="130" t="s">
        <v>10</v>
      </c>
      <c r="F238" s="156" t="s">
        <v>15</v>
      </c>
      <c r="G238" s="132" t="s">
        <v>37</v>
      </c>
      <c r="H238" s="198">
        <f t="shared" si="1"/>
        <v>11</v>
      </c>
      <c r="I238" s="199" t="s">
        <v>16</v>
      </c>
    </row>
    <row r="239" ht="22.5" customHeight="1">
      <c r="A239" s="135">
        <v>45980.0</v>
      </c>
      <c r="B239" s="136" t="s">
        <v>14</v>
      </c>
      <c r="C239" s="137" t="s">
        <v>9</v>
      </c>
      <c r="D239" s="138">
        <v>24.0</v>
      </c>
      <c r="E239" s="193" t="s">
        <v>22</v>
      </c>
      <c r="F239" s="161" t="s">
        <v>11</v>
      </c>
      <c r="G239" s="141" t="s">
        <v>37</v>
      </c>
      <c r="H239" s="200">
        <f t="shared" si="1"/>
        <v>11</v>
      </c>
      <c r="I239" s="201" t="s">
        <v>18</v>
      </c>
    </row>
    <row r="240" ht="22.5" customHeight="1">
      <c r="A240" s="126">
        <v>45982.0</v>
      </c>
      <c r="B240" s="127" t="s">
        <v>8</v>
      </c>
      <c r="C240" s="128" t="s">
        <v>9</v>
      </c>
      <c r="D240" s="129">
        <v>14.0</v>
      </c>
      <c r="E240" s="130" t="s">
        <v>10</v>
      </c>
      <c r="F240" s="131" t="s">
        <v>11</v>
      </c>
      <c r="G240" s="132" t="s">
        <v>37</v>
      </c>
      <c r="H240" s="202">
        <f t="shared" si="1"/>
        <v>11</v>
      </c>
      <c r="I240" s="203" t="s">
        <v>20</v>
      </c>
    </row>
    <row r="241" ht="22.5" customHeight="1">
      <c r="A241" s="135">
        <v>45984.0</v>
      </c>
      <c r="B241" s="185" t="s">
        <v>17</v>
      </c>
      <c r="C241" s="137" t="s">
        <v>9</v>
      </c>
      <c r="D241" s="138">
        <v>10.0</v>
      </c>
      <c r="E241" s="139" t="s">
        <v>10</v>
      </c>
      <c r="F241" s="140" t="s">
        <v>15</v>
      </c>
      <c r="G241" s="141" t="s">
        <v>37</v>
      </c>
      <c r="H241" s="148">
        <f t="shared" si="1"/>
        <v>11</v>
      </c>
      <c r="I241" s="149" t="s">
        <v>13</v>
      </c>
    </row>
    <row r="242" ht="22.5" customHeight="1">
      <c r="A242" s="126">
        <v>45986.0</v>
      </c>
      <c r="B242" s="183" t="s">
        <v>26</v>
      </c>
      <c r="C242" s="128" t="s">
        <v>9</v>
      </c>
      <c r="D242" s="129">
        <v>26.0</v>
      </c>
      <c r="E242" s="130" t="s">
        <v>10</v>
      </c>
      <c r="F242" s="131" t="s">
        <v>11</v>
      </c>
      <c r="G242" s="132" t="s">
        <v>37</v>
      </c>
      <c r="H242" s="198">
        <f t="shared" si="1"/>
        <v>11</v>
      </c>
      <c r="I242" s="199" t="s">
        <v>16</v>
      </c>
    </row>
    <row r="243" ht="22.5" customHeight="1">
      <c r="A243" s="135">
        <v>45987.0</v>
      </c>
      <c r="B243" s="159" t="s">
        <v>8</v>
      </c>
      <c r="C243" s="172" t="s">
        <v>24</v>
      </c>
      <c r="D243" s="138">
        <v>14.0</v>
      </c>
      <c r="E243" s="139" t="s">
        <v>10</v>
      </c>
      <c r="F243" s="161" t="s">
        <v>11</v>
      </c>
      <c r="G243" s="141" t="s">
        <v>37</v>
      </c>
      <c r="H243" s="200">
        <f t="shared" si="1"/>
        <v>11</v>
      </c>
      <c r="I243" s="201" t="s">
        <v>18</v>
      </c>
    </row>
    <row r="244" ht="22.5" customHeight="1">
      <c r="A244" s="126">
        <v>45989.0</v>
      </c>
      <c r="B244" s="127" t="s">
        <v>8</v>
      </c>
      <c r="C244" s="128" t="s">
        <v>9</v>
      </c>
      <c r="D244" s="129">
        <v>15.0</v>
      </c>
      <c r="E244" s="130" t="s">
        <v>10</v>
      </c>
      <c r="F244" s="156" t="s">
        <v>15</v>
      </c>
      <c r="G244" s="132" t="s">
        <v>37</v>
      </c>
      <c r="H244" s="202">
        <f t="shared" si="1"/>
        <v>11</v>
      </c>
      <c r="I244" s="203" t="s">
        <v>20</v>
      </c>
    </row>
    <row r="245" ht="22.5" customHeight="1">
      <c r="A245" s="135">
        <v>45991.0</v>
      </c>
      <c r="B245" s="185" t="s">
        <v>17</v>
      </c>
      <c r="C245" s="137" t="s">
        <v>9</v>
      </c>
      <c r="D245" s="138">
        <v>11.0</v>
      </c>
      <c r="E245" s="139" t="s">
        <v>10</v>
      </c>
      <c r="F245" s="161" t="s">
        <v>11</v>
      </c>
      <c r="G245" s="141" t="s">
        <v>37</v>
      </c>
      <c r="H245" s="148">
        <f t="shared" si="1"/>
        <v>11</v>
      </c>
      <c r="I245" s="149" t="s">
        <v>13</v>
      </c>
    </row>
    <row r="246" ht="22.5" customHeight="1">
      <c r="A246" s="126">
        <v>45993.0</v>
      </c>
      <c r="B246" s="191" t="s">
        <v>14</v>
      </c>
      <c r="C246" s="128" t="s">
        <v>9</v>
      </c>
      <c r="D246" s="129">
        <v>21.0</v>
      </c>
      <c r="E246" s="130" t="s">
        <v>10</v>
      </c>
      <c r="F246" s="131" t="s">
        <v>11</v>
      </c>
      <c r="G246" s="132" t="s">
        <v>38</v>
      </c>
      <c r="H246" s="198">
        <f t="shared" si="1"/>
        <v>12</v>
      </c>
      <c r="I246" s="199" t="s">
        <v>16</v>
      </c>
    </row>
    <row r="247" ht="22.5" customHeight="1">
      <c r="A247" s="135">
        <v>45994.0</v>
      </c>
      <c r="B247" s="159" t="s">
        <v>8</v>
      </c>
      <c r="C247" s="137" t="s">
        <v>9</v>
      </c>
      <c r="D247" s="138">
        <v>14.0</v>
      </c>
      <c r="E247" s="139" t="s">
        <v>10</v>
      </c>
      <c r="F247" s="140" t="s">
        <v>15</v>
      </c>
      <c r="G247" s="141" t="s">
        <v>38</v>
      </c>
      <c r="H247" s="200">
        <f t="shared" si="1"/>
        <v>12</v>
      </c>
      <c r="I247" s="201" t="s">
        <v>18</v>
      </c>
    </row>
    <row r="248" ht="22.5" customHeight="1">
      <c r="A248" s="126">
        <v>45996.0</v>
      </c>
      <c r="B248" s="182" t="s">
        <v>19</v>
      </c>
      <c r="C248" s="128" t="s">
        <v>9</v>
      </c>
      <c r="D248" s="129">
        <v>7.0</v>
      </c>
      <c r="E248" s="130" t="s">
        <v>10</v>
      </c>
      <c r="F248" s="131" t="s">
        <v>11</v>
      </c>
      <c r="G248" s="132" t="s">
        <v>38</v>
      </c>
      <c r="H248" s="202">
        <f t="shared" si="1"/>
        <v>12</v>
      </c>
      <c r="I248" s="203" t="s">
        <v>20</v>
      </c>
    </row>
    <row r="249" ht="22.5" customHeight="1">
      <c r="A249" s="135">
        <v>45998.0</v>
      </c>
      <c r="B249" s="185" t="s">
        <v>17</v>
      </c>
      <c r="C249" s="137" t="s">
        <v>9</v>
      </c>
      <c r="D249" s="138">
        <v>10.0</v>
      </c>
      <c r="E249" s="139" t="s">
        <v>10</v>
      </c>
      <c r="F249" s="161" t="s">
        <v>11</v>
      </c>
      <c r="G249" s="141" t="s">
        <v>38</v>
      </c>
      <c r="H249" s="148">
        <f t="shared" si="1"/>
        <v>12</v>
      </c>
      <c r="I249" s="149" t="s">
        <v>13</v>
      </c>
    </row>
    <row r="250" ht="22.5" customHeight="1">
      <c r="A250" s="126">
        <v>46000.0</v>
      </c>
      <c r="B250" s="127" t="s">
        <v>8</v>
      </c>
      <c r="C250" s="154" t="s">
        <v>21</v>
      </c>
      <c r="D250" s="129">
        <v>14.0</v>
      </c>
      <c r="E250" s="130" t="s">
        <v>10</v>
      </c>
      <c r="F250" s="156" t="s">
        <v>15</v>
      </c>
      <c r="G250" s="132" t="s">
        <v>38</v>
      </c>
      <c r="H250" s="198">
        <f t="shared" si="1"/>
        <v>12</v>
      </c>
      <c r="I250" s="199" t="s">
        <v>16</v>
      </c>
    </row>
    <row r="251" ht="22.5" customHeight="1">
      <c r="A251" s="135">
        <v>46001.0</v>
      </c>
      <c r="B251" s="159" t="s">
        <v>8</v>
      </c>
      <c r="C251" s="137" t="s">
        <v>9</v>
      </c>
      <c r="D251" s="138">
        <v>14.0</v>
      </c>
      <c r="E251" s="139" t="s">
        <v>10</v>
      </c>
      <c r="F251" s="161" t="s">
        <v>11</v>
      </c>
      <c r="G251" s="141" t="s">
        <v>38</v>
      </c>
      <c r="H251" s="200">
        <f t="shared" si="1"/>
        <v>12</v>
      </c>
      <c r="I251" s="201" t="s">
        <v>18</v>
      </c>
    </row>
    <row r="252" ht="22.5" customHeight="1">
      <c r="A252" s="126">
        <v>46003.0</v>
      </c>
      <c r="B252" s="171" t="s">
        <v>23</v>
      </c>
      <c r="C252" s="128" t="s">
        <v>9</v>
      </c>
      <c r="D252" s="129">
        <v>18.0</v>
      </c>
      <c r="E252" s="130" t="s">
        <v>10</v>
      </c>
      <c r="F252" s="131" t="s">
        <v>11</v>
      </c>
      <c r="G252" s="132" t="s">
        <v>38</v>
      </c>
      <c r="H252" s="202">
        <f t="shared" si="1"/>
        <v>12</v>
      </c>
      <c r="I252" s="203" t="s">
        <v>20</v>
      </c>
    </row>
    <row r="253" ht="22.5" customHeight="1">
      <c r="A253" s="135">
        <v>46005.0</v>
      </c>
      <c r="B253" s="185" t="s">
        <v>17</v>
      </c>
      <c r="C253" s="172" t="s">
        <v>24</v>
      </c>
      <c r="D253" s="138">
        <v>12.0</v>
      </c>
      <c r="E253" s="139" t="s">
        <v>10</v>
      </c>
      <c r="F253" s="140" t="s">
        <v>15</v>
      </c>
      <c r="G253" s="141" t="s">
        <v>38</v>
      </c>
      <c r="H253" s="148">
        <f t="shared" si="1"/>
        <v>12</v>
      </c>
      <c r="I253" s="149" t="s">
        <v>13</v>
      </c>
    </row>
    <row r="254" ht="22.5" customHeight="1">
      <c r="A254" s="126">
        <v>46007.0</v>
      </c>
      <c r="B254" s="191" t="s">
        <v>14</v>
      </c>
      <c r="C254" s="128" t="s">
        <v>9</v>
      </c>
      <c r="D254" s="129">
        <v>23.0</v>
      </c>
      <c r="E254" s="130" t="s">
        <v>10</v>
      </c>
      <c r="F254" s="131" t="s">
        <v>11</v>
      </c>
      <c r="G254" s="132" t="s">
        <v>38</v>
      </c>
      <c r="H254" s="198">
        <f t="shared" si="1"/>
        <v>12</v>
      </c>
      <c r="I254" s="199" t="s">
        <v>16</v>
      </c>
    </row>
    <row r="255" ht="22.5" customHeight="1">
      <c r="A255" s="135">
        <v>46008.0</v>
      </c>
      <c r="B255" s="159" t="s">
        <v>8</v>
      </c>
      <c r="C255" s="137" t="s">
        <v>9</v>
      </c>
      <c r="D255" s="138">
        <v>14.0</v>
      </c>
      <c r="E255" s="139" t="s">
        <v>10</v>
      </c>
      <c r="F255" s="161" t="s">
        <v>11</v>
      </c>
      <c r="G255" s="141" t="s">
        <v>38</v>
      </c>
      <c r="H255" s="200">
        <f t="shared" si="1"/>
        <v>12</v>
      </c>
      <c r="I255" s="201" t="s">
        <v>18</v>
      </c>
    </row>
    <row r="256" ht="22.5" customHeight="1">
      <c r="A256" s="126">
        <v>46010.0</v>
      </c>
      <c r="B256" s="182" t="s">
        <v>19</v>
      </c>
      <c r="C256" s="128" t="s">
        <v>9</v>
      </c>
      <c r="D256" s="129">
        <v>7.0</v>
      </c>
      <c r="E256" s="130" t="s">
        <v>10</v>
      </c>
      <c r="F256" s="156" t="s">
        <v>15</v>
      </c>
      <c r="G256" s="132" t="s">
        <v>38</v>
      </c>
      <c r="H256" s="202">
        <f t="shared" si="1"/>
        <v>12</v>
      </c>
      <c r="I256" s="203" t="s">
        <v>20</v>
      </c>
    </row>
    <row r="257" ht="22.5" customHeight="1">
      <c r="A257" s="135">
        <v>46012.0</v>
      </c>
      <c r="B257" s="159" t="s">
        <v>8</v>
      </c>
      <c r="C257" s="137" t="s">
        <v>9</v>
      </c>
      <c r="D257" s="138">
        <v>21.0</v>
      </c>
      <c r="E257" s="139" t="s">
        <v>10</v>
      </c>
      <c r="F257" s="161" t="s">
        <v>11</v>
      </c>
      <c r="G257" s="141" t="s">
        <v>38</v>
      </c>
      <c r="H257" s="148">
        <f t="shared" si="1"/>
        <v>12</v>
      </c>
      <c r="I257" s="149" t="s">
        <v>13</v>
      </c>
    </row>
    <row r="258" ht="22.5" customHeight="1">
      <c r="A258" s="126">
        <v>46014.0</v>
      </c>
      <c r="B258" s="144" t="s">
        <v>17</v>
      </c>
      <c r="C258" s="128" t="s">
        <v>9</v>
      </c>
      <c r="D258" s="129">
        <v>14.0</v>
      </c>
      <c r="E258" s="130" t="s">
        <v>10</v>
      </c>
      <c r="F258" s="131" t="s">
        <v>11</v>
      </c>
      <c r="G258" s="132" t="s">
        <v>38</v>
      </c>
      <c r="H258" s="198">
        <f t="shared" si="1"/>
        <v>12</v>
      </c>
      <c r="I258" s="199" t="s">
        <v>16</v>
      </c>
    </row>
    <row r="259" ht="22.5" customHeight="1">
      <c r="A259" s="135">
        <v>46015.0</v>
      </c>
      <c r="B259" s="184" t="s">
        <v>26</v>
      </c>
      <c r="C259" s="137" t="s">
        <v>9</v>
      </c>
      <c r="D259" s="138">
        <v>28.0</v>
      </c>
      <c r="E259" s="193" t="s">
        <v>22</v>
      </c>
      <c r="F259" s="140" t="s">
        <v>15</v>
      </c>
      <c r="G259" s="141" t="s">
        <v>38</v>
      </c>
      <c r="H259" s="200">
        <f t="shared" si="1"/>
        <v>12</v>
      </c>
      <c r="I259" s="201" t="s">
        <v>18</v>
      </c>
    </row>
    <row r="260" ht="22.5" customHeight="1">
      <c r="A260" s="126">
        <v>46017.0</v>
      </c>
      <c r="B260" s="127" t="s">
        <v>8</v>
      </c>
      <c r="C260" s="128" t="s">
        <v>9</v>
      </c>
      <c r="D260" s="129">
        <v>14.0</v>
      </c>
      <c r="E260" s="130" t="s">
        <v>10</v>
      </c>
      <c r="F260" s="131" t="s">
        <v>11</v>
      </c>
      <c r="G260" s="132" t="s">
        <v>38</v>
      </c>
      <c r="H260" s="202">
        <f t="shared" si="1"/>
        <v>12</v>
      </c>
      <c r="I260" s="203" t="s">
        <v>20</v>
      </c>
    </row>
    <row r="261" ht="22.5" customHeight="1">
      <c r="A261" s="135">
        <v>46019.0</v>
      </c>
      <c r="B261" s="159" t="s">
        <v>8</v>
      </c>
      <c r="C261" s="172" t="s">
        <v>24</v>
      </c>
      <c r="D261" s="138">
        <v>15.0</v>
      </c>
      <c r="E261" s="139" t="s">
        <v>10</v>
      </c>
      <c r="F261" s="161" t="s">
        <v>11</v>
      </c>
      <c r="G261" s="141" t="s">
        <v>38</v>
      </c>
      <c r="H261" s="148">
        <f t="shared" si="1"/>
        <v>12</v>
      </c>
      <c r="I261" s="149" t="s">
        <v>13</v>
      </c>
    </row>
    <row r="262" ht="22.5" customHeight="1">
      <c r="A262" s="204">
        <v>46021.0</v>
      </c>
      <c r="B262" s="205" t="s">
        <v>17</v>
      </c>
      <c r="C262" s="206" t="s">
        <v>9</v>
      </c>
      <c r="D262" s="207">
        <v>10.0</v>
      </c>
      <c r="E262" s="208" t="s">
        <v>10</v>
      </c>
      <c r="F262" s="209" t="s">
        <v>15</v>
      </c>
      <c r="G262" s="210" t="s">
        <v>38</v>
      </c>
      <c r="H262" s="211">
        <f t="shared" si="1"/>
        <v>12</v>
      </c>
      <c r="I262" s="212" t="s">
        <v>16</v>
      </c>
    </row>
  </sheetData>
  <dataValidations>
    <dataValidation type="list" allowBlank="1" showDropDown="1" showErrorMessage="1" sqref="C2:C262">
      <formula1>"español,inglés,catalán"</formula1>
    </dataValidation>
    <dataValidation type="custom" allowBlank="1" showDropDown="1" sqref="A2:A262">
      <formula1>OR(NOT(ISERROR(DATEVALUE(A2))), AND(ISNUMBER(A2), LEFT(CELL("format", A2))="D"))</formula1>
    </dataValidation>
    <dataValidation type="list" allowBlank="1" showDropDown="1" showErrorMessage="1" sqref="E2:E262">
      <formula1>"si,no"</formula1>
    </dataValidation>
    <dataValidation type="list" allowBlank="1" showDropDown="1" showErrorMessage="1" sqref="F2:F262">
      <formula1>"tarde,mañana"</formula1>
    </dataValidation>
    <dataValidation type="custom" allowBlank="1" showDropDown="1" sqref="D2:D262">
      <formula1>AND(ISNUMBER(D2),(NOT(OR(NOT(ISERROR(DATEVALUE(D2))), AND(ISNUMBER(D2), LEFT(CELL("format", D2))="D")))))</formula1>
    </dataValidation>
    <dataValidation type="list" allowBlank="1" showDropDown="1" showErrorMessage="1" sqref="G2:G262">
      <formula1>"enero,febrero,marzo,abril,mayo,junio,julio,agosto,septiembre,octubre,noviembre,diciembre"</formula1>
    </dataValidation>
    <dataValidation type="list" allowBlank="1" showDropDown="1" showErrorMessage="1" sqref="I2:I262">
      <formula1>"domingo,martes,miércoles,viernes,jueves,lunes,sábado"</formula1>
    </dataValidation>
    <dataValidation type="list" allowBlank="1" showDropDown="1" showErrorMessage="1" sqref="B2:B262">
      <formula1>"ficcion,ensayo,infantil,comic,novela_grafica,poesia,divulgacion"</formula1>
    </dataValidation>
  </dataValidations>
  <drawing r:id="rId4"/>
  <tableParts count="1">
    <tablePart r:id="rId6"/>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2" max="2" width="20.13"/>
    <col customWidth="1" min="3" max="3" width="11.5"/>
    <col customWidth="1" min="4" max="4" width="23.75"/>
    <col customWidth="1" min="5" max="5" width="20.0"/>
    <col customWidth="1" min="6" max="6" width="22.0"/>
    <col customWidth="1" min="7" max="7" width="17.5"/>
    <col customWidth="1" min="8" max="9" width="14.38"/>
    <col customWidth="1" min="12" max="12" width="9.0"/>
    <col customWidth="1" min="13" max="22" width="16.0"/>
    <col customWidth="1" min="23" max="34" width="7.5"/>
    <col customWidth="1" min="35" max="35" width="10.63"/>
    <col customWidth="1" min="36" max="36" width="10.88"/>
  </cols>
  <sheetData>
    <row r="1" ht="24.0" customHeight="1">
      <c r="A1" s="213" t="s">
        <v>0</v>
      </c>
      <c r="B1" s="214" t="s">
        <v>1</v>
      </c>
      <c r="C1" s="214" t="s">
        <v>2</v>
      </c>
      <c r="D1" s="214" t="s">
        <v>3</v>
      </c>
      <c r="E1" s="214" t="s">
        <v>4</v>
      </c>
      <c r="F1" s="214" t="s">
        <v>5</v>
      </c>
      <c r="G1" s="214" t="s">
        <v>6</v>
      </c>
      <c r="H1" s="215" t="s">
        <v>41</v>
      </c>
      <c r="I1" s="214" t="s">
        <v>7</v>
      </c>
      <c r="J1" s="216"/>
      <c r="K1" s="14"/>
      <c r="L1" s="102"/>
      <c r="M1" s="217"/>
      <c r="N1" s="102"/>
      <c r="O1" s="102"/>
      <c r="P1" s="102"/>
      <c r="Q1" s="102"/>
      <c r="R1" s="14"/>
      <c r="S1" s="14"/>
      <c r="Y1" s="103"/>
      <c r="Z1" s="103"/>
      <c r="AA1" s="103"/>
      <c r="AB1" s="103"/>
      <c r="AC1" s="103"/>
      <c r="AD1" s="103"/>
      <c r="AE1" s="103"/>
      <c r="AF1" s="103"/>
      <c r="AG1" s="103"/>
      <c r="AH1" s="103"/>
      <c r="AI1" s="103"/>
      <c r="AJ1" s="103"/>
      <c r="AK1" s="216"/>
      <c r="AL1" s="216"/>
      <c r="AM1" s="216"/>
      <c r="AN1" s="216"/>
      <c r="AO1" s="216"/>
      <c r="AP1" s="216"/>
      <c r="AQ1" s="216"/>
      <c r="AR1" s="216"/>
      <c r="AS1" s="216"/>
      <c r="AT1" s="216"/>
    </row>
    <row r="2" ht="22.5" customHeight="1">
      <c r="A2" s="8">
        <v>45660.0</v>
      </c>
      <c r="B2" s="9" t="s">
        <v>14</v>
      </c>
      <c r="C2" s="9" t="s">
        <v>9</v>
      </c>
      <c r="D2" s="9">
        <v>22.0</v>
      </c>
      <c r="E2" s="9" t="s">
        <v>10</v>
      </c>
      <c r="F2" s="9" t="s">
        <v>11</v>
      </c>
      <c r="G2" s="9" t="s">
        <v>12</v>
      </c>
      <c r="H2" s="9">
        <v>1.0</v>
      </c>
      <c r="I2" s="9" t="s">
        <v>42</v>
      </c>
      <c r="Y2" s="102"/>
      <c r="Z2" s="102"/>
      <c r="AA2" s="102"/>
      <c r="AB2" s="102"/>
      <c r="AC2" s="102"/>
      <c r="AD2" s="102"/>
      <c r="AE2" s="102"/>
      <c r="AF2" s="102"/>
      <c r="AG2" s="102"/>
      <c r="AH2" s="102"/>
      <c r="AI2" s="102"/>
      <c r="AJ2" s="102"/>
    </row>
    <row r="3" ht="22.5" customHeight="1">
      <c r="A3" s="8">
        <v>45662.0</v>
      </c>
      <c r="B3" s="9" t="s">
        <v>8</v>
      </c>
      <c r="C3" s="9" t="s">
        <v>9</v>
      </c>
      <c r="D3" s="9">
        <v>14.0</v>
      </c>
      <c r="E3" s="9" t="s">
        <v>10</v>
      </c>
      <c r="F3" s="9" t="s">
        <v>11</v>
      </c>
      <c r="G3" s="9" t="s">
        <v>12</v>
      </c>
      <c r="H3" s="9">
        <v>1.0</v>
      </c>
      <c r="I3" s="9" t="s">
        <v>43</v>
      </c>
      <c r="Y3" s="102"/>
      <c r="Z3" s="102"/>
      <c r="AA3" s="102"/>
      <c r="AB3" s="102"/>
      <c r="AC3" s="102"/>
      <c r="AD3" s="102"/>
      <c r="AE3" s="102"/>
      <c r="AF3" s="102"/>
      <c r="AG3" s="102"/>
      <c r="AH3" s="102"/>
      <c r="AI3" s="102"/>
      <c r="AJ3" s="102"/>
    </row>
    <row r="4" ht="22.5" customHeight="1">
      <c r="A4" s="8">
        <v>45663.0</v>
      </c>
      <c r="B4" s="9" t="s">
        <v>8</v>
      </c>
      <c r="C4" s="9" t="s">
        <v>9</v>
      </c>
      <c r="D4" s="9">
        <v>14.0</v>
      </c>
      <c r="E4" s="9" t="s">
        <v>10</v>
      </c>
      <c r="F4" s="9" t="s">
        <v>11</v>
      </c>
      <c r="G4" s="9" t="s">
        <v>12</v>
      </c>
      <c r="H4" s="9">
        <v>1.0</v>
      </c>
      <c r="I4" s="9" t="s">
        <v>44</v>
      </c>
      <c r="Y4" s="102"/>
      <c r="Z4" s="102"/>
      <c r="AA4" s="102"/>
      <c r="AB4" s="102"/>
      <c r="AC4" s="102"/>
      <c r="AD4" s="102"/>
      <c r="AE4" s="102"/>
      <c r="AF4" s="102"/>
      <c r="AG4" s="102"/>
      <c r="AH4" s="102"/>
      <c r="AI4" s="102"/>
      <c r="AJ4" s="102"/>
    </row>
    <row r="5" ht="22.5" customHeight="1">
      <c r="A5" s="8">
        <v>45664.0</v>
      </c>
      <c r="B5" s="9" t="s">
        <v>14</v>
      </c>
      <c r="C5" s="9" t="s">
        <v>9</v>
      </c>
      <c r="D5" s="9">
        <v>21.0</v>
      </c>
      <c r="E5" s="9" t="s">
        <v>10</v>
      </c>
      <c r="F5" s="9" t="s">
        <v>15</v>
      </c>
      <c r="G5" s="9" t="s">
        <v>12</v>
      </c>
      <c r="H5" s="9">
        <v>1.0</v>
      </c>
      <c r="I5" s="9" t="s">
        <v>45</v>
      </c>
      <c r="Y5" s="102"/>
      <c r="Z5" s="102"/>
      <c r="AA5" s="102"/>
      <c r="AB5" s="102"/>
      <c r="AC5" s="102"/>
      <c r="AD5" s="102"/>
      <c r="AE5" s="102"/>
      <c r="AF5" s="102"/>
      <c r="AG5" s="102"/>
      <c r="AH5" s="102"/>
      <c r="AI5" s="102"/>
      <c r="AJ5" s="102"/>
    </row>
    <row r="6" ht="22.5" customHeight="1">
      <c r="A6" s="8">
        <v>45665.0</v>
      </c>
      <c r="B6" s="9" t="s">
        <v>17</v>
      </c>
      <c r="C6" s="9" t="s">
        <v>9</v>
      </c>
      <c r="D6" s="9">
        <v>10.0</v>
      </c>
      <c r="E6" s="9" t="s">
        <v>10</v>
      </c>
      <c r="F6" s="9" t="s">
        <v>11</v>
      </c>
      <c r="G6" s="9" t="s">
        <v>12</v>
      </c>
      <c r="H6" s="9">
        <v>1.0</v>
      </c>
      <c r="I6" s="9" t="s">
        <v>46</v>
      </c>
      <c r="Y6" s="102"/>
      <c r="Z6" s="102"/>
      <c r="AA6" s="102"/>
      <c r="AB6" s="102"/>
      <c r="AC6" s="102"/>
      <c r="AD6" s="102"/>
      <c r="AE6" s="102"/>
      <c r="AF6" s="102"/>
      <c r="AG6" s="102"/>
      <c r="AH6" s="102"/>
      <c r="AI6" s="102"/>
      <c r="AJ6" s="102"/>
    </row>
    <row r="7" ht="22.5" customHeight="1">
      <c r="A7" s="8">
        <v>45666.0</v>
      </c>
      <c r="B7" s="9" t="s">
        <v>19</v>
      </c>
      <c r="C7" s="9" t="s">
        <v>9</v>
      </c>
      <c r="D7" s="9">
        <v>7.0</v>
      </c>
      <c r="E7" s="9" t="s">
        <v>10</v>
      </c>
      <c r="F7" s="9" t="s">
        <v>15</v>
      </c>
      <c r="G7" s="9" t="s">
        <v>12</v>
      </c>
      <c r="H7" s="9">
        <v>1.0</v>
      </c>
      <c r="I7" s="9" t="s">
        <v>47</v>
      </c>
      <c r="Y7" s="102"/>
      <c r="Z7" s="102"/>
      <c r="AA7" s="102"/>
      <c r="AB7" s="102"/>
      <c r="AC7" s="102"/>
      <c r="AD7" s="102"/>
      <c r="AE7" s="102"/>
      <c r="AF7" s="102"/>
      <c r="AG7" s="102"/>
      <c r="AH7" s="102"/>
      <c r="AI7" s="102"/>
      <c r="AJ7" s="102"/>
    </row>
    <row r="8" ht="22.5" customHeight="1">
      <c r="A8" s="8">
        <v>45667.0</v>
      </c>
      <c r="B8" s="9" t="s">
        <v>19</v>
      </c>
      <c r="C8" s="9" t="s">
        <v>9</v>
      </c>
      <c r="D8" s="9">
        <v>7.0</v>
      </c>
      <c r="E8" s="9" t="s">
        <v>10</v>
      </c>
      <c r="F8" s="9" t="s">
        <v>11</v>
      </c>
      <c r="G8" s="9" t="s">
        <v>12</v>
      </c>
      <c r="H8" s="9">
        <v>1.0</v>
      </c>
      <c r="I8" s="9" t="s">
        <v>42</v>
      </c>
      <c r="Y8" s="102"/>
      <c r="Z8" s="102"/>
      <c r="AA8" s="102"/>
      <c r="AB8" s="102"/>
      <c r="AC8" s="102"/>
      <c r="AD8" s="102"/>
      <c r="AE8" s="102"/>
      <c r="AF8" s="102"/>
      <c r="AG8" s="102"/>
      <c r="AH8" s="102"/>
      <c r="AI8" s="102"/>
      <c r="AJ8" s="102"/>
    </row>
    <row r="9" ht="22.5" customHeight="1">
      <c r="A9" s="8">
        <v>45668.0</v>
      </c>
      <c r="B9" s="9" t="s">
        <v>17</v>
      </c>
      <c r="C9" s="9" t="s">
        <v>9</v>
      </c>
      <c r="D9" s="9">
        <v>9.0</v>
      </c>
      <c r="E9" s="9" t="s">
        <v>10</v>
      </c>
      <c r="F9" s="9" t="s">
        <v>11</v>
      </c>
      <c r="G9" s="9" t="s">
        <v>12</v>
      </c>
      <c r="H9" s="9">
        <v>1.0</v>
      </c>
      <c r="I9" s="9" t="s">
        <v>48</v>
      </c>
      <c r="Y9" s="102"/>
      <c r="Z9" s="102"/>
      <c r="AA9" s="102"/>
      <c r="AB9" s="102"/>
      <c r="AC9" s="102"/>
      <c r="AD9" s="102"/>
      <c r="AE9" s="102"/>
      <c r="AF9" s="102"/>
      <c r="AG9" s="102"/>
      <c r="AH9" s="102"/>
      <c r="AI9" s="102"/>
      <c r="AJ9" s="102"/>
    </row>
    <row r="10" ht="22.5" customHeight="1">
      <c r="A10" s="8">
        <v>45669.0</v>
      </c>
      <c r="B10" s="9" t="s">
        <v>8</v>
      </c>
      <c r="C10" s="9" t="s">
        <v>21</v>
      </c>
      <c r="D10" s="9">
        <v>15.0</v>
      </c>
      <c r="E10" s="9" t="s">
        <v>22</v>
      </c>
      <c r="F10" s="9" t="s">
        <v>15</v>
      </c>
      <c r="G10" s="9" t="s">
        <v>12</v>
      </c>
      <c r="H10" s="9">
        <v>1.0</v>
      </c>
      <c r="I10" s="9" t="s">
        <v>43</v>
      </c>
      <c r="Y10" s="102"/>
      <c r="Z10" s="102"/>
      <c r="AA10" s="102"/>
      <c r="AB10" s="102"/>
      <c r="AC10" s="102"/>
      <c r="AD10" s="102"/>
      <c r="AE10" s="102"/>
      <c r="AF10" s="102"/>
      <c r="AG10" s="102"/>
      <c r="AH10" s="102"/>
      <c r="AI10" s="102"/>
      <c r="AJ10" s="102"/>
    </row>
    <row r="11" ht="22.5" customHeight="1">
      <c r="A11" s="8">
        <v>45670.0</v>
      </c>
      <c r="B11" s="9" t="s">
        <v>8</v>
      </c>
      <c r="C11" s="9" t="s">
        <v>21</v>
      </c>
      <c r="D11" s="9">
        <v>14.0</v>
      </c>
      <c r="E11" s="9" t="s">
        <v>10</v>
      </c>
      <c r="F11" s="9" t="s">
        <v>11</v>
      </c>
      <c r="G11" s="9" t="s">
        <v>12</v>
      </c>
      <c r="H11" s="9">
        <v>1.0</v>
      </c>
      <c r="I11" s="9" t="s">
        <v>44</v>
      </c>
      <c r="Y11" s="102"/>
      <c r="Z11" s="102"/>
      <c r="AA11" s="102"/>
      <c r="AB11" s="102"/>
      <c r="AC11" s="102"/>
      <c r="AD11" s="102"/>
      <c r="AE11" s="102"/>
      <c r="AF11" s="102"/>
      <c r="AG11" s="102"/>
      <c r="AH11" s="102"/>
      <c r="AI11" s="102"/>
      <c r="AJ11" s="102"/>
    </row>
    <row r="12" ht="22.5" customHeight="1">
      <c r="A12" s="8">
        <v>45671.0</v>
      </c>
      <c r="B12" s="9" t="s">
        <v>8</v>
      </c>
      <c r="C12" s="9" t="s">
        <v>9</v>
      </c>
      <c r="D12" s="9">
        <v>14.0</v>
      </c>
      <c r="E12" s="9" t="s">
        <v>10</v>
      </c>
      <c r="F12" s="9" t="s">
        <v>11</v>
      </c>
      <c r="G12" s="9" t="s">
        <v>12</v>
      </c>
      <c r="H12" s="9">
        <v>1.0</v>
      </c>
      <c r="I12" s="9" t="s">
        <v>45</v>
      </c>
      <c r="T12" s="102"/>
      <c r="U12" s="102"/>
      <c r="V12" s="102"/>
      <c r="W12" s="102"/>
      <c r="X12" s="102"/>
      <c r="Y12" s="102"/>
      <c r="Z12" s="102"/>
      <c r="AA12" s="102"/>
      <c r="AB12" s="102"/>
      <c r="AC12" s="102"/>
      <c r="AD12" s="102"/>
      <c r="AE12" s="102"/>
      <c r="AF12" s="102"/>
      <c r="AG12" s="102"/>
      <c r="AH12" s="102"/>
      <c r="AI12" s="102"/>
      <c r="AJ12" s="102"/>
    </row>
    <row r="13" ht="22.5" customHeight="1">
      <c r="A13" s="8">
        <v>45672.0</v>
      </c>
      <c r="B13" s="9" t="s">
        <v>23</v>
      </c>
      <c r="C13" s="9" t="s">
        <v>9</v>
      </c>
      <c r="D13" s="9">
        <v>18.0</v>
      </c>
      <c r="E13" s="9" t="s">
        <v>10</v>
      </c>
      <c r="F13" s="9" t="s">
        <v>15</v>
      </c>
      <c r="G13" s="9" t="s">
        <v>12</v>
      </c>
      <c r="H13" s="9">
        <v>1.0</v>
      </c>
      <c r="I13" s="9" t="s">
        <v>46</v>
      </c>
      <c r="T13" s="102"/>
      <c r="U13" s="102"/>
      <c r="V13" s="102"/>
      <c r="W13" s="102"/>
      <c r="X13" s="102"/>
      <c r="Y13" s="102"/>
      <c r="Z13" s="102"/>
      <c r="AA13" s="102"/>
      <c r="AB13" s="102"/>
      <c r="AC13" s="102"/>
      <c r="AD13" s="102"/>
      <c r="AE13" s="102"/>
      <c r="AF13" s="102"/>
      <c r="AG13" s="102"/>
      <c r="AH13" s="102"/>
      <c r="AI13" s="102"/>
      <c r="AJ13" s="102"/>
    </row>
    <row r="14" ht="22.5" customHeight="1">
      <c r="A14" s="8">
        <v>45673.0</v>
      </c>
      <c r="B14" s="9" t="s">
        <v>23</v>
      </c>
      <c r="C14" s="9" t="s">
        <v>9</v>
      </c>
      <c r="D14" s="9">
        <v>20.0</v>
      </c>
      <c r="E14" s="9" t="s">
        <v>10</v>
      </c>
      <c r="F14" s="9" t="s">
        <v>15</v>
      </c>
      <c r="G14" s="9" t="s">
        <v>12</v>
      </c>
      <c r="H14" s="9">
        <v>1.0</v>
      </c>
      <c r="I14" s="9" t="s">
        <v>47</v>
      </c>
      <c r="T14" s="102"/>
      <c r="U14" s="102"/>
      <c r="V14" s="102"/>
      <c r="W14" s="102"/>
      <c r="X14" s="102"/>
      <c r="Y14" s="102"/>
      <c r="Z14" s="102"/>
      <c r="AA14" s="102"/>
      <c r="AB14" s="102"/>
      <c r="AC14" s="102"/>
      <c r="AD14" s="102"/>
      <c r="AE14" s="102"/>
      <c r="AF14" s="102"/>
      <c r="AG14" s="102"/>
      <c r="AH14" s="102"/>
      <c r="AI14" s="102"/>
      <c r="AJ14" s="102"/>
    </row>
    <row r="15" ht="22.5" customHeight="1">
      <c r="A15" s="8">
        <v>45674.0</v>
      </c>
      <c r="B15" s="9" t="s">
        <v>14</v>
      </c>
      <c r="C15" s="9" t="s">
        <v>24</v>
      </c>
      <c r="D15" s="9">
        <v>25.0</v>
      </c>
      <c r="E15" s="9" t="s">
        <v>10</v>
      </c>
      <c r="F15" s="9" t="s">
        <v>11</v>
      </c>
      <c r="G15" s="9" t="s">
        <v>12</v>
      </c>
      <c r="H15" s="9">
        <v>1.0</v>
      </c>
      <c r="I15" s="9" t="s">
        <v>42</v>
      </c>
      <c r="T15" s="102"/>
      <c r="U15" s="102"/>
      <c r="V15" s="102"/>
      <c r="W15" s="102"/>
      <c r="X15" s="102"/>
      <c r="Y15" s="102"/>
      <c r="Z15" s="102"/>
      <c r="AA15" s="102"/>
      <c r="AB15" s="102"/>
      <c r="AC15" s="102"/>
      <c r="AD15" s="102"/>
      <c r="AE15" s="102"/>
      <c r="AF15" s="102"/>
      <c r="AG15" s="102"/>
      <c r="AH15" s="102"/>
      <c r="AI15" s="102"/>
      <c r="AJ15" s="102"/>
    </row>
    <row r="16" ht="22.5" customHeight="1">
      <c r="A16" s="8">
        <v>45675.0</v>
      </c>
      <c r="B16" s="9" t="s">
        <v>17</v>
      </c>
      <c r="C16" s="9" t="s">
        <v>24</v>
      </c>
      <c r="D16" s="9">
        <v>11.0</v>
      </c>
      <c r="E16" s="9" t="s">
        <v>10</v>
      </c>
      <c r="F16" s="9" t="s">
        <v>11</v>
      </c>
      <c r="G16" s="9" t="s">
        <v>12</v>
      </c>
      <c r="H16" s="9">
        <v>1.0</v>
      </c>
      <c r="I16" s="9" t="s">
        <v>48</v>
      </c>
      <c r="T16" s="102"/>
      <c r="U16" s="102"/>
      <c r="V16" s="102"/>
      <c r="W16" s="102"/>
      <c r="X16" s="102"/>
      <c r="Y16" s="102"/>
      <c r="Z16" s="102"/>
      <c r="AA16" s="102"/>
      <c r="AB16" s="102"/>
      <c r="AC16" s="102"/>
      <c r="AD16" s="102"/>
      <c r="AE16" s="102"/>
      <c r="AF16" s="102"/>
      <c r="AG16" s="102"/>
      <c r="AH16" s="102"/>
      <c r="AI16" s="102"/>
      <c r="AJ16" s="102"/>
    </row>
    <row r="17" ht="22.5" customHeight="1">
      <c r="A17" s="8">
        <v>45676.0</v>
      </c>
      <c r="B17" s="9" t="s">
        <v>17</v>
      </c>
      <c r="C17" s="9" t="s">
        <v>9</v>
      </c>
      <c r="D17" s="9">
        <v>8.0</v>
      </c>
      <c r="E17" s="9" t="s">
        <v>10</v>
      </c>
      <c r="F17" s="9" t="s">
        <v>11</v>
      </c>
      <c r="G17" s="9" t="s">
        <v>12</v>
      </c>
      <c r="H17" s="9">
        <v>1.0</v>
      </c>
      <c r="I17" s="9" t="s">
        <v>43</v>
      </c>
      <c r="K17" s="102"/>
      <c r="L17" s="102"/>
      <c r="M17" s="102"/>
      <c r="N17" s="102"/>
      <c r="O17" s="102"/>
      <c r="P17" s="102"/>
      <c r="Q17" s="102"/>
      <c r="R17" s="102"/>
      <c r="S17" s="102"/>
      <c r="T17" s="102"/>
      <c r="U17" s="102"/>
      <c r="V17" s="102"/>
      <c r="W17" s="102"/>
      <c r="X17" s="102"/>
      <c r="Y17" s="102"/>
      <c r="Z17" s="102"/>
      <c r="AA17" s="102"/>
      <c r="AB17" s="102"/>
      <c r="AC17" s="102"/>
      <c r="AD17" s="102"/>
      <c r="AE17" s="102"/>
      <c r="AF17" s="102"/>
      <c r="AG17" s="102"/>
      <c r="AH17" s="102"/>
      <c r="AI17" s="102"/>
      <c r="AJ17" s="102"/>
    </row>
    <row r="18" ht="22.5" customHeight="1">
      <c r="A18" s="8">
        <v>45677.0</v>
      </c>
      <c r="B18" s="9" t="s">
        <v>8</v>
      </c>
      <c r="C18" s="9" t="s">
        <v>9</v>
      </c>
      <c r="D18" s="9">
        <v>14.0</v>
      </c>
      <c r="E18" s="9" t="s">
        <v>10</v>
      </c>
      <c r="F18" s="9" t="s">
        <v>11</v>
      </c>
      <c r="G18" s="9" t="s">
        <v>12</v>
      </c>
      <c r="H18" s="9">
        <v>1.0</v>
      </c>
      <c r="I18" s="9" t="s">
        <v>44</v>
      </c>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row>
    <row r="19" ht="22.5" customHeight="1">
      <c r="A19" s="8">
        <v>45678.0</v>
      </c>
      <c r="B19" s="9" t="s">
        <v>8</v>
      </c>
      <c r="C19" s="9" t="s">
        <v>9</v>
      </c>
      <c r="D19" s="9">
        <v>14.0</v>
      </c>
      <c r="E19" s="9" t="s">
        <v>10</v>
      </c>
      <c r="F19" s="9" t="s">
        <v>15</v>
      </c>
      <c r="G19" s="9" t="s">
        <v>12</v>
      </c>
      <c r="H19" s="9">
        <v>1.0</v>
      </c>
      <c r="I19" s="9" t="s">
        <v>45</v>
      </c>
      <c r="K19" s="102"/>
      <c r="L19" s="102"/>
      <c r="M19" s="102"/>
      <c r="N19" s="102"/>
      <c r="O19" s="102"/>
      <c r="P19" s="102"/>
      <c r="Q19" s="102"/>
      <c r="R19" s="102"/>
      <c r="S19" s="102"/>
      <c r="T19" s="102"/>
      <c r="U19" s="102"/>
      <c r="V19" s="102"/>
      <c r="W19" s="102"/>
      <c r="X19" s="102"/>
      <c r="Y19" s="102"/>
      <c r="Z19" s="102"/>
      <c r="AA19" s="102"/>
      <c r="AB19" s="102"/>
      <c r="AC19" s="102"/>
      <c r="AD19" s="102"/>
      <c r="AE19" s="102"/>
      <c r="AF19" s="102"/>
      <c r="AG19" s="102"/>
      <c r="AH19" s="102"/>
      <c r="AI19" s="102"/>
      <c r="AJ19" s="102"/>
    </row>
    <row r="20" ht="22.5" customHeight="1">
      <c r="A20" s="8">
        <v>45679.0</v>
      </c>
      <c r="B20" s="9" t="s">
        <v>25</v>
      </c>
      <c r="C20" s="9" t="s">
        <v>9</v>
      </c>
      <c r="D20" s="9">
        <v>30.0</v>
      </c>
      <c r="E20" s="9" t="s">
        <v>22</v>
      </c>
      <c r="F20" s="9" t="s">
        <v>11</v>
      </c>
      <c r="G20" s="9" t="s">
        <v>12</v>
      </c>
      <c r="H20" s="9">
        <v>1.0</v>
      </c>
      <c r="I20" s="9" t="s">
        <v>46</v>
      </c>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row>
    <row r="21" ht="22.5" customHeight="1">
      <c r="A21" s="8">
        <v>45680.0</v>
      </c>
      <c r="B21" s="9" t="s">
        <v>14</v>
      </c>
      <c r="C21" s="9" t="s">
        <v>9</v>
      </c>
      <c r="D21" s="9">
        <v>24.0</v>
      </c>
      <c r="E21" s="9" t="s">
        <v>10</v>
      </c>
      <c r="F21" s="9" t="s">
        <v>15</v>
      </c>
      <c r="G21" s="9" t="s">
        <v>12</v>
      </c>
      <c r="H21" s="9">
        <v>1.0</v>
      </c>
      <c r="I21" s="9" t="s">
        <v>47</v>
      </c>
      <c r="K21" s="14"/>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row>
    <row r="22" ht="22.5" customHeight="1">
      <c r="A22" s="8">
        <v>45681.0</v>
      </c>
      <c r="B22" s="9" t="s">
        <v>8</v>
      </c>
      <c r="C22" s="9" t="s">
        <v>21</v>
      </c>
      <c r="D22" s="9">
        <v>14.0</v>
      </c>
      <c r="E22" s="9" t="s">
        <v>10</v>
      </c>
      <c r="F22" s="9" t="s">
        <v>11</v>
      </c>
      <c r="G22" s="9" t="s">
        <v>12</v>
      </c>
      <c r="H22" s="9">
        <v>1.0</v>
      </c>
      <c r="I22" s="9" t="s">
        <v>42</v>
      </c>
      <c r="K22" s="102"/>
      <c r="L22" s="102"/>
      <c r="M22" s="102"/>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row>
    <row r="23" ht="22.5" customHeight="1">
      <c r="A23" s="8">
        <v>45682.0</v>
      </c>
      <c r="B23" s="9" t="s">
        <v>19</v>
      </c>
      <c r="C23" s="9" t="s">
        <v>9</v>
      </c>
      <c r="D23" s="9">
        <v>7.0</v>
      </c>
      <c r="E23" s="9" t="s">
        <v>10</v>
      </c>
      <c r="F23" s="9" t="s">
        <v>11</v>
      </c>
      <c r="G23" s="9" t="s">
        <v>12</v>
      </c>
      <c r="H23" s="9">
        <v>1.0</v>
      </c>
      <c r="I23" s="9" t="s">
        <v>48</v>
      </c>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row>
    <row r="24" ht="22.5" customHeight="1">
      <c r="A24" s="8">
        <v>45683.0</v>
      </c>
      <c r="B24" s="9" t="s">
        <v>19</v>
      </c>
      <c r="C24" s="9" t="s">
        <v>9</v>
      </c>
      <c r="D24" s="9">
        <v>7.0</v>
      </c>
      <c r="E24" s="9" t="s">
        <v>10</v>
      </c>
      <c r="F24" s="9" t="s">
        <v>15</v>
      </c>
      <c r="G24" s="9" t="s">
        <v>12</v>
      </c>
      <c r="H24" s="9">
        <v>1.0</v>
      </c>
      <c r="I24" s="9" t="s">
        <v>43</v>
      </c>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row>
    <row r="25" ht="22.5" customHeight="1">
      <c r="A25" s="8">
        <v>45684.0</v>
      </c>
      <c r="B25" s="9" t="s">
        <v>8</v>
      </c>
      <c r="C25" s="9" t="s">
        <v>9</v>
      </c>
      <c r="D25" s="9">
        <v>14.0</v>
      </c>
      <c r="E25" s="9" t="s">
        <v>10</v>
      </c>
      <c r="F25" s="9" t="s">
        <v>11</v>
      </c>
      <c r="G25" s="9" t="s">
        <v>12</v>
      </c>
      <c r="H25" s="9">
        <v>1.0</v>
      </c>
      <c r="I25" s="9" t="s">
        <v>44</v>
      </c>
      <c r="K25" s="102"/>
      <c r="L25" s="102"/>
      <c r="M25" s="102"/>
      <c r="N25" s="102"/>
      <c r="O25" s="102"/>
      <c r="P25" s="102"/>
      <c r="Q25" s="102"/>
      <c r="R25" s="102"/>
      <c r="S25" s="102"/>
      <c r="T25" s="102"/>
      <c r="U25" s="102"/>
      <c r="V25" s="102"/>
      <c r="W25" s="102"/>
      <c r="X25" s="102"/>
      <c r="Y25" s="102"/>
      <c r="Z25" s="102"/>
      <c r="AA25" s="102"/>
      <c r="AB25" s="102"/>
      <c r="AC25" s="102"/>
      <c r="AD25" s="102"/>
      <c r="AE25" s="102"/>
      <c r="AF25" s="102"/>
      <c r="AG25" s="102"/>
      <c r="AH25" s="102"/>
      <c r="AI25" s="102"/>
      <c r="AJ25" s="102"/>
    </row>
    <row r="26" ht="22.5" customHeight="1">
      <c r="A26" s="8">
        <v>45685.0</v>
      </c>
      <c r="B26" s="9" t="s">
        <v>8</v>
      </c>
      <c r="C26" s="9" t="s">
        <v>9</v>
      </c>
      <c r="D26" s="9">
        <v>16.0</v>
      </c>
      <c r="E26" s="9" t="s">
        <v>10</v>
      </c>
      <c r="F26" s="9" t="s">
        <v>11</v>
      </c>
      <c r="G26" s="9" t="s">
        <v>12</v>
      </c>
      <c r="H26" s="9">
        <v>1.0</v>
      </c>
      <c r="I26" s="9" t="s">
        <v>45</v>
      </c>
      <c r="K26" s="218"/>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row>
    <row r="27" ht="22.5" customHeight="1">
      <c r="A27" s="8">
        <v>45686.0</v>
      </c>
      <c r="B27" s="9" t="s">
        <v>17</v>
      </c>
      <c r="C27" s="9" t="s">
        <v>9</v>
      </c>
      <c r="D27" s="9">
        <v>9.0</v>
      </c>
      <c r="E27" s="9" t="s">
        <v>10</v>
      </c>
      <c r="F27" s="9" t="s">
        <v>11</v>
      </c>
      <c r="G27" s="9" t="s">
        <v>12</v>
      </c>
      <c r="H27" s="9">
        <v>1.0</v>
      </c>
      <c r="I27" s="9" t="s">
        <v>46</v>
      </c>
      <c r="K27" s="102"/>
      <c r="L27" s="102"/>
      <c r="M27" s="102"/>
      <c r="N27" s="102"/>
      <c r="O27" s="102"/>
      <c r="P27" s="102"/>
      <c r="Q27" s="102"/>
      <c r="R27" s="102"/>
      <c r="S27" s="102"/>
      <c r="T27" s="102"/>
      <c r="U27" s="102"/>
      <c r="V27" s="102"/>
      <c r="W27" s="102"/>
      <c r="X27" s="102"/>
      <c r="Y27" s="102"/>
      <c r="Z27" s="102"/>
      <c r="AA27" s="102"/>
      <c r="AB27" s="102"/>
      <c r="AC27" s="102"/>
      <c r="AD27" s="102"/>
      <c r="AE27" s="102"/>
      <c r="AF27" s="102"/>
      <c r="AG27" s="102"/>
      <c r="AH27" s="102"/>
      <c r="AI27" s="102"/>
      <c r="AJ27" s="102"/>
    </row>
    <row r="28" ht="22.5" customHeight="1">
      <c r="A28" s="8">
        <v>45687.0</v>
      </c>
      <c r="B28" s="9" t="s">
        <v>26</v>
      </c>
      <c r="C28" s="9" t="s">
        <v>21</v>
      </c>
      <c r="D28" s="9">
        <v>27.0</v>
      </c>
      <c r="E28" s="9" t="s">
        <v>22</v>
      </c>
      <c r="F28" s="9" t="s">
        <v>15</v>
      </c>
      <c r="G28" s="9" t="s">
        <v>12</v>
      </c>
      <c r="H28" s="9">
        <v>1.0</v>
      </c>
      <c r="I28" s="9" t="s">
        <v>47</v>
      </c>
      <c r="K28" s="102"/>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row>
    <row r="29" ht="22.5" customHeight="1">
      <c r="A29" s="8">
        <v>45688.0</v>
      </c>
      <c r="B29" s="9" t="s">
        <v>26</v>
      </c>
      <c r="C29" s="9" t="s">
        <v>9</v>
      </c>
      <c r="D29" s="9">
        <v>21.0</v>
      </c>
      <c r="E29" s="9" t="s">
        <v>10</v>
      </c>
      <c r="F29" s="9" t="s">
        <v>15</v>
      </c>
      <c r="G29" s="9" t="s">
        <v>12</v>
      </c>
      <c r="H29" s="9">
        <v>1.0</v>
      </c>
      <c r="I29" s="9" t="s">
        <v>42</v>
      </c>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row>
    <row r="30" ht="22.5" customHeight="1">
      <c r="A30" s="8">
        <v>45689.0</v>
      </c>
      <c r="B30" s="9" t="s">
        <v>17</v>
      </c>
      <c r="C30" s="9" t="s">
        <v>9</v>
      </c>
      <c r="D30" s="9">
        <v>10.0</v>
      </c>
      <c r="E30" s="9" t="s">
        <v>10</v>
      </c>
      <c r="F30" s="9" t="s">
        <v>11</v>
      </c>
      <c r="G30" s="9" t="s">
        <v>27</v>
      </c>
      <c r="H30" s="9">
        <v>2.0</v>
      </c>
      <c r="I30" s="9" t="s">
        <v>48</v>
      </c>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row>
    <row r="31" ht="22.5" customHeight="1">
      <c r="A31" s="8">
        <v>45690.0</v>
      </c>
      <c r="B31" s="9" t="s">
        <v>8</v>
      </c>
      <c r="C31" s="9" t="s">
        <v>9</v>
      </c>
      <c r="D31" s="9">
        <v>14.0</v>
      </c>
      <c r="E31" s="9" t="s">
        <v>10</v>
      </c>
      <c r="F31" s="9" t="s">
        <v>11</v>
      </c>
      <c r="G31" s="9" t="s">
        <v>27</v>
      </c>
      <c r="H31" s="9">
        <v>2.0</v>
      </c>
      <c r="I31" s="9" t="s">
        <v>43</v>
      </c>
      <c r="K31" s="102"/>
      <c r="L31" s="102"/>
      <c r="M31" s="102"/>
      <c r="N31" s="102"/>
      <c r="O31" s="102"/>
      <c r="P31" s="102"/>
      <c r="Q31" s="102"/>
      <c r="R31" s="102"/>
      <c r="S31" s="102"/>
      <c r="T31" s="102"/>
      <c r="U31" s="102"/>
      <c r="V31" s="102"/>
      <c r="W31" s="102"/>
      <c r="X31" s="102"/>
      <c r="Y31" s="102"/>
      <c r="Z31" s="102"/>
      <c r="AA31" s="102"/>
      <c r="AB31" s="102"/>
      <c r="AC31" s="102"/>
      <c r="AD31" s="102"/>
      <c r="AE31" s="102"/>
      <c r="AF31" s="102"/>
      <c r="AG31" s="102"/>
      <c r="AH31" s="102"/>
      <c r="AI31" s="102"/>
      <c r="AJ31" s="102"/>
    </row>
    <row r="32" ht="22.5" customHeight="1">
      <c r="A32" s="8">
        <v>45691.0</v>
      </c>
      <c r="B32" s="9" t="s">
        <v>8</v>
      </c>
      <c r="C32" s="9" t="s">
        <v>9</v>
      </c>
      <c r="D32" s="9">
        <v>14.0</v>
      </c>
      <c r="E32" s="9" t="s">
        <v>10</v>
      </c>
      <c r="F32" s="9" t="s">
        <v>11</v>
      </c>
      <c r="G32" s="9" t="s">
        <v>27</v>
      </c>
      <c r="H32" s="9">
        <v>2.0</v>
      </c>
      <c r="I32" s="9" t="s">
        <v>44</v>
      </c>
      <c r="K32" s="102"/>
      <c r="L32" s="102"/>
      <c r="M32" s="102"/>
      <c r="N32" s="102"/>
      <c r="O32" s="102"/>
      <c r="P32" s="102"/>
      <c r="Q32" s="102"/>
      <c r="R32" s="102"/>
      <c r="S32" s="102"/>
      <c r="T32" s="102"/>
      <c r="U32" s="102"/>
      <c r="V32" s="102"/>
      <c r="W32" s="102"/>
      <c r="X32" s="102"/>
      <c r="Y32" s="102"/>
      <c r="Z32" s="102"/>
      <c r="AA32" s="102"/>
      <c r="AB32" s="102"/>
      <c r="AC32" s="102"/>
      <c r="AD32" s="102"/>
      <c r="AE32" s="102"/>
      <c r="AF32" s="102"/>
      <c r="AG32" s="102"/>
      <c r="AH32" s="102"/>
      <c r="AI32" s="102"/>
      <c r="AJ32" s="102"/>
    </row>
    <row r="33" ht="22.5" customHeight="1">
      <c r="A33" s="8">
        <v>45692.0</v>
      </c>
      <c r="B33" s="9" t="s">
        <v>17</v>
      </c>
      <c r="C33" s="9" t="s">
        <v>24</v>
      </c>
      <c r="D33" s="9">
        <v>12.0</v>
      </c>
      <c r="E33" s="9" t="s">
        <v>10</v>
      </c>
      <c r="F33" s="9" t="s">
        <v>11</v>
      </c>
      <c r="G33" s="9" t="s">
        <v>27</v>
      </c>
      <c r="H33" s="9">
        <v>2.0</v>
      </c>
      <c r="I33" s="9" t="s">
        <v>45</v>
      </c>
      <c r="K33" s="102"/>
      <c r="L33" s="102"/>
      <c r="M33" s="102"/>
      <c r="N33" s="102"/>
      <c r="O33" s="102"/>
      <c r="P33" s="102"/>
      <c r="Q33" s="102"/>
      <c r="R33" s="102"/>
      <c r="S33" s="102"/>
      <c r="T33" s="102"/>
      <c r="U33" s="102"/>
      <c r="V33" s="102"/>
      <c r="W33" s="102"/>
      <c r="X33" s="102"/>
      <c r="Y33" s="102"/>
      <c r="Z33" s="102"/>
      <c r="AA33" s="102"/>
      <c r="AB33" s="102"/>
      <c r="AC33" s="102"/>
      <c r="AD33" s="102"/>
      <c r="AE33" s="102"/>
      <c r="AF33" s="102"/>
      <c r="AG33" s="102"/>
      <c r="AH33" s="102"/>
      <c r="AI33" s="102"/>
      <c r="AJ33" s="102"/>
    </row>
    <row r="34" ht="22.5" customHeight="1">
      <c r="A34" s="8">
        <v>45693.0</v>
      </c>
      <c r="B34" s="9" t="s">
        <v>8</v>
      </c>
      <c r="C34" s="9" t="s">
        <v>9</v>
      </c>
      <c r="D34" s="9">
        <v>14.0</v>
      </c>
      <c r="E34" s="9" t="s">
        <v>10</v>
      </c>
      <c r="F34" s="9" t="s">
        <v>15</v>
      </c>
      <c r="G34" s="9" t="s">
        <v>27</v>
      </c>
      <c r="H34" s="9">
        <v>2.0</v>
      </c>
      <c r="I34" s="9" t="s">
        <v>46</v>
      </c>
      <c r="K34" s="102"/>
      <c r="L34" s="102"/>
      <c r="M34" s="102"/>
      <c r="N34" s="102"/>
      <c r="O34" s="102"/>
      <c r="P34" s="102"/>
      <c r="Q34" s="102"/>
      <c r="R34" s="102"/>
      <c r="S34" s="102"/>
      <c r="T34" s="102"/>
      <c r="U34" s="102"/>
      <c r="V34" s="102"/>
      <c r="W34" s="102"/>
      <c r="X34" s="102"/>
      <c r="Y34" s="102"/>
      <c r="Z34" s="102"/>
      <c r="AA34" s="102"/>
      <c r="AB34" s="102"/>
      <c r="AC34" s="102"/>
      <c r="AD34" s="102"/>
      <c r="AE34" s="102"/>
      <c r="AF34" s="102"/>
      <c r="AG34" s="102"/>
      <c r="AH34" s="102"/>
      <c r="AI34" s="102"/>
      <c r="AJ34" s="102"/>
    </row>
    <row r="35" ht="22.5" customHeight="1">
      <c r="A35" s="8">
        <v>45694.0</v>
      </c>
      <c r="B35" s="9" t="s">
        <v>14</v>
      </c>
      <c r="C35" s="9" t="s">
        <v>24</v>
      </c>
      <c r="D35" s="9">
        <v>21.0</v>
      </c>
      <c r="E35" s="9" t="s">
        <v>10</v>
      </c>
      <c r="F35" s="9" t="s">
        <v>15</v>
      </c>
      <c r="G35" s="9" t="s">
        <v>27</v>
      </c>
      <c r="H35" s="9">
        <v>2.0</v>
      </c>
      <c r="I35" s="9" t="s">
        <v>47</v>
      </c>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row>
    <row r="36" ht="22.5" customHeight="1">
      <c r="A36" s="8">
        <v>45695.0</v>
      </c>
      <c r="B36" s="9" t="s">
        <v>14</v>
      </c>
      <c r="C36" s="9" t="s">
        <v>9</v>
      </c>
      <c r="D36" s="9">
        <v>28.0</v>
      </c>
      <c r="E36" s="9" t="s">
        <v>22</v>
      </c>
      <c r="F36" s="9" t="s">
        <v>11</v>
      </c>
      <c r="G36" s="9" t="s">
        <v>27</v>
      </c>
      <c r="H36" s="9">
        <v>2.0</v>
      </c>
      <c r="I36" s="9" t="s">
        <v>42</v>
      </c>
      <c r="K36" s="102"/>
      <c r="L36" s="102"/>
      <c r="M36" s="102"/>
      <c r="N36" s="102"/>
      <c r="O36" s="102"/>
      <c r="P36" s="102"/>
      <c r="Q36" s="102"/>
      <c r="R36" s="102"/>
      <c r="S36" s="102"/>
      <c r="T36" s="102"/>
      <c r="U36" s="102"/>
      <c r="V36" s="102"/>
      <c r="W36" s="102"/>
      <c r="X36" s="102"/>
      <c r="Y36" s="102"/>
      <c r="Z36" s="102"/>
      <c r="AA36" s="102"/>
      <c r="AB36" s="102"/>
      <c r="AC36" s="102"/>
      <c r="AD36" s="102"/>
      <c r="AE36" s="102"/>
      <c r="AF36" s="102"/>
      <c r="AG36" s="102"/>
      <c r="AH36" s="102"/>
      <c r="AI36" s="102"/>
      <c r="AJ36" s="102"/>
    </row>
    <row r="37" ht="22.5" customHeight="1">
      <c r="A37" s="8">
        <v>45696.0</v>
      </c>
      <c r="B37" s="9" t="s">
        <v>19</v>
      </c>
      <c r="C37" s="9" t="s">
        <v>9</v>
      </c>
      <c r="D37" s="9">
        <v>7.0</v>
      </c>
      <c r="E37" s="9" t="s">
        <v>10</v>
      </c>
      <c r="F37" s="9" t="s">
        <v>11</v>
      </c>
      <c r="G37" s="9" t="s">
        <v>27</v>
      </c>
      <c r="H37" s="9">
        <v>2.0</v>
      </c>
      <c r="I37" s="9" t="s">
        <v>48</v>
      </c>
      <c r="K37" s="102"/>
      <c r="L37" s="102"/>
      <c r="M37" s="102"/>
      <c r="N37" s="102"/>
      <c r="O37" s="102"/>
      <c r="P37" s="102"/>
      <c r="Q37" s="102"/>
      <c r="R37" s="102"/>
      <c r="S37" s="102"/>
      <c r="T37" s="102"/>
      <c r="U37" s="102"/>
      <c r="V37" s="102"/>
      <c r="W37" s="102"/>
      <c r="X37" s="102"/>
      <c r="Y37" s="102"/>
      <c r="Z37" s="102"/>
      <c r="AA37" s="102"/>
      <c r="AB37" s="102"/>
      <c r="AC37" s="102"/>
      <c r="AD37" s="102"/>
      <c r="AE37" s="102"/>
      <c r="AF37" s="102"/>
      <c r="AG37" s="102"/>
      <c r="AH37" s="102"/>
      <c r="AI37" s="102"/>
      <c r="AJ37" s="102"/>
    </row>
    <row r="38" ht="22.5" customHeight="1">
      <c r="A38" s="8">
        <v>45697.0</v>
      </c>
      <c r="B38" s="9" t="s">
        <v>19</v>
      </c>
      <c r="C38" s="9" t="s">
        <v>9</v>
      </c>
      <c r="D38" s="9">
        <v>7.0</v>
      </c>
      <c r="E38" s="9" t="s">
        <v>10</v>
      </c>
      <c r="F38" s="9" t="s">
        <v>11</v>
      </c>
      <c r="G38" s="9" t="s">
        <v>27</v>
      </c>
      <c r="H38" s="9">
        <v>2.0</v>
      </c>
      <c r="I38" s="9" t="s">
        <v>43</v>
      </c>
      <c r="K38" s="102"/>
      <c r="L38" s="102"/>
      <c r="M38" s="102"/>
      <c r="N38" s="102"/>
      <c r="O38" s="102"/>
      <c r="P38" s="102"/>
      <c r="Q38" s="102"/>
      <c r="R38" s="102"/>
      <c r="S38" s="102"/>
      <c r="T38" s="102"/>
      <c r="U38" s="102"/>
      <c r="V38" s="102"/>
      <c r="W38" s="102"/>
      <c r="X38" s="102"/>
      <c r="Y38" s="102"/>
      <c r="Z38" s="102"/>
      <c r="AA38" s="102"/>
      <c r="AB38" s="102"/>
      <c r="AC38" s="102"/>
      <c r="AD38" s="102"/>
      <c r="AE38" s="102"/>
      <c r="AF38" s="102"/>
      <c r="AG38" s="102"/>
      <c r="AH38" s="102"/>
      <c r="AI38" s="102"/>
      <c r="AJ38" s="102"/>
    </row>
    <row r="39" ht="22.5" customHeight="1">
      <c r="A39" s="8">
        <v>45698.0</v>
      </c>
      <c r="B39" s="9" t="s">
        <v>8</v>
      </c>
      <c r="C39" s="9" t="s">
        <v>9</v>
      </c>
      <c r="D39" s="9">
        <v>14.0</v>
      </c>
      <c r="E39" s="9" t="s">
        <v>10</v>
      </c>
      <c r="F39" s="9" t="s">
        <v>11</v>
      </c>
      <c r="G39" s="9" t="s">
        <v>27</v>
      </c>
      <c r="H39" s="9">
        <v>2.0</v>
      </c>
      <c r="I39" s="9" t="s">
        <v>44</v>
      </c>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02"/>
      <c r="AJ39" s="102"/>
    </row>
    <row r="40" ht="22.5" customHeight="1">
      <c r="A40" s="8">
        <v>45699.0</v>
      </c>
      <c r="B40" s="9" t="s">
        <v>8</v>
      </c>
      <c r="C40" s="9" t="s">
        <v>21</v>
      </c>
      <c r="D40" s="9">
        <v>14.0</v>
      </c>
      <c r="E40" s="9" t="s">
        <v>10</v>
      </c>
      <c r="F40" s="9" t="s">
        <v>15</v>
      </c>
      <c r="G40" s="9" t="s">
        <v>27</v>
      </c>
      <c r="H40" s="9">
        <v>2.0</v>
      </c>
      <c r="I40" s="9" t="s">
        <v>45</v>
      </c>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02"/>
      <c r="AJ40" s="102"/>
    </row>
    <row r="41" ht="22.5" customHeight="1">
      <c r="A41" s="8">
        <v>45700.0</v>
      </c>
      <c r="B41" s="9" t="s">
        <v>17</v>
      </c>
      <c r="C41" s="9" t="s">
        <v>9</v>
      </c>
      <c r="D41" s="9">
        <v>10.0</v>
      </c>
      <c r="E41" s="9" t="s">
        <v>10</v>
      </c>
      <c r="F41" s="9" t="s">
        <v>11</v>
      </c>
      <c r="G41" s="9" t="s">
        <v>27</v>
      </c>
      <c r="H41" s="9">
        <v>2.0</v>
      </c>
      <c r="I41" s="9" t="s">
        <v>46</v>
      </c>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row>
    <row r="42" ht="22.5" customHeight="1">
      <c r="A42" s="8">
        <v>45701.0</v>
      </c>
      <c r="B42" s="9" t="s">
        <v>17</v>
      </c>
      <c r="C42" s="9" t="s">
        <v>9</v>
      </c>
      <c r="D42" s="9">
        <v>12.0</v>
      </c>
      <c r="E42" s="9" t="s">
        <v>10</v>
      </c>
      <c r="F42" s="9" t="s">
        <v>15</v>
      </c>
      <c r="G42" s="9" t="s">
        <v>27</v>
      </c>
      <c r="H42" s="9">
        <v>2.0</v>
      </c>
      <c r="I42" s="9" t="s">
        <v>47</v>
      </c>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02"/>
      <c r="AJ42" s="102"/>
    </row>
    <row r="43" ht="22.5" customHeight="1">
      <c r="A43" s="8">
        <v>45702.0</v>
      </c>
      <c r="B43" s="9" t="s">
        <v>8</v>
      </c>
      <c r="C43" s="9" t="s">
        <v>9</v>
      </c>
      <c r="D43" s="9">
        <v>14.0</v>
      </c>
      <c r="E43" s="9" t="s">
        <v>10</v>
      </c>
      <c r="F43" s="9" t="s">
        <v>11</v>
      </c>
      <c r="G43" s="9" t="s">
        <v>27</v>
      </c>
      <c r="H43" s="9">
        <v>2.0</v>
      </c>
      <c r="I43" s="9" t="s">
        <v>42</v>
      </c>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row>
    <row r="44" ht="22.5" customHeight="1">
      <c r="A44" s="8">
        <v>45703.0</v>
      </c>
      <c r="B44" s="9" t="s">
        <v>8</v>
      </c>
      <c r="C44" s="9" t="s">
        <v>21</v>
      </c>
      <c r="D44" s="9">
        <v>15.0</v>
      </c>
      <c r="E44" s="9" t="s">
        <v>10</v>
      </c>
      <c r="F44" s="9" t="s">
        <v>11</v>
      </c>
      <c r="G44" s="9" t="s">
        <v>27</v>
      </c>
      <c r="H44" s="9">
        <v>2.0</v>
      </c>
      <c r="I44" s="9" t="s">
        <v>48</v>
      </c>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row>
    <row r="45" ht="22.5" customHeight="1">
      <c r="A45" s="8">
        <v>45704.0</v>
      </c>
      <c r="B45" s="9" t="s">
        <v>23</v>
      </c>
      <c r="C45" s="9" t="s">
        <v>9</v>
      </c>
      <c r="D45" s="9">
        <v>21.0</v>
      </c>
      <c r="E45" s="9" t="s">
        <v>10</v>
      </c>
      <c r="F45" s="9" t="s">
        <v>15</v>
      </c>
      <c r="G45" s="9" t="s">
        <v>27</v>
      </c>
      <c r="H45" s="9">
        <v>2.0</v>
      </c>
      <c r="I45" s="9" t="s">
        <v>43</v>
      </c>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02"/>
    </row>
    <row r="46" ht="22.5" customHeight="1">
      <c r="A46" s="8">
        <v>45705.0</v>
      </c>
      <c r="B46" s="9" t="s">
        <v>23</v>
      </c>
      <c r="C46" s="9" t="s">
        <v>9</v>
      </c>
      <c r="D46" s="9">
        <v>19.0</v>
      </c>
      <c r="E46" s="9" t="s">
        <v>10</v>
      </c>
      <c r="F46" s="9" t="s">
        <v>11</v>
      </c>
      <c r="G46" s="9" t="s">
        <v>27</v>
      </c>
      <c r="H46" s="9">
        <v>2.0</v>
      </c>
      <c r="I46" s="9" t="s">
        <v>44</v>
      </c>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02"/>
      <c r="AJ46" s="102"/>
    </row>
    <row r="47" ht="22.5" customHeight="1">
      <c r="A47" s="8">
        <v>45706.0</v>
      </c>
      <c r="B47" s="9" t="s">
        <v>14</v>
      </c>
      <c r="C47" s="9" t="s">
        <v>9</v>
      </c>
      <c r="D47" s="9">
        <v>23.0</v>
      </c>
      <c r="E47" s="9" t="s">
        <v>10</v>
      </c>
      <c r="F47" s="9" t="s">
        <v>11</v>
      </c>
      <c r="G47" s="9" t="s">
        <v>27</v>
      </c>
      <c r="H47" s="9">
        <v>2.0</v>
      </c>
      <c r="I47" s="9" t="s">
        <v>45</v>
      </c>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row>
    <row r="48" ht="22.5" customHeight="1">
      <c r="A48" s="8">
        <v>45707.0</v>
      </c>
      <c r="B48" s="9" t="s">
        <v>8</v>
      </c>
      <c r="C48" s="9" t="s">
        <v>9</v>
      </c>
      <c r="D48" s="9">
        <v>15.0</v>
      </c>
      <c r="E48" s="9" t="s">
        <v>10</v>
      </c>
      <c r="F48" s="9" t="s">
        <v>11</v>
      </c>
      <c r="G48" s="9" t="s">
        <v>27</v>
      </c>
      <c r="H48" s="9">
        <v>2.0</v>
      </c>
      <c r="I48" s="9" t="s">
        <v>46</v>
      </c>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02"/>
    </row>
    <row r="49" ht="22.5" customHeight="1">
      <c r="A49" s="8">
        <v>45708.0</v>
      </c>
      <c r="B49" s="9" t="s">
        <v>14</v>
      </c>
      <c r="C49" s="9" t="s">
        <v>9</v>
      </c>
      <c r="D49" s="9">
        <v>22.0</v>
      </c>
      <c r="E49" s="9" t="s">
        <v>10</v>
      </c>
      <c r="F49" s="9" t="s">
        <v>15</v>
      </c>
      <c r="G49" s="9" t="s">
        <v>27</v>
      </c>
      <c r="H49" s="9">
        <v>2.0</v>
      </c>
      <c r="I49" s="9" t="s">
        <v>47</v>
      </c>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02"/>
      <c r="AJ49" s="102"/>
    </row>
    <row r="50" ht="22.5" customHeight="1">
      <c r="A50" s="8">
        <v>45709.0</v>
      </c>
      <c r="B50" s="9" t="s">
        <v>17</v>
      </c>
      <c r="C50" s="9" t="s">
        <v>9</v>
      </c>
      <c r="D50" s="9">
        <v>11.0</v>
      </c>
      <c r="E50" s="9" t="s">
        <v>10</v>
      </c>
      <c r="F50" s="9" t="s">
        <v>15</v>
      </c>
      <c r="G50" s="9" t="s">
        <v>27</v>
      </c>
      <c r="H50" s="9">
        <v>2.0</v>
      </c>
      <c r="I50" s="9" t="s">
        <v>42</v>
      </c>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02"/>
    </row>
    <row r="51" ht="22.5" customHeight="1">
      <c r="A51" s="8">
        <v>45710.0</v>
      </c>
      <c r="B51" s="9" t="s">
        <v>8</v>
      </c>
      <c r="C51" s="9" t="s">
        <v>9</v>
      </c>
      <c r="D51" s="9">
        <v>14.0</v>
      </c>
      <c r="E51" s="9" t="s">
        <v>10</v>
      </c>
      <c r="F51" s="9" t="s">
        <v>11</v>
      </c>
      <c r="G51" s="9" t="s">
        <v>27</v>
      </c>
      <c r="H51" s="9">
        <v>2.0</v>
      </c>
      <c r="I51" s="9" t="s">
        <v>48</v>
      </c>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row>
    <row r="52" ht="22.5" customHeight="1">
      <c r="A52" s="8">
        <v>45711.0</v>
      </c>
      <c r="B52" s="9" t="s">
        <v>8</v>
      </c>
      <c r="C52" s="9" t="s">
        <v>24</v>
      </c>
      <c r="D52" s="9">
        <v>14.0</v>
      </c>
      <c r="E52" s="9" t="s">
        <v>10</v>
      </c>
      <c r="F52" s="9" t="s">
        <v>11</v>
      </c>
      <c r="G52" s="9" t="s">
        <v>27</v>
      </c>
      <c r="H52" s="9">
        <v>2.0</v>
      </c>
      <c r="I52" s="9" t="s">
        <v>43</v>
      </c>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02"/>
      <c r="AJ52" s="102"/>
    </row>
    <row r="53" ht="22.5" customHeight="1">
      <c r="A53" s="8">
        <v>45712.0</v>
      </c>
      <c r="B53" s="9" t="s">
        <v>19</v>
      </c>
      <c r="C53" s="9" t="s">
        <v>9</v>
      </c>
      <c r="D53" s="9">
        <v>7.0</v>
      </c>
      <c r="E53" s="9" t="s">
        <v>10</v>
      </c>
      <c r="F53" s="9" t="s">
        <v>11</v>
      </c>
      <c r="G53" s="9" t="s">
        <v>27</v>
      </c>
      <c r="H53" s="9">
        <v>2.0</v>
      </c>
      <c r="I53" s="9" t="s">
        <v>44</v>
      </c>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02"/>
      <c r="AJ53" s="102"/>
    </row>
    <row r="54" ht="22.5" customHeight="1">
      <c r="A54" s="8">
        <v>45713.0</v>
      </c>
      <c r="B54" s="9" t="s">
        <v>19</v>
      </c>
      <c r="C54" s="9" t="s">
        <v>9</v>
      </c>
      <c r="D54" s="9">
        <v>7.0</v>
      </c>
      <c r="E54" s="9" t="s">
        <v>10</v>
      </c>
      <c r="F54" s="9" t="s">
        <v>11</v>
      </c>
      <c r="G54" s="9" t="s">
        <v>27</v>
      </c>
      <c r="H54" s="9">
        <v>2.0</v>
      </c>
      <c r="I54" s="9" t="s">
        <v>45</v>
      </c>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02"/>
      <c r="AJ54" s="102"/>
    </row>
    <row r="55" ht="22.5" customHeight="1">
      <c r="A55" s="8">
        <v>45714.0</v>
      </c>
      <c r="B55" s="9" t="s">
        <v>26</v>
      </c>
      <c r="C55" s="9" t="s">
        <v>21</v>
      </c>
      <c r="D55" s="9">
        <v>25.0</v>
      </c>
      <c r="E55" s="9" t="s">
        <v>10</v>
      </c>
      <c r="F55" s="9" t="s">
        <v>15</v>
      </c>
      <c r="G55" s="9" t="s">
        <v>27</v>
      </c>
      <c r="H55" s="9">
        <v>2.0</v>
      </c>
      <c r="I55" s="9" t="s">
        <v>46</v>
      </c>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02"/>
      <c r="AJ55" s="102"/>
    </row>
    <row r="56" ht="22.5" customHeight="1">
      <c r="A56" s="8">
        <v>45715.0</v>
      </c>
      <c r="B56" s="9" t="s">
        <v>17</v>
      </c>
      <c r="C56" s="9" t="s">
        <v>24</v>
      </c>
      <c r="D56" s="9">
        <v>10.0</v>
      </c>
      <c r="E56" s="9" t="s">
        <v>10</v>
      </c>
      <c r="F56" s="9" t="s">
        <v>15</v>
      </c>
      <c r="G56" s="9" t="s">
        <v>27</v>
      </c>
      <c r="H56" s="9">
        <v>2.0</v>
      </c>
      <c r="I56" s="9" t="s">
        <v>47</v>
      </c>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02"/>
      <c r="AJ56" s="102"/>
    </row>
    <row r="57" ht="22.5" customHeight="1">
      <c r="A57" s="8">
        <v>45716.0</v>
      </c>
      <c r="B57" s="9" t="s">
        <v>8</v>
      </c>
      <c r="C57" s="9" t="s">
        <v>9</v>
      </c>
      <c r="D57" s="9">
        <v>14.0</v>
      </c>
      <c r="E57" s="9" t="s">
        <v>10</v>
      </c>
      <c r="F57" s="9" t="s">
        <v>11</v>
      </c>
      <c r="G57" s="9" t="s">
        <v>27</v>
      </c>
      <c r="H57" s="9">
        <v>2.0</v>
      </c>
      <c r="I57" s="9" t="s">
        <v>42</v>
      </c>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02"/>
      <c r="AJ57" s="102"/>
    </row>
    <row r="58" ht="22.5" customHeight="1">
      <c r="A58" s="8">
        <v>45717.0</v>
      </c>
      <c r="B58" s="9" t="s">
        <v>8</v>
      </c>
      <c r="C58" s="9" t="s">
        <v>9</v>
      </c>
      <c r="D58" s="9">
        <v>14.0</v>
      </c>
      <c r="E58" s="9" t="s">
        <v>10</v>
      </c>
      <c r="F58" s="9" t="s">
        <v>11</v>
      </c>
      <c r="G58" s="9" t="s">
        <v>28</v>
      </c>
      <c r="H58" s="9">
        <v>3.0</v>
      </c>
      <c r="I58" s="9" t="s">
        <v>48</v>
      </c>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02"/>
      <c r="AJ58" s="102"/>
    </row>
    <row r="59" ht="22.5" customHeight="1">
      <c r="A59" s="8">
        <v>45718.0</v>
      </c>
      <c r="B59" s="9" t="s">
        <v>17</v>
      </c>
      <c r="C59" s="9" t="s">
        <v>9</v>
      </c>
      <c r="D59" s="9">
        <v>9.0</v>
      </c>
      <c r="E59" s="9" t="s">
        <v>10</v>
      </c>
      <c r="F59" s="9" t="s">
        <v>11</v>
      </c>
      <c r="G59" s="9" t="s">
        <v>28</v>
      </c>
      <c r="H59" s="9">
        <v>3.0</v>
      </c>
      <c r="I59" s="9" t="s">
        <v>43</v>
      </c>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02"/>
      <c r="AJ59" s="102"/>
    </row>
    <row r="60" ht="22.5" customHeight="1">
      <c r="A60" s="8">
        <v>45719.0</v>
      </c>
      <c r="B60" s="9" t="s">
        <v>14</v>
      </c>
      <c r="C60" s="9" t="s">
        <v>9</v>
      </c>
      <c r="D60" s="9">
        <v>23.0</v>
      </c>
      <c r="E60" s="9" t="s">
        <v>10</v>
      </c>
      <c r="F60" s="9" t="s">
        <v>11</v>
      </c>
      <c r="G60" s="9" t="s">
        <v>28</v>
      </c>
      <c r="H60" s="9">
        <v>3.0</v>
      </c>
      <c r="I60" s="9" t="s">
        <v>44</v>
      </c>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02"/>
    </row>
    <row r="61" ht="22.5" customHeight="1">
      <c r="A61" s="8">
        <v>45720.0</v>
      </c>
      <c r="B61" s="9" t="s">
        <v>8</v>
      </c>
      <c r="C61" s="9" t="s">
        <v>9</v>
      </c>
      <c r="D61" s="9">
        <v>14.0</v>
      </c>
      <c r="E61" s="9" t="s">
        <v>10</v>
      </c>
      <c r="F61" s="9" t="s">
        <v>15</v>
      </c>
      <c r="G61" s="9" t="s">
        <v>28</v>
      </c>
      <c r="H61" s="9">
        <v>3.0</v>
      </c>
      <c r="I61" s="9" t="s">
        <v>45</v>
      </c>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02"/>
    </row>
    <row r="62" ht="22.5" customHeight="1">
      <c r="A62" s="8">
        <v>45721.0</v>
      </c>
      <c r="B62" s="9" t="s">
        <v>14</v>
      </c>
      <c r="C62" s="9" t="s">
        <v>9</v>
      </c>
      <c r="D62" s="9">
        <v>22.0</v>
      </c>
      <c r="E62" s="9" t="s">
        <v>10</v>
      </c>
      <c r="F62" s="9" t="s">
        <v>11</v>
      </c>
      <c r="G62" s="9" t="s">
        <v>28</v>
      </c>
      <c r="H62" s="9">
        <v>3.0</v>
      </c>
      <c r="I62" s="9" t="s">
        <v>46</v>
      </c>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row>
    <row r="63" ht="22.5" customHeight="1">
      <c r="A63" s="8">
        <v>45722.0</v>
      </c>
      <c r="B63" s="9" t="s">
        <v>8</v>
      </c>
      <c r="C63" s="9" t="s">
        <v>9</v>
      </c>
      <c r="D63" s="9">
        <v>14.0</v>
      </c>
      <c r="E63" s="9" t="s">
        <v>10</v>
      </c>
      <c r="F63" s="9" t="s">
        <v>15</v>
      </c>
      <c r="G63" s="9" t="s">
        <v>28</v>
      </c>
      <c r="H63" s="9">
        <v>3.0</v>
      </c>
      <c r="I63" s="9" t="s">
        <v>47</v>
      </c>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row>
    <row r="64" ht="22.5" customHeight="1">
      <c r="A64" s="8">
        <v>45723.0</v>
      </c>
      <c r="B64" s="9" t="s">
        <v>8</v>
      </c>
      <c r="C64" s="9" t="s">
        <v>21</v>
      </c>
      <c r="D64" s="9">
        <v>17.0</v>
      </c>
      <c r="E64" s="9" t="s">
        <v>22</v>
      </c>
      <c r="F64" s="9" t="s">
        <v>11</v>
      </c>
      <c r="G64" s="9" t="s">
        <v>28</v>
      </c>
      <c r="H64" s="9">
        <v>3.0</v>
      </c>
      <c r="I64" s="9" t="s">
        <v>42</v>
      </c>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02"/>
    </row>
    <row r="65" ht="22.5" customHeight="1">
      <c r="A65" s="8">
        <v>45724.0</v>
      </c>
      <c r="B65" s="9" t="s">
        <v>19</v>
      </c>
      <c r="C65" s="9" t="s">
        <v>9</v>
      </c>
      <c r="D65" s="9">
        <v>7.0</v>
      </c>
      <c r="E65" s="9" t="s">
        <v>10</v>
      </c>
      <c r="F65" s="9" t="s">
        <v>11</v>
      </c>
      <c r="G65" s="9" t="s">
        <v>28</v>
      </c>
      <c r="H65" s="9">
        <v>3.0</v>
      </c>
      <c r="I65" s="9" t="s">
        <v>48</v>
      </c>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02"/>
      <c r="AJ65" s="102"/>
    </row>
    <row r="66" ht="22.5" customHeight="1">
      <c r="A66" s="8">
        <v>45725.0</v>
      </c>
      <c r="B66" s="9" t="s">
        <v>19</v>
      </c>
      <c r="C66" s="9" t="s">
        <v>9</v>
      </c>
      <c r="D66" s="9">
        <v>7.0</v>
      </c>
      <c r="E66" s="9" t="s">
        <v>10</v>
      </c>
      <c r="F66" s="9" t="s">
        <v>15</v>
      </c>
      <c r="G66" s="9" t="s">
        <v>28</v>
      </c>
      <c r="H66" s="9">
        <v>3.0</v>
      </c>
      <c r="I66" s="9" t="s">
        <v>43</v>
      </c>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02"/>
    </row>
    <row r="67" ht="22.5" customHeight="1">
      <c r="A67" s="8">
        <v>45726.0</v>
      </c>
      <c r="B67" s="9" t="s">
        <v>17</v>
      </c>
      <c r="C67" s="9" t="s">
        <v>9</v>
      </c>
      <c r="D67" s="9">
        <v>11.0</v>
      </c>
      <c r="E67" s="9" t="s">
        <v>10</v>
      </c>
      <c r="F67" s="9" t="s">
        <v>11</v>
      </c>
      <c r="G67" s="9" t="s">
        <v>28</v>
      </c>
      <c r="H67" s="9">
        <v>3.0</v>
      </c>
      <c r="I67" s="9" t="s">
        <v>44</v>
      </c>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02"/>
      <c r="AJ67" s="102"/>
    </row>
    <row r="68" ht="22.5" customHeight="1">
      <c r="A68" s="8">
        <v>45727.0</v>
      </c>
      <c r="B68" s="9" t="s">
        <v>17</v>
      </c>
      <c r="C68" s="9" t="s">
        <v>24</v>
      </c>
      <c r="D68" s="9">
        <v>10.0</v>
      </c>
      <c r="E68" s="9" t="s">
        <v>10</v>
      </c>
      <c r="F68" s="9" t="s">
        <v>11</v>
      </c>
      <c r="G68" s="9" t="s">
        <v>28</v>
      </c>
      <c r="H68" s="9">
        <v>3.0</v>
      </c>
      <c r="I68" s="9" t="s">
        <v>45</v>
      </c>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02"/>
      <c r="AJ68" s="102"/>
    </row>
    <row r="69" ht="22.5" customHeight="1">
      <c r="A69" s="8">
        <v>45728.0</v>
      </c>
      <c r="B69" s="9" t="s">
        <v>8</v>
      </c>
      <c r="C69" s="9" t="s">
        <v>9</v>
      </c>
      <c r="D69" s="9">
        <v>14.0</v>
      </c>
      <c r="E69" s="9" t="s">
        <v>10</v>
      </c>
      <c r="F69" s="9" t="s">
        <v>11</v>
      </c>
      <c r="G69" s="9" t="s">
        <v>28</v>
      </c>
      <c r="H69" s="9">
        <v>3.0</v>
      </c>
      <c r="I69" s="9" t="s">
        <v>46</v>
      </c>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02"/>
      <c r="AJ69" s="102"/>
    </row>
    <row r="70" ht="22.5" customHeight="1">
      <c r="A70" s="8">
        <v>45729.0</v>
      </c>
      <c r="B70" s="9" t="s">
        <v>26</v>
      </c>
      <c r="C70" s="9" t="s">
        <v>9</v>
      </c>
      <c r="D70" s="9">
        <v>25.0</v>
      </c>
      <c r="E70" s="9" t="s">
        <v>10</v>
      </c>
      <c r="F70" s="9" t="s">
        <v>15</v>
      </c>
      <c r="G70" s="9" t="s">
        <v>28</v>
      </c>
      <c r="H70" s="9">
        <v>3.0</v>
      </c>
      <c r="I70" s="9" t="s">
        <v>47</v>
      </c>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02"/>
      <c r="AJ70" s="102"/>
    </row>
    <row r="71" ht="22.5" customHeight="1">
      <c r="A71" s="8">
        <v>45730.0</v>
      </c>
      <c r="B71" s="9" t="s">
        <v>25</v>
      </c>
      <c r="C71" s="9" t="s">
        <v>9</v>
      </c>
      <c r="D71" s="9">
        <v>35.0</v>
      </c>
      <c r="E71" s="9" t="s">
        <v>22</v>
      </c>
      <c r="F71" s="9" t="s">
        <v>15</v>
      </c>
      <c r="G71" s="9" t="s">
        <v>28</v>
      </c>
      <c r="H71" s="9">
        <v>3.0</v>
      </c>
      <c r="I71" s="9" t="s">
        <v>42</v>
      </c>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02"/>
      <c r="AJ71" s="102"/>
    </row>
    <row r="72" ht="22.5" customHeight="1">
      <c r="A72" s="8">
        <v>45731.0</v>
      </c>
      <c r="B72" s="9" t="s">
        <v>8</v>
      </c>
      <c r="C72" s="9" t="s">
        <v>21</v>
      </c>
      <c r="D72" s="9">
        <v>14.0</v>
      </c>
      <c r="E72" s="9" t="s">
        <v>10</v>
      </c>
      <c r="F72" s="9" t="s">
        <v>11</v>
      </c>
      <c r="G72" s="9" t="s">
        <v>28</v>
      </c>
      <c r="H72" s="9">
        <v>3.0</v>
      </c>
      <c r="I72" s="9" t="s">
        <v>48</v>
      </c>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02"/>
      <c r="AJ72" s="102"/>
    </row>
    <row r="73" ht="22.5" customHeight="1">
      <c r="A73" s="8">
        <v>45732.0</v>
      </c>
      <c r="B73" s="9" t="s">
        <v>8</v>
      </c>
      <c r="C73" s="9" t="s">
        <v>9</v>
      </c>
      <c r="D73" s="9">
        <v>14.0</v>
      </c>
      <c r="E73" s="9" t="s">
        <v>10</v>
      </c>
      <c r="F73" s="9" t="s">
        <v>11</v>
      </c>
      <c r="G73" s="9" t="s">
        <v>28</v>
      </c>
      <c r="H73" s="9">
        <v>3.0</v>
      </c>
      <c r="I73" s="9" t="s">
        <v>43</v>
      </c>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02"/>
      <c r="AJ73" s="102"/>
    </row>
    <row r="74" ht="22.5" customHeight="1">
      <c r="A74" s="8">
        <v>45733.0</v>
      </c>
      <c r="B74" s="9" t="s">
        <v>8</v>
      </c>
      <c r="C74" s="9" t="s">
        <v>24</v>
      </c>
      <c r="D74" s="9">
        <v>16.0</v>
      </c>
      <c r="E74" s="9" t="s">
        <v>22</v>
      </c>
      <c r="F74" s="9" t="s">
        <v>11</v>
      </c>
      <c r="G74" s="9" t="s">
        <v>28</v>
      </c>
      <c r="H74" s="9">
        <v>3.0</v>
      </c>
      <c r="I74" s="9" t="s">
        <v>44</v>
      </c>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02"/>
      <c r="AJ74" s="102"/>
    </row>
    <row r="75" ht="22.5" customHeight="1">
      <c r="A75" s="8">
        <v>45734.0</v>
      </c>
      <c r="B75" s="9" t="s">
        <v>23</v>
      </c>
      <c r="C75" s="9" t="s">
        <v>9</v>
      </c>
      <c r="D75" s="9">
        <v>19.0</v>
      </c>
      <c r="E75" s="9" t="s">
        <v>10</v>
      </c>
      <c r="F75" s="9" t="s">
        <v>15</v>
      </c>
      <c r="G75" s="9" t="s">
        <v>28</v>
      </c>
      <c r="H75" s="9">
        <v>3.0</v>
      </c>
      <c r="I75" s="9" t="s">
        <v>45</v>
      </c>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02"/>
      <c r="AJ75" s="102"/>
    </row>
    <row r="76" ht="22.5" customHeight="1">
      <c r="A76" s="8">
        <v>45735.0</v>
      </c>
      <c r="B76" s="9" t="s">
        <v>8</v>
      </c>
      <c r="C76" s="9" t="s">
        <v>9</v>
      </c>
      <c r="D76" s="9">
        <v>14.0</v>
      </c>
      <c r="E76" s="9" t="s">
        <v>10</v>
      </c>
      <c r="F76" s="9" t="s">
        <v>11</v>
      </c>
      <c r="G76" s="9" t="s">
        <v>28</v>
      </c>
      <c r="H76" s="9">
        <v>3.0</v>
      </c>
      <c r="I76" s="9" t="s">
        <v>46</v>
      </c>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02"/>
      <c r="AJ76" s="102"/>
    </row>
    <row r="77" ht="22.5" customHeight="1">
      <c r="A77" s="8">
        <v>45736.0</v>
      </c>
      <c r="B77" s="9" t="s">
        <v>23</v>
      </c>
      <c r="C77" s="9" t="s">
        <v>9</v>
      </c>
      <c r="D77" s="9">
        <v>18.0</v>
      </c>
      <c r="E77" s="9" t="s">
        <v>10</v>
      </c>
      <c r="F77" s="9" t="s">
        <v>15</v>
      </c>
      <c r="G77" s="9" t="s">
        <v>28</v>
      </c>
      <c r="H77" s="9">
        <v>3.0</v>
      </c>
      <c r="I77" s="9" t="s">
        <v>47</v>
      </c>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02"/>
      <c r="AJ77" s="102"/>
    </row>
    <row r="78" ht="22.5" customHeight="1">
      <c r="A78" s="8">
        <v>45737.0</v>
      </c>
      <c r="B78" s="9" t="s">
        <v>17</v>
      </c>
      <c r="C78" s="9" t="s">
        <v>9</v>
      </c>
      <c r="D78" s="9">
        <v>8.0</v>
      </c>
      <c r="E78" s="9" t="s">
        <v>10</v>
      </c>
      <c r="F78" s="9" t="s">
        <v>11</v>
      </c>
      <c r="G78" s="9" t="s">
        <v>28</v>
      </c>
      <c r="H78" s="9">
        <v>3.0</v>
      </c>
      <c r="I78" s="9" t="s">
        <v>42</v>
      </c>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02"/>
      <c r="AJ78" s="102"/>
    </row>
    <row r="79" ht="22.5" customHeight="1">
      <c r="A79" s="8">
        <v>45738.0</v>
      </c>
      <c r="B79" s="9" t="s">
        <v>17</v>
      </c>
      <c r="C79" s="9" t="s">
        <v>9</v>
      </c>
      <c r="D79" s="9">
        <v>9.0</v>
      </c>
      <c r="E79" s="9" t="s">
        <v>10</v>
      </c>
      <c r="F79" s="9" t="s">
        <v>11</v>
      </c>
      <c r="G79" s="9" t="s">
        <v>28</v>
      </c>
      <c r="H79" s="9">
        <v>3.0</v>
      </c>
      <c r="I79" s="9" t="s">
        <v>48</v>
      </c>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02"/>
      <c r="AJ79" s="102"/>
    </row>
    <row r="80" ht="22.5" customHeight="1">
      <c r="A80" s="8">
        <v>45739.0</v>
      </c>
      <c r="B80" s="9" t="s">
        <v>14</v>
      </c>
      <c r="C80" s="9" t="s">
        <v>9</v>
      </c>
      <c r="D80" s="9">
        <v>21.0</v>
      </c>
      <c r="E80" s="9" t="s">
        <v>10</v>
      </c>
      <c r="F80" s="9" t="s">
        <v>15</v>
      </c>
      <c r="G80" s="9" t="s">
        <v>28</v>
      </c>
      <c r="H80" s="9">
        <v>3.0</v>
      </c>
      <c r="I80" s="9" t="s">
        <v>43</v>
      </c>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02"/>
      <c r="AJ80" s="102"/>
    </row>
    <row r="81" ht="22.5" customHeight="1">
      <c r="A81" s="8">
        <v>45740.0</v>
      </c>
      <c r="B81" s="9" t="s">
        <v>14</v>
      </c>
      <c r="C81" s="9" t="s">
        <v>9</v>
      </c>
      <c r="D81" s="9">
        <v>21.0</v>
      </c>
      <c r="E81" s="9" t="s">
        <v>10</v>
      </c>
      <c r="F81" s="9" t="s">
        <v>11</v>
      </c>
      <c r="G81" s="9" t="s">
        <v>28</v>
      </c>
      <c r="H81" s="9">
        <v>3.0</v>
      </c>
      <c r="I81" s="9" t="s">
        <v>44</v>
      </c>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02"/>
      <c r="AJ81" s="102"/>
    </row>
    <row r="82" ht="22.5" customHeight="1">
      <c r="A82" s="8">
        <v>45741.0</v>
      </c>
      <c r="B82" s="9" t="s">
        <v>8</v>
      </c>
      <c r="C82" s="9" t="s">
        <v>24</v>
      </c>
      <c r="D82" s="9">
        <v>14.0</v>
      </c>
      <c r="E82" s="9" t="s">
        <v>10</v>
      </c>
      <c r="F82" s="9" t="s">
        <v>11</v>
      </c>
      <c r="G82" s="9" t="s">
        <v>28</v>
      </c>
      <c r="H82" s="9">
        <v>3.0</v>
      </c>
      <c r="I82" s="9" t="s">
        <v>45</v>
      </c>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02"/>
    </row>
    <row r="83" ht="22.5" customHeight="1">
      <c r="A83" s="8">
        <v>45742.0</v>
      </c>
      <c r="B83" s="9" t="s">
        <v>19</v>
      </c>
      <c r="C83" s="9" t="s">
        <v>9</v>
      </c>
      <c r="D83" s="9">
        <v>7.0</v>
      </c>
      <c r="E83" s="9" t="s">
        <v>10</v>
      </c>
      <c r="F83" s="9" t="s">
        <v>11</v>
      </c>
      <c r="G83" s="9" t="s">
        <v>28</v>
      </c>
      <c r="H83" s="9">
        <v>3.0</v>
      </c>
      <c r="I83" s="9" t="s">
        <v>46</v>
      </c>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row>
    <row r="84" ht="22.5" customHeight="1">
      <c r="A84" s="8">
        <v>45743.0</v>
      </c>
      <c r="B84" s="9" t="s">
        <v>8</v>
      </c>
      <c r="C84" s="9" t="s">
        <v>9</v>
      </c>
      <c r="D84" s="9">
        <v>14.0</v>
      </c>
      <c r="E84" s="9" t="s">
        <v>10</v>
      </c>
      <c r="F84" s="9" t="s">
        <v>15</v>
      </c>
      <c r="G84" s="9" t="s">
        <v>28</v>
      </c>
      <c r="H84" s="9">
        <v>3.0</v>
      </c>
      <c r="I84" s="9" t="s">
        <v>47</v>
      </c>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02"/>
    </row>
    <row r="85" ht="22.5" customHeight="1">
      <c r="A85" s="8">
        <v>45744.0</v>
      </c>
      <c r="B85" s="9" t="s">
        <v>8</v>
      </c>
      <c r="C85" s="9" t="s">
        <v>9</v>
      </c>
      <c r="D85" s="9">
        <v>15.0</v>
      </c>
      <c r="E85" s="9" t="s">
        <v>10</v>
      </c>
      <c r="F85" s="9" t="s">
        <v>15</v>
      </c>
      <c r="G85" s="9" t="s">
        <v>28</v>
      </c>
      <c r="H85" s="9">
        <v>3.0</v>
      </c>
      <c r="I85" s="9" t="s">
        <v>42</v>
      </c>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row>
    <row r="86" ht="22.5" customHeight="1">
      <c r="A86" s="8">
        <v>45745.0</v>
      </c>
      <c r="B86" s="9" t="s">
        <v>19</v>
      </c>
      <c r="C86" s="9" t="s">
        <v>9</v>
      </c>
      <c r="D86" s="9">
        <v>7.0</v>
      </c>
      <c r="E86" s="9" t="s">
        <v>10</v>
      </c>
      <c r="F86" s="9" t="s">
        <v>11</v>
      </c>
      <c r="G86" s="9" t="s">
        <v>28</v>
      </c>
      <c r="H86" s="9">
        <v>3.0</v>
      </c>
      <c r="I86" s="9" t="s">
        <v>48</v>
      </c>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02"/>
    </row>
    <row r="87" ht="22.5" customHeight="1">
      <c r="A87" s="8">
        <v>45746.0</v>
      </c>
      <c r="B87" s="9" t="s">
        <v>26</v>
      </c>
      <c r="C87" s="9" t="s">
        <v>9</v>
      </c>
      <c r="D87" s="9">
        <v>24.0</v>
      </c>
      <c r="E87" s="9" t="s">
        <v>10</v>
      </c>
      <c r="F87" s="9" t="s">
        <v>11</v>
      </c>
      <c r="G87" s="9" t="s">
        <v>28</v>
      </c>
      <c r="H87" s="9">
        <v>3.0</v>
      </c>
      <c r="I87" s="9" t="s">
        <v>43</v>
      </c>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02"/>
      <c r="AJ87" s="102"/>
    </row>
    <row r="88" ht="22.5" customHeight="1">
      <c r="A88" s="8">
        <v>45747.0</v>
      </c>
      <c r="B88" s="9" t="s">
        <v>8</v>
      </c>
      <c r="C88" s="9" t="s">
        <v>9</v>
      </c>
      <c r="D88" s="9">
        <v>14.0</v>
      </c>
      <c r="E88" s="9" t="s">
        <v>10</v>
      </c>
      <c r="F88" s="9" t="s">
        <v>11</v>
      </c>
      <c r="G88" s="9" t="s">
        <v>28</v>
      </c>
      <c r="H88" s="9">
        <v>3.0</v>
      </c>
      <c r="I88" s="9" t="s">
        <v>44</v>
      </c>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02"/>
      <c r="AJ88" s="102"/>
    </row>
    <row r="89" ht="22.5" customHeight="1">
      <c r="A89" s="8">
        <v>45748.0</v>
      </c>
      <c r="B89" s="9" t="s">
        <v>8</v>
      </c>
      <c r="C89" s="9" t="s">
        <v>9</v>
      </c>
      <c r="D89" s="9">
        <v>14.0</v>
      </c>
      <c r="E89" s="9" t="s">
        <v>10</v>
      </c>
      <c r="F89" s="9" t="s">
        <v>11</v>
      </c>
      <c r="G89" s="9" t="s">
        <v>29</v>
      </c>
      <c r="H89" s="9">
        <v>4.0</v>
      </c>
      <c r="I89" s="9" t="s">
        <v>45</v>
      </c>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02"/>
      <c r="AJ89" s="102"/>
    </row>
    <row r="90" ht="22.5" customHeight="1">
      <c r="A90" s="8">
        <v>45749.0</v>
      </c>
      <c r="B90" s="9" t="s">
        <v>17</v>
      </c>
      <c r="C90" s="9" t="s">
        <v>9</v>
      </c>
      <c r="D90" s="9">
        <v>10.0</v>
      </c>
      <c r="E90" s="9" t="s">
        <v>10</v>
      </c>
      <c r="F90" s="9" t="s">
        <v>11</v>
      </c>
      <c r="G90" s="9" t="s">
        <v>29</v>
      </c>
      <c r="H90" s="9">
        <v>4.0</v>
      </c>
      <c r="I90" s="9" t="s">
        <v>46</v>
      </c>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02"/>
      <c r="AJ90" s="102"/>
    </row>
    <row r="91" ht="22.5" customHeight="1">
      <c r="A91" s="8">
        <v>45750.0</v>
      </c>
      <c r="B91" s="9" t="s">
        <v>17</v>
      </c>
      <c r="C91" s="9" t="s">
        <v>24</v>
      </c>
      <c r="D91" s="9">
        <v>10.0</v>
      </c>
      <c r="E91" s="9" t="s">
        <v>10</v>
      </c>
      <c r="F91" s="9" t="s">
        <v>15</v>
      </c>
      <c r="G91" s="9" t="s">
        <v>29</v>
      </c>
      <c r="H91" s="9">
        <v>4.0</v>
      </c>
      <c r="I91" s="9" t="s">
        <v>47</v>
      </c>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02"/>
      <c r="AJ91" s="102"/>
    </row>
    <row r="92" ht="22.5" customHeight="1">
      <c r="A92" s="8">
        <v>45751.0</v>
      </c>
      <c r="B92" s="9" t="s">
        <v>8</v>
      </c>
      <c r="C92" s="9" t="s">
        <v>21</v>
      </c>
      <c r="D92" s="9">
        <v>14.0</v>
      </c>
      <c r="E92" s="9" t="s">
        <v>10</v>
      </c>
      <c r="F92" s="9" t="s">
        <v>15</v>
      </c>
      <c r="G92" s="9" t="s">
        <v>29</v>
      </c>
      <c r="H92" s="9">
        <v>4.0</v>
      </c>
      <c r="I92" s="9" t="s">
        <v>42</v>
      </c>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02"/>
      <c r="AJ92" s="102"/>
    </row>
    <row r="93" ht="22.5" customHeight="1">
      <c r="A93" s="8">
        <v>45752.0</v>
      </c>
      <c r="B93" s="9" t="s">
        <v>14</v>
      </c>
      <c r="C93" s="9" t="s">
        <v>9</v>
      </c>
      <c r="D93" s="9">
        <v>22.0</v>
      </c>
      <c r="E93" s="9" t="s">
        <v>10</v>
      </c>
      <c r="F93" s="9" t="s">
        <v>11</v>
      </c>
      <c r="G93" s="9" t="s">
        <v>29</v>
      </c>
      <c r="H93" s="9">
        <v>4.0</v>
      </c>
      <c r="I93" s="9" t="s">
        <v>48</v>
      </c>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02"/>
      <c r="AJ93" s="102"/>
    </row>
    <row r="94" ht="22.5" customHeight="1">
      <c r="A94" s="8">
        <v>45753.0</v>
      </c>
      <c r="B94" s="9" t="s">
        <v>14</v>
      </c>
      <c r="C94" s="9" t="s">
        <v>9</v>
      </c>
      <c r="D94" s="9">
        <v>20.0</v>
      </c>
      <c r="E94" s="9" t="s">
        <v>10</v>
      </c>
      <c r="F94" s="9" t="s">
        <v>11</v>
      </c>
      <c r="G94" s="9" t="s">
        <v>29</v>
      </c>
      <c r="H94" s="9">
        <v>4.0</v>
      </c>
      <c r="I94" s="9" t="s">
        <v>43</v>
      </c>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02"/>
      <c r="AJ94" s="102"/>
    </row>
    <row r="95" ht="22.5" customHeight="1">
      <c r="A95" s="8">
        <v>45754.0</v>
      </c>
      <c r="B95" s="9" t="s">
        <v>8</v>
      </c>
      <c r="C95" s="9" t="s">
        <v>9</v>
      </c>
      <c r="D95" s="9">
        <v>14.0</v>
      </c>
      <c r="E95" s="9" t="s">
        <v>10</v>
      </c>
      <c r="F95" s="9" t="s">
        <v>11</v>
      </c>
      <c r="G95" s="9" t="s">
        <v>29</v>
      </c>
      <c r="H95" s="9">
        <v>4.0</v>
      </c>
      <c r="I95" s="9" t="s">
        <v>44</v>
      </c>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02"/>
      <c r="AJ95" s="102"/>
    </row>
    <row r="96" ht="22.5" customHeight="1">
      <c r="A96" s="8">
        <v>45755.0</v>
      </c>
      <c r="B96" s="9" t="s">
        <v>19</v>
      </c>
      <c r="C96" s="9" t="s">
        <v>9</v>
      </c>
      <c r="D96" s="9">
        <v>7.0</v>
      </c>
      <c r="E96" s="9" t="s">
        <v>10</v>
      </c>
      <c r="F96" s="9" t="s">
        <v>11</v>
      </c>
      <c r="G96" s="9" t="s">
        <v>29</v>
      </c>
      <c r="H96" s="9">
        <v>4.0</v>
      </c>
      <c r="I96" s="9" t="s">
        <v>45</v>
      </c>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02"/>
      <c r="AJ96" s="102"/>
    </row>
    <row r="97" ht="22.5" customHeight="1">
      <c r="A97" s="8">
        <v>45756.0</v>
      </c>
      <c r="B97" s="9" t="s">
        <v>8</v>
      </c>
      <c r="C97" s="9" t="s">
        <v>9</v>
      </c>
      <c r="D97" s="9">
        <v>14.0</v>
      </c>
      <c r="E97" s="9" t="s">
        <v>10</v>
      </c>
      <c r="F97" s="9" t="s">
        <v>15</v>
      </c>
      <c r="G97" s="9" t="s">
        <v>29</v>
      </c>
      <c r="H97" s="9">
        <v>4.0</v>
      </c>
      <c r="I97" s="9" t="s">
        <v>46</v>
      </c>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02"/>
      <c r="AJ97" s="102"/>
    </row>
    <row r="98" ht="22.5" customHeight="1">
      <c r="A98" s="8">
        <v>45757.0</v>
      </c>
      <c r="B98" s="9" t="s">
        <v>8</v>
      </c>
      <c r="C98" s="9" t="s">
        <v>21</v>
      </c>
      <c r="D98" s="9">
        <v>15.0</v>
      </c>
      <c r="E98" s="9" t="s">
        <v>10</v>
      </c>
      <c r="F98" s="9" t="s">
        <v>15</v>
      </c>
      <c r="G98" s="9" t="s">
        <v>29</v>
      </c>
      <c r="H98" s="9">
        <v>4.0</v>
      </c>
      <c r="I98" s="9" t="s">
        <v>47</v>
      </c>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02"/>
      <c r="AJ98" s="102"/>
    </row>
    <row r="99" ht="22.5" customHeight="1">
      <c r="A99" s="8">
        <v>45758.0</v>
      </c>
      <c r="B99" s="9" t="s">
        <v>17</v>
      </c>
      <c r="C99" s="9" t="s">
        <v>24</v>
      </c>
      <c r="D99" s="9">
        <v>11.0</v>
      </c>
      <c r="E99" s="9" t="s">
        <v>10</v>
      </c>
      <c r="F99" s="9" t="s">
        <v>11</v>
      </c>
      <c r="G99" s="9" t="s">
        <v>29</v>
      </c>
      <c r="H99" s="9">
        <v>4.0</v>
      </c>
      <c r="I99" s="9" t="s">
        <v>42</v>
      </c>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02"/>
      <c r="AJ99" s="102"/>
    </row>
    <row r="100" ht="22.5" customHeight="1">
      <c r="A100" s="8">
        <v>45759.0</v>
      </c>
      <c r="B100" s="9" t="s">
        <v>19</v>
      </c>
      <c r="C100" s="9" t="s">
        <v>9</v>
      </c>
      <c r="D100" s="9">
        <v>7.0</v>
      </c>
      <c r="E100" s="9" t="s">
        <v>10</v>
      </c>
      <c r="F100" s="9" t="s">
        <v>11</v>
      </c>
      <c r="G100" s="9" t="s">
        <v>29</v>
      </c>
      <c r="H100" s="9">
        <v>4.0</v>
      </c>
      <c r="I100" s="9" t="s">
        <v>48</v>
      </c>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02"/>
      <c r="AJ100" s="102"/>
    </row>
    <row r="101" ht="22.5" customHeight="1">
      <c r="A101" s="8">
        <v>45760.0</v>
      </c>
      <c r="B101" s="9" t="s">
        <v>8</v>
      </c>
      <c r="C101" s="9" t="s">
        <v>9</v>
      </c>
      <c r="D101" s="9">
        <v>16.0</v>
      </c>
      <c r="E101" s="9" t="s">
        <v>22</v>
      </c>
      <c r="F101" s="9" t="s">
        <v>11</v>
      </c>
      <c r="G101" s="9" t="s">
        <v>29</v>
      </c>
      <c r="H101" s="9">
        <v>4.0</v>
      </c>
      <c r="I101" s="9" t="s">
        <v>43</v>
      </c>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02"/>
      <c r="AJ101" s="102"/>
    </row>
    <row r="102" ht="22.5" customHeight="1">
      <c r="A102" s="8">
        <v>45761.0</v>
      </c>
      <c r="B102" s="9" t="s">
        <v>17</v>
      </c>
      <c r="C102" s="9" t="s">
        <v>9</v>
      </c>
      <c r="D102" s="9">
        <v>12.0</v>
      </c>
      <c r="E102" s="9" t="s">
        <v>10</v>
      </c>
      <c r="F102" s="9" t="s">
        <v>11</v>
      </c>
      <c r="G102" s="9" t="s">
        <v>29</v>
      </c>
      <c r="H102" s="9">
        <v>4.0</v>
      </c>
      <c r="I102" s="9" t="s">
        <v>44</v>
      </c>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02"/>
      <c r="AJ102" s="102"/>
    </row>
    <row r="103" ht="22.5" customHeight="1">
      <c r="A103" s="8">
        <v>45762.0</v>
      </c>
      <c r="B103" s="9" t="s">
        <v>23</v>
      </c>
      <c r="C103" s="9" t="s">
        <v>9</v>
      </c>
      <c r="D103" s="9">
        <v>21.0</v>
      </c>
      <c r="E103" s="9" t="s">
        <v>10</v>
      </c>
      <c r="F103" s="9" t="s">
        <v>15</v>
      </c>
      <c r="G103" s="9" t="s">
        <v>29</v>
      </c>
      <c r="H103" s="9">
        <v>4.0</v>
      </c>
      <c r="I103" s="9" t="s">
        <v>45</v>
      </c>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02"/>
      <c r="AJ103" s="102"/>
    </row>
    <row r="104" ht="22.5" customHeight="1">
      <c r="A104" s="8">
        <v>45763.0</v>
      </c>
      <c r="B104" s="9" t="s">
        <v>8</v>
      </c>
      <c r="C104" s="9" t="s">
        <v>9</v>
      </c>
      <c r="D104" s="9">
        <v>14.0</v>
      </c>
      <c r="E104" s="9" t="s">
        <v>10</v>
      </c>
      <c r="F104" s="9" t="s">
        <v>11</v>
      </c>
      <c r="G104" s="9" t="s">
        <v>29</v>
      </c>
      <c r="H104" s="9">
        <v>4.0</v>
      </c>
      <c r="I104" s="9" t="s">
        <v>46</v>
      </c>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02"/>
      <c r="AJ104" s="102"/>
    </row>
    <row r="105" ht="22.5" customHeight="1">
      <c r="A105" s="8">
        <v>45764.0</v>
      </c>
      <c r="B105" s="9" t="s">
        <v>23</v>
      </c>
      <c r="C105" s="9" t="s">
        <v>9</v>
      </c>
      <c r="D105" s="9">
        <v>20.0</v>
      </c>
      <c r="E105" s="9" t="s">
        <v>10</v>
      </c>
      <c r="F105" s="9" t="s">
        <v>15</v>
      </c>
      <c r="G105" s="9" t="s">
        <v>29</v>
      </c>
      <c r="H105" s="9">
        <v>4.0</v>
      </c>
      <c r="I105" s="9" t="s">
        <v>47</v>
      </c>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02"/>
      <c r="AJ105" s="102"/>
    </row>
    <row r="106" ht="22.5" customHeight="1">
      <c r="A106" s="8">
        <v>45765.0</v>
      </c>
      <c r="B106" s="9" t="s">
        <v>17</v>
      </c>
      <c r="C106" s="9" t="s">
        <v>9</v>
      </c>
      <c r="D106" s="9">
        <v>9.0</v>
      </c>
      <c r="E106" s="9" t="s">
        <v>10</v>
      </c>
      <c r="F106" s="9" t="s">
        <v>11</v>
      </c>
      <c r="G106" s="9" t="s">
        <v>29</v>
      </c>
      <c r="H106" s="9">
        <v>4.0</v>
      </c>
      <c r="I106" s="9" t="s">
        <v>42</v>
      </c>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02"/>
      <c r="AJ106" s="102"/>
    </row>
    <row r="107" ht="22.5" customHeight="1">
      <c r="A107" s="8">
        <v>45766.0</v>
      </c>
      <c r="B107" s="9" t="s">
        <v>8</v>
      </c>
      <c r="C107" s="9" t="s">
        <v>9</v>
      </c>
      <c r="D107" s="9">
        <v>14.0</v>
      </c>
      <c r="E107" s="9" t="s">
        <v>10</v>
      </c>
      <c r="F107" s="9" t="s">
        <v>11</v>
      </c>
      <c r="G107" s="9" t="s">
        <v>29</v>
      </c>
      <c r="H107" s="9">
        <v>4.0</v>
      </c>
      <c r="I107" s="9" t="s">
        <v>48</v>
      </c>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02"/>
      <c r="AJ107" s="102"/>
    </row>
    <row r="108" ht="22.5" customHeight="1">
      <c r="A108" s="8">
        <v>45767.0</v>
      </c>
      <c r="B108" s="9" t="s">
        <v>14</v>
      </c>
      <c r="C108" s="9" t="s">
        <v>9</v>
      </c>
      <c r="D108" s="9">
        <v>23.0</v>
      </c>
      <c r="E108" s="9" t="s">
        <v>10</v>
      </c>
      <c r="F108" s="9" t="s">
        <v>15</v>
      </c>
      <c r="G108" s="9" t="s">
        <v>29</v>
      </c>
      <c r="H108" s="9">
        <v>4.0</v>
      </c>
      <c r="I108" s="9" t="s">
        <v>43</v>
      </c>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02"/>
      <c r="AJ108" s="102"/>
    </row>
    <row r="109" ht="22.5" customHeight="1">
      <c r="A109" s="8">
        <v>45768.0</v>
      </c>
      <c r="B109" s="9" t="s">
        <v>14</v>
      </c>
      <c r="C109" s="9" t="s">
        <v>24</v>
      </c>
      <c r="D109" s="9">
        <v>24.0</v>
      </c>
      <c r="E109" s="9" t="s">
        <v>10</v>
      </c>
      <c r="F109" s="9" t="s">
        <v>11</v>
      </c>
      <c r="G109" s="9" t="s">
        <v>29</v>
      </c>
      <c r="H109" s="9">
        <v>4.0</v>
      </c>
      <c r="I109" s="9" t="s">
        <v>44</v>
      </c>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02"/>
      <c r="AJ109" s="102"/>
    </row>
    <row r="110" ht="22.5" customHeight="1">
      <c r="A110" s="8">
        <v>45769.0</v>
      </c>
      <c r="B110" s="9" t="s">
        <v>8</v>
      </c>
      <c r="C110" s="9" t="s">
        <v>9</v>
      </c>
      <c r="D110" s="9">
        <v>14.0</v>
      </c>
      <c r="E110" s="9" t="s">
        <v>10</v>
      </c>
      <c r="F110" s="9" t="s">
        <v>11</v>
      </c>
      <c r="G110" s="9" t="s">
        <v>29</v>
      </c>
      <c r="H110" s="9">
        <v>4.0</v>
      </c>
      <c r="I110" s="9" t="s">
        <v>45</v>
      </c>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02"/>
      <c r="AJ110" s="102"/>
    </row>
    <row r="111" ht="22.5" customHeight="1">
      <c r="A111" s="8">
        <v>45770.0</v>
      </c>
      <c r="B111" s="9" t="s">
        <v>19</v>
      </c>
      <c r="C111" s="9" t="s">
        <v>9</v>
      </c>
      <c r="D111" s="9">
        <v>7.0</v>
      </c>
      <c r="E111" s="9" t="s">
        <v>10</v>
      </c>
      <c r="F111" s="9" t="s">
        <v>11</v>
      </c>
      <c r="G111" s="9" t="s">
        <v>29</v>
      </c>
      <c r="H111" s="9">
        <v>4.0</v>
      </c>
      <c r="I111" s="9" t="s">
        <v>46</v>
      </c>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02"/>
      <c r="AJ111" s="102"/>
    </row>
    <row r="112" ht="22.5" customHeight="1">
      <c r="A112" s="8">
        <v>45771.0</v>
      </c>
      <c r="B112" s="9" t="s">
        <v>8</v>
      </c>
      <c r="C112" s="9" t="s">
        <v>9</v>
      </c>
      <c r="D112" s="9">
        <v>14.0</v>
      </c>
      <c r="E112" s="9" t="s">
        <v>10</v>
      </c>
      <c r="F112" s="9" t="s">
        <v>15</v>
      </c>
      <c r="G112" s="9" t="s">
        <v>29</v>
      </c>
      <c r="H112" s="9">
        <v>4.0</v>
      </c>
      <c r="I112" s="9" t="s">
        <v>47</v>
      </c>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02"/>
      <c r="AJ112" s="102"/>
    </row>
    <row r="113" ht="22.5" customHeight="1">
      <c r="A113" s="8">
        <v>45772.0</v>
      </c>
      <c r="B113" s="9" t="s">
        <v>26</v>
      </c>
      <c r="C113" s="9" t="s">
        <v>21</v>
      </c>
      <c r="D113" s="9">
        <v>26.0</v>
      </c>
      <c r="E113" s="9" t="s">
        <v>10</v>
      </c>
      <c r="F113" s="9" t="s">
        <v>15</v>
      </c>
      <c r="G113" s="9" t="s">
        <v>29</v>
      </c>
      <c r="H113" s="9">
        <v>4.0</v>
      </c>
      <c r="I113" s="9" t="s">
        <v>42</v>
      </c>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02"/>
      <c r="AJ113" s="102"/>
    </row>
    <row r="114" ht="22.5" customHeight="1">
      <c r="A114" s="8">
        <v>45773.0</v>
      </c>
      <c r="B114" s="9" t="s">
        <v>19</v>
      </c>
      <c r="C114" s="9" t="s">
        <v>9</v>
      </c>
      <c r="D114" s="9">
        <v>7.0</v>
      </c>
      <c r="E114" s="9" t="s">
        <v>10</v>
      </c>
      <c r="F114" s="9" t="s">
        <v>11</v>
      </c>
      <c r="G114" s="9" t="s">
        <v>29</v>
      </c>
      <c r="H114" s="9">
        <v>4.0</v>
      </c>
      <c r="I114" s="9" t="s">
        <v>48</v>
      </c>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02"/>
      <c r="AJ114" s="102"/>
    </row>
    <row r="115" ht="22.5" customHeight="1">
      <c r="A115" s="8">
        <v>45774.0</v>
      </c>
      <c r="B115" s="9" t="s">
        <v>8</v>
      </c>
      <c r="C115" s="9" t="s">
        <v>9</v>
      </c>
      <c r="D115" s="9">
        <v>14.0</v>
      </c>
      <c r="E115" s="9" t="s">
        <v>10</v>
      </c>
      <c r="F115" s="9" t="s">
        <v>11</v>
      </c>
      <c r="G115" s="9" t="s">
        <v>29</v>
      </c>
      <c r="H115" s="9">
        <v>4.0</v>
      </c>
      <c r="I115" s="9" t="s">
        <v>43</v>
      </c>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02"/>
      <c r="AJ115" s="102"/>
    </row>
    <row r="116" ht="22.5" customHeight="1">
      <c r="A116" s="8">
        <v>45775.0</v>
      </c>
      <c r="B116" s="9" t="s">
        <v>17</v>
      </c>
      <c r="C116" s="9" t="s">
        <v>9</v>
      </c>
      <c r="D116" s="9">
        <v>11.0</v>
      </c>
      <c r="E116" s="9" t="s">
        <v>10</v>
      </c>
      <c r="F116" s="9" t="s">
        <v>11</v>
      </c>
      <c r="G116" s="9" t="s">
        <v>29</v>
      </c>
      <c r="H116" s="9">
        <v>4.0</v>
      </c>
      <c r="I116" s="9" t="s">
        <v>44</v>
      </c>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row>
    <row r="117" ht="22.5" customHeight="1">
      <c r="A117" s="8">
        <v>45776.0</v>
      </c>
      <c r="B117" s="9" t="s">
        <v>17</v>
      </c>
      <c r="C117" s="9" t="s">
        <v>9</v>
      </c>
      <c r="D117" s="9">
        <v>10.0</v>
      </c>
      <c r="E117" s="9" t="s">
        <v>10</v>
      </c>
      <c r="F117" s="9" t="s">
        <v>11</v>
      </c>
      <c r="G117" s="9" t="s">
        <v>29</v>
      </c>
      <c r="H117" s="9">
        <v>4.0</v>
      </c>
      <c r="I117" s="9" t="s">
        <v>45</v>
      </c>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row>
    <row r="118" ht="22.5" customHeight="1">
      <c r="A118" s="8">
        <v>45777.0</v>
      </c>
      <c r="B118" s="9" t="s">
        <v>8</v>
      </c>
      <c r="C118" s="9" t="s">
        <v>24</v>
      </c>
      <c r="D118" s="9">
        <v>14.0</v>
      </c>
      <c r="E118" s="9" t="s">
        <v>10</v>
      </c>
      <c r="F118" s="9" t="s">
        <v>15</v>
      </c>
      <c r="G118" s="9" t="s">
        <v>29</v>
      </c>
      <c r="H118" s="9">
        <v>4.0</v>
      </c>
      <c r="I118" s="9" t="s">
        <v>46</v>
      </c>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row>
    <row r="119" ht="22.5" customHeight="1">
      <c r="A119" s="8">
        <v>45778.0</v>
      </c>
      <c r="B119" s="9" t="s">
        <v>26</v>
      </c>
      <c r="C119" s="9" t="s">
        <v>9</v>
      </c>
      <c r="D119" s="9">
        <v>26.0</v>
      </c>
      <c r="E119" s="9" t="s">
        <v>22</v>
      </c>
      <c r="F119" s="9" t="s">
        <v>15</v>
      </c>
      <c r="G119" s="9" t="s">
        <v>30</v>
      </c>
      <c r="H119" s="9">
        <v>5.0</v>
      </c>
      <c r="I119" s="9" t="s">
        <v>47</v>
      </c>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row>
    <row r="120" ht="22.5" customHeight="1">
      <c r="A120" s="8">
        <v>45779.0</v>
      </c>
      <c r="B120" s="9" t="s">
        <v>14</v>
      </c>
      <c r="C120" s="9" t="s">
        <v>9</v>
      </c>
      <c r="D120" s="9">
        <v>21.0</v>
      </c>
      <c r="E120" s="9" t="s">
        <v>10</v>
      </c>
      <c r="F120" s="9" t="s">
        <v>11</v>
      </c>
      <c r="G120" s="9" t="s">
        <v>30</v>
      </c>
      <c r="H120" s="9">
        <v>5.0</v>
      </c>
      <c r="I120" s="9" t="s">
        <v>42</v>
      </c>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row>
    <row r="121" ht="22.5" customHeight="1">
      <c r="A121" s="8">
        <v>45780.0</v>
      </c>
      <c r="B121" s="9" t="s">
        <v>8</v>
      </c>
      <c r="C121" s="9" t="s">
        <v>9</v>
      </c>
      <c r="D121" s="9">
        <v>14.0</v>
      </c>
      <c r="E121" s="9" t="s">
        <v>10</v>
      </c>
      <c r="F121" s="9" t="s">
        <v>11</v>
      </c>
      <c r="G121" s="9" t="s">
        <v>30</v>
      </c>
      <c r="H121" s="9">
        <v>5.0</v>
      </c>
      <c r="I121" s="9" t="s">
        <v>48</v>
      </c>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row>
    <row r="122" ht="22.5" customHeight="1">
      <c r="A122" s="8">
        <v>45781.0</v>
      </c>
      <c r="B122" s="9" t="s">
        <v>8</v>
      </c>
      <c r="C122" s="9" t="s">
        <v>9</v>
      </c>
      <c r="D122" s="9">
        <v>14.0</v>
      </c>
      <c r="E122" s="9" t="s">
        <v>10</v>
      </c>
      <c r="F122" s="9" t="s">
        <v>11</v>
      </c>
      <c r="G122" s="9" t="s">
        <v>30</v>
      </c>
      <c r="H122" s="9">
        <v>5.0</v>
      </c>
      <c r="I122" s="9" t="s">
        <v>43</v>
      </c>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row>
    <row r="123" ht="22.5" customHeight="1">
      <c r="A123" s="8">
        <v>45782.0</v>
      </c>
      <c r="B123" s="9" t="s">
        <v>14</v>
      </c>
      <c r="C123" s="9" t="s">
        <v>9</v>
      </c>
      <c r="D123" s="9">
        <v>21.0</v>
      </c>
      <c r="E123" s="9" t="s">
        <v>10</v>
      </c>
      <c r="F123" s="9" t="s">
        <v>11</v>
      </c>
      <c r="G123" s="9" t="s">
        <v>30</v>
      </c>
      <c r="H123" s="9">
        <v>5.0</v>
      </c>
      <c r="I123" s="9" t="s">
        <v>44</v>
      </c>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row>
    <row r="124" ht="22.5" customHeight="1">
      <c r="A124" s="8">
        <v>45783.0</v>
      </c>
      <c r="B124" s="9" t="s">
        <v>19</v>
      </c>
      <c r="C124" s="9" t="s">
        <v>9</v>
      </c>
      <c r="D124" s="9">
        <v>7.0</v>
      </c>
      <c r="E124" s="9" t="s">
        <v>10</v>
      </c>
      <c r="F124" s="9" t="s">
        <v>15</v>
      </c>
      <c r="G124" s="9" t="s">
        <v>30</v>
      </c>
      <c r="H124" s="9">
        <v>5.0</v>
      </c>
      <c r="I124" s="9" t="s">
        <v>45</v>
      </c>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02"/>
      <c r="AJ124" s="102"/>
    </row>
    <row r="125" ht="22.5" customHeight="1">
      <c r="A125" s="8">
        <v>45784.0</v>
      </c>
      <c r="B125" s="9" t="s">
        <v>17</v>
      </c>
      <c r="C125" s="9" t="s">
        <v>9</v>
      </c>
      <c r="D125" s="9">
        <v>12.0</v>
      </c>
      <c r="E125" s="9" t="s">
        <v>10</v>
      </c>
      <c r="F125" s="9" t="s">
        <v>11</v>
      </c>
      <c r="G125" s="9" t="s">
        <v>30</v>
      </c>
      <c r="H125" s="9">
        <v>5.0</v>
      </c>
      <c r="I125" s="9" t="s">
        <v>46</v>
      </c>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02"/>
      <c r="AJ125" s="102"/>
    </row>
    <row r="126" ht="22.5" customHeight="1">
      <c r="A126" s="8">
        <v>45785.0</v>
      </c>
      <c r="B126" s="9" t="s">
        <v>17</v>
      </c>
      <c r="C126" s="9" t="s">
        <v>24</v>
      </c>
      <c r="D126" s="9">
        <v>10.0</v>
      </c>
      <c r="E126" s="9" t="s">
        <v>10</v>
      </c>
      <c r="F126" s="9" t="s">
        <v>15</v>
      </c>
      <c r="G126" s="9" t="s">
        <v>30</v>
      </c>
      <c r="H126" s="9">
        <v>5.0</v>
      </c>
      <c r="I126" s="9" t="s">
        <v>47</v>
      </c>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02"/>
      <c r="AJ126" s="102"/>
    </row>
    <row r="127" ht="22.5" customHeight="1">
      <c r="A127" s="8">
        <v>45786.0</v>
      </c>
      <c r="B127" s="9" t="s">
        <v>8</v>
      </c>
      <c r="C127" s="9" t="s">
        <v>21</v>
      </c>
      <c r="D127" s="9">
        <v>15.0</v>
      </c>
      <c r="E127" s="9" t="s">
        <v>10</v>
      </c>
      <c r="F127" s="9" t="s">
        <v>11</v>
      </c>
      <c r="G127" s="9" t="s">
        <v>30</v>
      </c>
      <c r="H127" s="9">
        <v>5.0</v>
      </c>
      <c r="I127" s="9" t="s">
        <v>42</v>
      </c>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02"/>
      <c r="AJ127" s="102"/>
    </row>
    <row r="128" ht="22.5" customHeight="1">
      <c r="A128" s="8">
        <v>45787.0</v>
      </c>
      <c r="B128" s="9" t="s">
        <v>8</v>
      </c>
      <c r="C128" s="9" t="s">
        <v>21</v>
      </c>
      <c r="D128" s="9">
        <v>14.0</v>
      </c>
      <c r="E128" s="9" t="s">
        <v>10</v>
      </c>
      <c r="F128" s="9" t="s">
        <v>11</v>
      </c>
      <c r="G128" s="9" t="s">
        <v>30</v>
      </c>
      <c r="H128" s="9">
        <v>5.0</v>
      </c>
      <c r="I128" s="9" t="s">
        <v>48</v>
      </c>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02"/>
      <c r="AJ128" s="102"/>
    </row>
    <row r="129" ht="22.5" customHeight="1">
      <c r="A129" s="8">
        <v>45788.0</v>
      </c>
      <c r="B129" s="9" t="s">
        <v>25</v>
      </c>
      <c r="C129" s="9" t="s">
        <v>9</v>
      </c>
      <c r="D129" s="9">
        <v>28.0</v>
      </c>
      <c r="E129" s="9" t="s">
        <v>10</v>
      </c>
      <c r="F129" s="9" t="s">
        <v>15</v>
      </c>
      <c r="G129" s="9" t="s">
        <v>30</v>
      </c>
      <c r="H129" s="9">
        <v>5.0</v>
      </c>
      <c r="I129" s="9" t="s">
        <v>43</v>
      </c>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02"/>
      <c r="AJ129" s="102"/>
    </row>
    <row r="130" ht="22.5" customHeight="1">
      <c r="A130" s="8">
        <v>45789.0</v>
      </c>
      <c r="B130" s="9" t="s">
        <v>19</v>
      </c>
      <c r="C130" s="9" t="s">
        <v>9</v>
      </c>
      <c r="D130" s="9">
        <v>7.0</v>
      </c>
      <c r="E130" s="9" t="s">
        <v>10</v>
      </c>
      <c r="F130" s="9" t="s">
        <v>11</v>
      </c>
      <c r="G130" s="9" t="s">
        <v>30</v>
      </c>
      <c r="H130" s="9">
        <v>5.0</v>
      </c>
      <c r="I130" s="9" t="s">
        <v>44</v>
      </c>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02"/>
      <c r="AJ130" s="102"/>
    </row>
    <row r="131" ht="22.5" customHeight="1">
      <c r="A131" s="8">
        <v>45790.0</v>
      </c>
      <c r="B131" s="9" t="s">
        <v>8</v>
      </c>
      <c r="C131" s="9" t="s">
        <v>9</v>
      </c>
      <c r="D131" s="9">
        <v>14.0</v>
      </c>
      <c r="E131" s="9" t="s">
        <v>10</v>
      </c>
      <c r="F131" s="9" t="s">
        <v>11</v>
      </c>
      <c r="G131" s="9" t="s">
        <v>30</v>
      </c>
      <c r="H131" s="9">
        <v>5.0</v>
      </c>
      <c r="I131" s="9" t="s">
        <v>45</v>
      </c>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02"/>
      <c r="AJ131" s="102"/>
    </row>
    <row r="132" ht="22.5" customHeight="1">
      <c r="A132" s="8">
        <v>45791.0</v>
      </c>
      <c r="B132" s="9" t="s">
        <v>23</v>
      </c>
      <c r="C132" s="9" t="s">
        <v>9</v>
      </c>
      <c r="D132" s="9">
        <v>18.0</v>
      </c>
      <c r="E132" s="9" t="s">
        <v>10</v>
      </c>
      <c r="F132" s="9" t="s">
        <v>11</v>
      </c>
      <c r="G132" s="9" t="s">
        <v>30</v>
      </c>
      <c r="H132" s="9">
        <v>5.0</v>
      </c>
      <c r="I132" s="9" t="s">
        <v>46</v>
      </c>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02"/>
      <c r="AJ132" s="102"/>
    </row>
    <row r="133" ht="22.5" customHeight="1">
      <c r="A133" s="8">
        <v>45792.0</v>
      </c>
      <c r="B133" s="9" t="s">
        <v>8</v>
      </c>
      <c r="C133" s="9" t="s">
        <v>9</v>
      </c>
      <c r="D133" s="9">
        <v>14.0</v>
      </c>
      <c r="E133" s="9" t="s">
        <v>10</v>
      </c>
      <c r="F133" s="9" t="s">
        <v>15</v>
      </c>
      <c r="G133" s="9" t="s">
        <v>30</v>
      </c>
      <c r="H133" s="9">
        <v>5.0</v>
      </c>
      <c r="I133" s="9" t="s">
        <v>47</v>
      </c>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02"/>
      <c r="AJ133" s="102"/>
    </row>
    <row r="134" ht="22.5" customHeight="1">
      <c r="A134" s="8">
        <v>45793.0</v>
      </c>
      <c r="B134" s="9" t="s">
        <v>17</v>
      </c>
      <c r="C134" s="9" t="s">
        <v>24</v>
      </c>
      <c r="D134" s="9">
        <v>9.0</v>
      </c>
      <c r="E134" s="9" t="s">
        <v>10</v>
      </c>
      <c r="F134" s="9" t="s">
        <v>15</v>
      </c>
      <c r="G134" s="9" t="s">
        <v>30</v>
      </c>
      <c r="H134" s="9">
        <v>5.0</v>
      </c>
      <c r="I134" s="9" t="s">
        <v>42</v>
      </c>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02"/>
      <c r="AJ134" s="102"/>
    </row>
    <row r="135" ht="22.5" customHeight="1">
      <c r="A135" s="8">
        <v>45794.0</v>
      </c>
      <c r="B135" s="9" t="s">
        <v>23</v>
      </c>
      <c r="C135" s="9" t="s">
        <v>9</v>
      </c>
      <c r="D135" s="9">
        <v>19.0</v>
      </c>
      <c r="E135" s="9" t="s">
        <v>10</v>
      </c>
      <c r="F135" s="9" t="s">
        <v>11</v>
      </c>
      <c r="G135" s="9" t="s">
        <v>30</v>
      </c>
      <c r="H135" s="9">
        <v>5.0</v>
      </c>
      <c r="I135" s="9" t="s">
        <v>48</v>
      </c>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02"/>
      <c r="AJ135" s="102"/>
    </row>
    <row r="136" ht="22.5" customHeight="1">
      <c r="A136" s="8">
        <v>45795.0</v>
      </c>
      <c r="B136" s="9" t="s">
        <v>8</v>
      </c>
      <c r="C136" s="9" t="s">
        <v>9</v>
      </c>
      <c r="D136" s="9">
        <v>14.0</v>
      </c>
      <c r="E136" s="9" t="s">
        <v>10</v>
      </c>
      <c r="F136" s="9" t="s">
        <v>11</v>
      </c>
      <c r="G136" s="9" t="s">
        <v>30</v>
      </c>
      <c r="H136" s="9">
        <v>5.0</v>
      </c>
      <c r="I136" s="9" t="s">
        <v>43</v>
      </c>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02"/>
      <c r="AJ136" s="102"/>
    </row>
    <row r="137" ht="22.5" customHeight="1">
      <c r="A137" s="8">
        <v>45796.0</v>
      </c>
      <c r="B137" s="9" t="s">
        <v>17</v>
      </c>
      <c r="C137" s="9" t="s">
        <v>9</v>
      </c>
      <c r="D137" s="9">
        <v>9.0</v>
      </c>
      <c r="E137" s="9" t="s">
        <v>10</v>
      </c>
      <c r="F137" s="9" t="s">
        <v>11</v>
      </c>
      <c r="G137" s="9" t="s">
        <v>30</v>
      </c>
      <c r="H137" s="9">
        <v>5.0</v>
      </c>
      <c r="I137" s="9" t="s">
        <v>44</v>
      </c>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02"/>
      <c r="AJ137" s="102"/>
    </row>
    <row r="138" ht="22.5" customHeight="1">
      <c r="A138" s="8">
        <v>45797.0</v>
      </c>
      <c r="B138" s="9" t="s">
        <v>14</v>
      </c>
      <c r="C138" s="9" t="s">
        <v>9</v>
      </c>
      <c r="D138" s="9">
        <v>22.0</v>
      </c>
      <c r="E138" s="9" t="s">
        <v>10</v>
      </c>
      <c r="F138" s="9" t="s">
        <v>11</v>
      </c>
      <c r="G138" s="9" t="s">
        <v>30</v>
      </c>
      <c r="H138" s="9">
        <v>5.0</v>
      </c>
      <c r="I138" s="9" t="s">
        <v>45</v>
      </c>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02"/>
      <c r="AJ138" s="102"/>
    </row>
    <row r="139" ht="22.5" customHeight="1">
      <c r="A139" s="8">
        <v>45798.0</v>
      </c>
      <c r="B139" s="9" t="s">
        <v>19</v>
      </c>
      <c r="C139" s="9" t="s">
        <v>9</v>
      </c>
      <c r="D139" s="9">
        <v>7.0</v>
      </c>
      <c r="E139" s="9" t="s">
        <v>10</v>
      </c>
      <c r="F139" s="9" t="s">
        <v>15</v>
      </c>
      <c r="G139" s="9" t="s">
        <v>30</v>
      </c>
      <c r="H139" s="9">
        <v>5.0</v>
      </c>
      <c r="I139" s="9" t="s">
        <v>46</v>
      </c>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02"/>
      <c r="AJ139" s="102"/>
    </row>
    <row r="140" ht="22.5" customHeight="1">
      <c r="A140" s="8">
        <v>45799.0</v>
      </c>
      <c r="B140" s="9" t="s">
        <v>14</v>
      </c>
      <c r="C140" s="9" t="s">
        <v>9</v>
      </c>
      <c r="D140" s="9">
        <v>23.0</v>
      </c>
      <c r="E140" s="9" t="s">
        <v>10</v>
      </c>
      <c r="F140" s="9" t="s">
        <v>15</v>
      </c>
      <c r="G140" s="9" t="s">
        <v>30</v>
      </c>
      <c r="H140" s="9">
        <v>5.0</v>
      </c>
      <c r="I140" s="9" t="s">
        <v>47</v>
      </c>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02"/>
      <c r="AJ140" s="102"/>
    </row>
    <row r="141" ht="22.5" customHeight="1">
      <c r="A141" s="8">
        <v>45800.0</v>
      </c>
      <c r="B141" s="9" t="s">
        <v>8</v>
      </c>
      <c r="C141" s="9" t="s">
        <v>9</v>
      </c>
      <c r="D141" s="9">
        <v>14.0</v>
      </c>
      <c r="E141" s="9" t="s">
        <v>10</v>
      </c>
      <c r="F141" s="9" t="s">
        <v>11</v>
      </c>
      <c r="G141" s="9" t="s">
        <v>30</v>
      </c>
      <c r="H141" s="9">
        <v>5.0</v>
      </c>
      <c r="I141" s="9" t="s">
        <v>42</v>
      </c>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02"/>
      <c r="AJ141" s="102"/>
    </row>
    <row r="142" ht="22.5" customHeight="1">
      <c r="A142" s="8">
        <v>45801.0</v>
      </c>
      <c r="B142" s="9" t="s">
        <v>8</v>
      </c>
      <c r="C142" s="9" t="s">
        <v>9</v>
      </c>
      <c r="D142" s="9">
        <v>14.0</v>
      </c>
      <c r="E142" s="9" t="s">
        <v>10</v>
      </c>
      <c r="F142" s="9" t="s">
        <v>11</v>
      </c>
      <c r="G142" s="9" t="s">
        <v>30</v>
      </c>
      <c r="H142" s="9">
        <v>5.0</v>
      </c>
      <c r="I142" s="9" t="s">
        <v>48</v>
      </c>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02"/>
      <c r="AJ142" s="102"/>
    </row>
    <row r="143" ht="22.5" customHeight="1">
      <c r="A143" s="8">
        <v>45802.0</v>
      </c>
      <c r="B143" s="9" t="s">
        <v>26</v>
      </c>
      <c r="C143" s="9" t="s">
        <v>9</v>
      </c>
      <c r="D143" s="9">
        <v>25.0</v>
      </c>
      <c r="E143" s="9" t="s">
        <v>22</v>
      </c>
      <c r="F143" s="9" t="s">
        <v>15</v>
      </c>
      <c r="G143" s="9" t="s">
        <v>30</v>
      </c>
      <c r="H143" s="9">
        <v>5.0</v>
      </c>
      <c r="I143" s="9" t="s">
        <v>43</v>
      </c>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02"/>
      <c r="AJ143" s="102"/>
    </row>
    <row r="144" ht="22.5" customHeight="1">
      <c r="A144" s="8">
        <v>45803.0</v>
      </c>
      <c r="B144" s="9" t="s">
        <v>8</v>
      </c>
      <c r="C144" s="9" t="s">
        <v>24</v>
      </c>
      <c r="D144" s="9">
        <v>15.0</v>
      </c>
      <c r="E144" s="9" t="s">
        <v>10</v>
      </c>
      <c r="F144" s="9" t="s">
        <v>11</v>
      </c>
      <c r="G144" s="9" t="s">
        <v>30</v>
      </c>
      <c r="H144" s="9">
        <v>5.0</v>
      </c>
      <c r="I144" s="9" t="s">
        <v>44</v>
      </c>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02"/>
      <c r="AJ144" s="102"/>
    </row>
    <row r="145" ht="22.5" customHeight="1">
      <c r="A145" s="8">
        <v>45804.0</v>
      </c>
      <c r="B145" s="9" t="s">
        <v>17</v>
      </c>
      <c r="C145" s="9" t="s">
        <v>9</v>
      </c>
      <c r="D145" s="9">
        <v>10.0</v>
      </c>
      <c r="E145" s="9" t="s">
        <v>10</v>
      </c>
      <c r="F145" s="9" t="s">
        <v>11</v>
      </c>
      <c r="G145" s="9" t="s">
        <v>30</v>
      </c>
      <c r="H145" s="9">
        <v>5.0</v>
      </c>
      <c r="I145" s="9" t="s">
        <v>45</v>
      </c>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02"/>
      <c r="AJ145" s="102"/>
    </row>
    <row r="146" ht="22.5" customHeight="1">
      <c r="A146" s="8">
        <v>45805.0</v>
      </c>
      <c r="B146" s="9" t="s">
        <v>8</v>
      </c>
      <c r="C146" s="9" t="s">
        <v>9</v>
      </c>
      <c r="D146" s="9">
        <v>14.0</v>
      </c>
      <c r="E146" s="9" t="s">
        <v>10</v>
      </c>
      <c r="F146" s="9" t="s">
        <v>11</v>
      </c>
      <c r="G146" s="9" t="s">
        <v>30</v>
      </c>
      <c r="H146" s="9">
        <v>5.0</v>
      </c>
      <c r="I146" s="9" t="s">
        <v>46</v>
      </c>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02"/>
      <c r="AJ146" s="102"/>
    </row>
    <row r="147" ht="22.5" customHeight="1">
      <c r="A147" s="8">
        <v>45806.0</v>
      </c>
      <c r="B147" s="9" t="s">
        <v>19</v>
      </c>
      <c r="C147" s="9" t="s">
        <v>9</v>
      </c>
      <c r="D147" s="9">
        <v>7.0</v>
      </c>
      <c r="E147" s="9" t="s">
        <v>10</v>
      </c>
      <c r="F147" s="9" t="s">
        <v>15</v>
      </c>
      <c r="G147" s="9" t="s">
        <v>30</v>
      </c>
      <c r="H147" s="9">
        <v>5.0</v>
      </c>
      <c r="I147" s="9" t="s">
        <v>47</v>
      </c>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02"/>
      <c r="AJ147" s="102"/>
    </row>
    <row r="148" ht="22.5" customHeight="1">
      <c r="A148" s="8">
        <v>45807.0</v>
      </c>
      <c r="B148" s="9" t="s">
        <v>8</v>
      </c>
      <c r="C148" s="9" t="s">
        <v>21</v>
      </c>
      <c r="D148" s="9">
        <v>16.0</v>
      </c>
      <c r="E148" s="9" t="s">
        <v>10</v>
      </c>
      <c r="F148" s="9" t="s">
        <v>15</v>
      </c>
      <c r="G148" s="9" t="s">
        <v>30</v>
      </c>
      <c r="H148" s="9">
        <v>5.0</v>
      </c>
      <c r="I148" s="9" t="s">
        <v>42</v>
      </c>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02"/>
      <c r="AJ148" s="102"/>
    </row>
    <row r="149" ht="22.5" customHeight="1">
      <c r="A149" s="8">
        <v>45808.0</v>
      </c>
      <c r="B149" s="9" t="s">
        <v>17</v>
      </c>
      <c r="C149" s="9" t="s">
        <v>9</v>
      </c>
      <c r="D149" s="9">
        <v>10.0</v>
      </c>
      <c r="E149" s="9" t="s">
        <v>10</v>
      </c>
      <c r="F149" s="9" t="s">
        <v>11</v>
      </c>
      <c r="G149" s="9" t="s">
        <v>30</v>
      </c>
      <c r="H149" s="9">
        <v>5.0</v>
      </c>
      <c r="I149" s="9" t="s">
        <v>48</v>
      </c>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02"/>
      <c r="AJ149" s="102"/>
    </row>
    <row r="150" ht="22.5" customHeight="1">
      <c r="A150" s="8">
        <v>45809.0</v>
      </c>
      <c r="B150" s="9" t="s">
        <v>19</v>
      </c>
      <c r="C150" s="9" t="s">
        <v>9</v>
      </c>
      <c r="D150" s="9">
        <v>7.0</v>
      </c>
      <c r="E150" s="9" t="s">
        <v>10</v>
      </c>
      <c r="F150" s="9" t="s">
        <v>11</v>
      </c>
      <c r="G150" s="9" t="s">
        <v>31</v>
      </c>
      <c r="H150" s="9">
        <v>6.0</v>
      </c>
      <c r="I150" s="9" t="s">
        <v>43</v>
      </c>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02"/>
      <c r="AJ150" s="102"/>
    </row>
    <row r="151" ht="22.5" customHeight="1">
      <c r="A151" s="8">
        <v>45811.0</v>
      </c>
      <c r="B151" s="9" t="s">
        <v>8</v>
      </c>
      <c r="C151" s="9" t="s">
        <v>9</v>
      </c>
      <c r="D151" s="9">
        <v>21.0</v>
      </c>
      <c r="E151" s="9" t="s">
        <v>10</v>
      </c>
      <c r="F151" s="9" t="s">
        <v>11</v>
      </c>
      <c r="G151" s="9" t="s">
        <v>31</v>
      </c>
      <c r="H151" s="9">
        <v>6.0</v>
      </c>
      <c r="I151" s="9" t="s">
        <v>45</v>
      </c>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02"/>
      <c r="AJ151" s="102"/>
    </row>
    <row r="152" ht="22.5" customHeight="1">
      <c r="A152" s="8">
        <v>45812.0</v>
      </c>
      <c r="B152" s="9" t="s">
        <v>17</v>
      </c>
      <c r="C152" s="9" t="s">
        <v>9</v>
      </c>
      <c r="D152" s="9">
        <v>14.0</v>
      </c>
      <c r="E152" s="9" t="s">
        <v>10</v>
      </c>
      <c r="F152" s="9" t="s">
        <v>15</v>
      </c>
      <c r="G152" s="9" t="s">
        <v>31</v>
      </c>
      <c r="H152" s="9">
        <v>6.0</v>
      </c>
      <c r="I152" s="9" t="s">
        <v>46</v>
      </c>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02"/>
      <c r="AJ152" s="102"/>
    </row>
    <row r="153" ht="22.5" customHeight="1">
      <c r="A153" s="8">
        <v>45814.0</v>
      </c>
      <c r="B153" s="9" t="s">
        <v>14</v>
      </c>
      <c r="C153" s="9" t="s">
        <v>24</v>
      </c>
      <c r="D153" s="9">
        <v>20.0</v>
      </c>
      <c r="E153" s="9" t="s">
        <v>10</v>
      </c>
      <c r="F153" s="9" t="s">
        <v>11</v>
      </c>
      <c r="G153" s="9" t="s">
        <v>31</v>
      </c>
      <c r="H153" s="9">
        <v>6.0</v>
      </c>
      <c r="I153" s="9" t="s">
        <v>42</v>
      </c>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02"/>
      <c r="AJ153" s="102"/>
    </row>
    <row r="154" ht="22.5" customHeight="1">
      <c r="A154" s="8">
        <v>45816.0</v>
      </c>
      <c r="B154" s="9" t="s">
        <v>8</v>
      </c>
      <c r="C154" s="9" t="s">
        <v>9</v>
      </c>
      <c r="D154" s="9">
        <v>14.0</v>
      </c>
      <c r="E154" s="9" t="s">
        <v>10</v>
      </c>
      <c r="F154" s="9" t="s">
        <v>11</v>
      </c>
      <c r="G154" s="9" t="s">
        <v>31</v>
      </c>
      <c r="H154" s="9">
        <v>6.0</v>
      </c>
      <c r="I154" s="9" t="s">
        <v>43</v>
      </c>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02"/>
      <c r="AJ154" s="102"/>
    </row>
    <row r="155" ht="22.5" customHeight="1">
      <c r="A155" s="8">
        <v>45818.0</v>
      </c>
      <c r="B155" s="9" t="s">
        <v>19</v>
      </c>
      <c r="C155" s="9" t="s">
        <v>9</v>
      </c>
      <c r="D155" s="9">
        <v>7.0</v>
      </c>
      <c r="E155" s="9" t="s">
        <v>10</v>
      </c>
      <c r="F155" s="9" t="s">
        <v>15</v>
      </c>
      <c r="G155" s="9" t="s">
        <v>31</v>
      </c>
      <c r="H155" s="9">
        <v>6.0</v>
      </c>
      <c r="I155" s="9" t="s">
        <v>45</v>
      </c>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02"/>
      <c r="AJ155" s="102"/>
    </row>
    <row r="156" ht="22.5" customHeight="1">
      <c r="A156" s="8">
        <v>45819.0</v>
      </c>
      <c r="B156" s="9" t="s">
        <v>17</v>
      </c>
      <c r="C156" s="9" t="s">
        <v>9</v>
      </c>
      <c r="D156" s="9">
        <v>11.0</v>
      </c>
      <c r="E156" s="9" t="s">
        <v>10</v>
      </c>
      <c r="F156" s="9" t="s">
        <v>11</v>
      </c>
      <c r="G156" s="9" t="s">
        <v>31</v>
      </c>
      <c r="H156" s="9">
        <v>6.0</v>
      </c>
      <c r="I156" s="9" t="s">
        <v>46</v>
      </c>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02"/>
      <c r="AJ156" s="102"/>
    </row>
    <row r="157" ht="22.5" customHeight="1">
      <c r="A157" s="8">
        <v>45821.0</v>
      </c>
      <c r="B157" s="9" t="s">
        <v>8</v>
      </c>
      <c r="C157" s="9" t="s">
        <v>9</v>
      </c>
      <c r="D157" s="9">
        <v>15.0</v>
      </c>
      <c r="E157" s="9" t="s">
        <v>10</v>
      </c>
      <c r="F157" s="9" t="s">
        <v>11</v>
      </c>
      <c r="G157" s="9" t="s">
        <v>31</v>
      </c>
      <c r="H157" s="9">
        <v>6.0</v>
      </c>
      <c r="I157" s="9" t="s">
        <v>42</v>
      </c>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02"/>
      <c r="AJ157" s="102"/>
    </row>
    <row r="158" ht="22.5" customHeight="1">
      <c r="A158" s="8">
        <v>45823.0</v>
      </c>
      <c r="B158" s="9" t="s">
        <v>23</v>
      </c>
      <c r="C158" s="9" t="s">
        <v>9</v>
      </c>
      <c r="D158" s="9">
        <v>19.0</v>
      </c>
      <c r="E158" s="9" t="s">
        <v>10</v>
      </c>
      <c r="F158" s="9" t="s">
        <v>15</v>
      </c>
      <c r="G158" s="9" t="s">
        <v>31</v>
      </c>
      <c r="H158" s="9">
        <v>6.0</v>
      </c>
      <c r="I158" s="9" t="s">
        <v>43</v>
      </c>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02"/>
      <c r="AJ158" s="102"/>
    </row>
    <row r="159" ht="22.5" customHeight="1">
      <c r="A159" s="8">
        <v>45825.0</v>
      </c>
      <c r="B159" s="9" t="s">
        <v>8</v>
      </c>
      <c r="C159" s="9" t="s">
        <v>21</v>
      </c>
      <c r="D159" s="9">
        <v>14.0</v>
      </c>
      <c r="E159" s="9" t="s">
        <v>10</v>
      </c>
      <c r="F159" s="9" t="s">
        <v>11</v>
      </c>
      <c r="G159" s="9" t="s">
        <v>31</v>
      </c>
      <c r="H159" s="9">
        <v>6.0</v>
      </c>
      <c r="I159" s="9" t="s">
        <v>45</v>
      </c>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02"/>
      <c r="AJ159" s="102"/>
    </row>
    <row r="160" ht="22.5" customHeight="1">
      <c r="A160" s="8">
        <v>45826.0</v>
      </c>
      <c r="B160" s="9" t="s">
        <v>17</v>
      </c>
      <c r="C160" s="9" t="s">
        <v>24</v>
      </c>
      <c r="D160" s="9">
        <v>10.0</v>
      </c>
      <c r="E160" s="9" t="s">
        <v>10</v>
      </c>
      <c r="F160" s="9" t="s">
        <v>11</v>
      </c>
      <c r="G160" s="9" t="s">
        <v>31</v>
      </c>
      <c r="H160" s="9">
        <v>6.0</v>
      </c>
      <c r="I160" s="9" t="s">
        <v>46</v>
      </c>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02"/>
      <c r="AJ160" s="102"/>
    </row>
    <row r="161" ht="22.5" customHeight="1">
      <c r="A161" s="8">
        <v>45828.0</v>
      </c>
      <c r="B161" s="9" t="s">
        <v>14</v>
      </c>
      <c r="C161" s="9" t="s">
        <v>9</v>
      </c>
      <c r="D161" s="9">
        <v>24.0</v>
      </c>
      <c r="E161" s="9" t="s">
        <v>10</v>
      </c>
      <c r="F161" s="9" t="s">
        <v>15</v>
      </c>
      <c r="G161" s="9" t="s">
        <v>31</v>
      </c>
      <c r="H161" s="9">
        <v>6.0</v>
      </c>
      <c r="I161" s="9" t="s">
        <v>42</v>
      </c>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02"/>
      <c r="AJ161" s="102"/>
    </row>
    <row r="162" ht="22.5" customHeight="1">
      <c r="A162" s="8">
        <v>45830.0</v>
      </c>
      <c r="B162" s="9" t="s">
        <v>8</v>
      </c>
      <c r="C162" s="9" t="s">
        <v>9</v>
      </c>
      <c r="D162" s="9">
        <v>14.0</v>
      </c>
      <c r="E162" s="9" t="s">
        <v>10</v>
      </c>
      <c r="F162" s="9" t="s">
        <v>11</v>
      </c>
      <c r="G162" s="9" t="s">
        <v>31</v>
      </c>
      <c r="H162" s="9">
        <v>6.0</v>
      </c>
      <c r="I162" s="9" t="s">
        <v>43</v>
      </c>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02"/>
      <c r="AJ162" s="102"/>
    </row>
    <row r="163" ht="22.5" customHeight="1">
      <c r="A163" s="8">
        <v>45832.0</v>
      </c>
      <c r="B163" s="9" t="s">
        <v>19</v>
      </c>
      <c r="C163" s="9" t="s">
        <v>9</v>
      </c>
      <c r="D163" s="9">
        <v>7.0</v>
      </c>
      <c r="E163" s="9" t="s">
        <v>10</v>
      </c>
      <c r="F163" s="9" t="s">
        <v>11</v>
      </c>
      <c r="G163" s="9" t="s">
        <v>31</v>
      </c>
      <c r="H163" s="9">
        <v>6.0</v>
      </c>
      <c r="I163" s="9" t="s">
        <v>45</v>
      </c>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02"/>
      <c r="AJ163" s="102"/>
    </row>
    <row r="164" ht="22.5" customHeight="1">
      <c r="A164" s="8">
        <v>45833.0</v>
      </c>
      <c r="B164" s="9" t="s">
        <v>26</v>
      </c>
      <c r="C164" s="9" t="s">
        <v>9</v>
      </c>
      <c r="D164" s="9">
        <v>22.0</v>
      </c>
      <c r="E164" s="9" t="s">
        <v>10</v>
      </c>
      <c r="F164" s="9" t="s">
        <v>15</v>
      </c>
      <c r="G164" s="9" t="s">
        <v>31</v>
      </c>
      <c r="H164" s="9">
        <v>6.0</v>
      </c>
      <c r="I164" s="9" t="s">
        <v>46</v>
      </c>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02"/>
      <c r="AJ164" s="102"/>
    </row>
    <row r="165" ht="22.5" customHeight="1">
      <c r="A165" s="8">
        <v>45835.0</v>
      </c>
      <c r="B165" s="9" t="s">
        <v>8</v>
      </c>
      <c r="C165" s="9" t="s">
        <v>9</v>
      </c>
      <c r="D165" s="9">
        <v>14.0</v>
      </c>
      <c r="E165" s="9" t="s">
        <v>10</v>
      </c>
      <c r="F165" s="9" t="s">
        <v>11</v>
      </c>
      <c r="G165" s="9" t="s">
        <v>31</v>
      </c>
      <c r="H165" s="9">
        <v>6.0</v>
      </c>
      <c r="I165" s="9" t="s">
        <v>42</v>
      </c>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02"/>
      <c r="AJ165" s="102"/>
    </row>
    <row r="166" ht="22.5" customHeight="1">
      <c r="A166" s="8">
        <v>45837.0</v>
      </c>
      <c r="B166" s="9" t="s">
        <v>17</v>
      </c>
      <c r="C166" s="9" t="s">
        <v>9</v>
      </c>
      <c r="D166" s="9">
        <v>9.0</v>
      </c>
      <c r="E166" s="9" t="s">
        <v>10</v>
      </c>
      <c r="F166" s="9" t="s">
        <v>11</v>
      </c>
      <c r="G166" s="9" t="s">
        <v>31</v>
      </c>
      <c r="H166" s="9">
        <v>6.0</v>
      </c>
      <c r="I166" s="9" t="s">
        <v>43</v>
      </c>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02"/>
      <c r="AJ166" s="102"/>
    </row>
    <row r="167" ht="22.5" customHeight="1">
      <c r="A167" s="8">
        <v>45839.0</v>
      </c>
      <c r="B167" s="9" t="s">
        <v>8</v>
      </c>
      <c r="C167" s="9" t="s">
        <v>9</v>
      </c>
      <c r="D167" s="9">
        <v>21.0</v>
      </c>
      <c r="E167" s="9" t="s">
        <v>10</v>
      </c>
      <c r="F167" s="9" t="s">
        <v>15</v>
      </c>
      <c r="G167" s="9" t="s">
        <v>32</v>
      </c>
      <c r="H167" s="9">
        <v>7.0</v>
      </c>
      <c r="I167" s="9" t="s">
        <v>45</v>
      </c>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02"/>
      <c r="AJ167" s="102"/>
    </row>
    <row r="168" ht="22.5" customHeight="1">
      <c r="A168" s="8">
        <v>45841.0</v>
      </c>
      <c r="B168" s="9" t="s">
        <v>14</v>
      </c>
      <c r="C168" s="9" t="s">
        <v>9</v>
      </c>
      <c r="D168" s="9">
        <v>28.0</v>
      </c>
      <c r="E168" s="9" t="s">
        <v>22</v>
      </c>
      <c r="F168" s="9" t="s">
        <v>11</v>
      </c>
      <c r="G168" s="9" t="s">
        <v>32</v>
      </c>
      <c r="H168" s="9">
        <v>7.0</v>
      </c>
      <c r="I168" s="9" t="s">
        <v>47</v>
      </c>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02"/>
      <c r="AJ168" s="102"/>
    </row>
    <row r="169" ht="22.5" customHeight="1">
      <c r="A169" s="8">
        <v>45844.0</v>
      </c>
      <c r="B169" s="9" t="s">
        <v>19</v>
      </c>
      <c r="C169" s="9" t="s">
        <v>9</v>
      </c>
      <c r="D169" s="9">
        <v>7.0</v>
      </c>
      <c r="E169" s="9" t="s">
        <v>10</v>
      </c>
      <c r="F169" s="9" t="s">
        <v>11</v>
      </c>
      <c r="G169" s="9" t="s">
        <v>32</v>
      </c>
      <c r="H169" s="9">
        <v>7.0</v>
      </c>
      <c r="I169" s="9" t="s">
        <v>43</v>
      </c>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02"/>
      <c r="AJ169" s="102"/>
    </row>
    <row r="170" ht="22.5" customHeight="1">
      <c r="A170" s="8">
        <v>45846.0</v>
      </c>
      <c r="B170" s="9" t="s">
        <v>17</v>
      </c>
      <c r="C170" s="9" t="s">
        <v>9</v>
      </c>
      <c r="D170" s="9">
        <v>14.0</v>
      </c>
      <c r="E170" s="9" t="s">
        <v>10</v>
      </c>
      <c r="F170" s="9" t="s">
        <v>15</v>
      </c>
      <c r="G170" s="9" t="s">
        <v>32</v>
      </c>
      <c r="H170" s="9">
        <v>7.0</v>
      </c>
      <c r="I170" s="9" t="s">
        <v>45</v>
      </c>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02"/>
      <c r="AJ170" s="102"/>
    </row>
    <row r="171" ht="22.5" customHeight="1">
      <c r="A171" s="8">
        <v>45848.0</v>
      </c>
      <c r="B171" s="9" t="s">
        <v>8</v>
      </c>
      <c r="C171" s="9" t="s">
        <v>24</v>
      </c>
      <c r="D171" s="9">
        <v>15.0</v>
      </c>
      <c r="E171" s="9" t="s">
        <v>10</v>
      </c>
      <c r="F171" s="9" t="s">
        <v>11</v>
      </c>
      <c r="G171" s="9" t="s">
        <v>32</v>
      </c>
      <c r="H171" s="9">
        <v>7.0</v>
      </c>
      <c r="I171" s="9" t="s">
        <v>47</v>
      </c>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02"/>
      <c r="AJ171" s="102"/>
    </row>
    <row r="172" ht="22.5" customHeight="1">
      <c r="A172" s="8">
        <v>45851.0</v>
      </c>
      <c r="B172" s="9" t="s">
        <v>8</v>
      </c>
      <c r="C172" s="9" t="s">
        <v>9</v>
      </c>
      <c r="D172" s="9">
        <v>21.0</v>
      </c>
      <c r="E172" s="9" t="s">
        <v>10</v>
      </c>
      <c r="F172" s="9" t="s">
        <v>11</v>
      </c>
      <c r="G172" s="9" t="s">
        <v>32</v>
      </c>
      <c r="H172" s="9">
        <v>7.0</v>
      </c>
      <c r="I172" s="9" t="s">
        <v>43</v>
      </c>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02"/>
      <c r="AJ172" s="102"/>
    </row>
    <row r="173" ht="22.5" customHeight="1">
      <c r="A173" s="8">
        <v>45853.0</v>
      </c>
      <c r="B173" s="9" t="s">
        <v>17</v>
      </c>
      <c r="C173" s="9" t="s">
        <v>9</v>
      </c>
      <c r="D173" s="9">
        <v>12.0</v>
      </c>
      <c r="E173" s="9" t="s">
        <v>10</v>
      </c>
      <c r="F173" s="9" t="s">
        <v>15</v>
      </c>
      <c r="G173" s="9" t="s">
        <v>32</v>
      </c>
      <c r="H173" s="9">
        <v>7.0</v>
      </c>
      <c r="I173" s="9" t="s">
        <v>45</v>
      </c>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02"/>
      <c r="AJ173" s="102"/>
    </row>
    <row r="174" ht="22.5" customHeight="1">
      <c r="A174" s="8">
        <v>45855.0</v>
      </c>
      <c r="B174" s="9" t="s">
        <v>23</v>
      </c>
      <c r="C174" s="9" t="s">
        <v>9</v>
      </c>
      <c r="D174" s="9">
        <v>20.0</v>
      </c>
      <c r="E174" s="9" t="s">
        <v>10</v>
      </c>
      <c r="F174" s="9" t="s">
        <v>11</v>
      </c>
      <c r="G174" s="9" t="s">
        <v>32</v>
      </c>
      <c r="H174" s="9">
        <v>7.0</v>
      </c>
      <c r="I174" s="9" t="s">
        <v>47</v>
      </c>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02"/>
      <c r="AJ174" s="102"/>
    </row>
    <row r="175" ht="22.5" customHeight="1">
      <c r="A175" s="8">
        <v>45858.0</v>
      </c>
      <c r="B175" s="9" t="s">
        <v>8</v>
      </c>
      <c r="C175" s="9" t="s">
        <v>21</v>
      </c>
      <c r="D175" s="9">
        <v>14.0</v>
      </c>
      <c r="E175" s="9" t="s">
        <v>10</v>
      </c>
      <c r="F175" s="9" t="s">
        <v>11</v>
      </c>
      <c r="G175" s="9" t="s">
        <v>32</v>
      </c>
      <c r="H175" s="9">
        <v>7.0</v>
      </c>
      <c r="I175" s="9" t="s">
        <v>43</v>
      </c>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02"/>
      <c r="AJ175" s="102"/>
    </row>
    <row r="176" ht="22.5" customHeight="1">
      <c r="A176" s="8">
        <v>45860.0</v>
      </c>
      <c r="B176" s="9" t="s">
        <v>19</v>
      </c>
      <c r="C176" s="9" t="s">
        <v>9</v>
      </c>
      <c r="D176" s="9">
        <v>7.0</v>
      </c>
      <c r="E176" s="9" t="s">
        <v>10</v>
      </c>
      <c r="F176" s="9" t="s">
        <v>15</v>
      </c>
      <c r="G176" s="9" t="s">
        <v>32</v>
      </c>
      <c r="H176" s="9">
        <v>7.0</v>
      </c>
      <c r="I176" s="9" t="s">
        <v>45</v>
      </c>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row>
    <row r="177" ht="22.5" customHeight="1">
      <c r="A177" s="8">
        <v>45862.0</v>
      </c>
      <c r="B177" s="9" t="s">
        <v>8</v>
      </c>
      <c r="C177" s="9" t="s">
        <v>9</v>
      </c>
      <c r="D177" s="9">
        <v>21.0</v>
      </c>
      <c r="E177" s="9" t="s">
        <v>10</v>
      </c>
      <c r="F177" s="9" t="s">
        <v>11</v>
      </c>
      <c r="G177" s="9" t="s">
        <v>32</v>
      </c>
      <c r="H177" s="9">
        <v>7.0</v>
      </c>
      <c r="I177" s="9" t="s">
        <v>47</v>
      </c>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row>
    <row r="178" ht="22.5" customHeight="1">
      <c r="A178" s="8">
        <v>45865.0</v>
      </c>
      <c r="B178" s="9" t="s">
        <v>17</v>
      </c>
      <c r="C178" s="9" t="s">
        <v>9</v>
      </c>
      <c r="D178" s="9">
        <v>10.0</v>
      </c>
      <c r="E178" s="9" t="s">
        <v>10</v>
      </c>
      <c r="F178" s="9" t="s">
        <v>11</v>
      </c>
      <c r="G178" s="9" t="s">
        <v>32</v>
      </c>
      <c r="H178" s="9">
        <v>7.0</v>
      </c>
      <c r="I178" s="9" t="s">
        <v>43</v>
      </c>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row>
    <row r="179" ht="22.5" customHeight="1">
      <c r="A179" s="8">
        <v>45867.0</v>
      </c>
      <c r="B179" s="9" t="s">
        <v>14</v>
      </c>
      <c r="C179" s="9" t="s">
        <v>9</v>
      </c>
      <c r="D179" s="9">
        <v>25.0</v>
      </c>
      <c r="E179" s="9" t="s">
        <v>10</v>
      </c>
      <c r="F179" s="9" t="s">
        <v>15</v>
      </c>
      <c r="G179" s="9" t="s">
        <v>32</v>
      </c>
      <c r="H179" s="9">
        <v>7.0</v>
      </c>
      <c r="I179" s="9" t="s">
        <v>45</v>
      </c>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row>
    <row r="180" ht="22.5" customHeight="1">
      <c r="A180" s="8">
        <v>45869.0</v>
      </c>
      <c r="B180" s="9" t="s">
        <v>8</v>
      </c>
      <c r="C180" s="9" t="s">
        <v>9</v>
      </c>
      <c r="D180" s="9">
        <v>14.0</v>
      </c>
      <c r="E180" s="9" t="s">
        <v>10</v>
      </c>
      <c r="F180" s="9" t="s">
        <v>11</v>
      </c>
      <c r="G180" s="9" t="s">
        <v>32</v>
      </c>
      <c r="H180" s="9">
        <v>7.0</v>
      </c>
      <c r="I180" s="9" t="s">
        <v>47</v>
      </c>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02"/>
      <c r="AJ180" s="102"/>
    </row>
    <row r="181" ht="22.5" customHeight="1">
      <c r="A181" s="8">
        <v>45872.0</v>
      </c>
      <c r="B181" s="9" t="s">
        <v>19</v>
      </c>
      <c r="C181" s="9" t="s">
        <v>9</v>
      </c>
      <c r="D181" s="9">
        <v>7.0</v>
      </c>
      <c r="E181" s="9" t="s">
        <v>10</v>
      </c>
      <c r="F181" s="9" t="s">
        <v>11</v>
      </c>
      <c r="G181" s="9" t="s">
        <v>34</v>
      </c>
      <c r="H181" s="9">
        <v>8.0</v>
      </c>
      <c r="I181" s="9" t="s">
        <v>43</v>
      </c>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02"/>
      <c r="AJ181" s="102"/>
    </row>
    <row r="182" ht="22.5" customHeight="1">
      <c r="A182" s="8">
        <v>45874.0</v>
      </c>
      <c r="B182" s="9" t="s">
        <v>8</v>
      </c>
      <c r="C182" s="9" t="s">
        <v>9</v>
      </c>
      <c r="D182" s="9">
        <v>28.0</v>
      </c>
      <c r="E182" s="9" t="s">
        <v>22</v>
      </c>
      <c r="F182" s="9" t="s">
        <v>15</v>
      </c>
      <c r="G182" s="9" t="s">
        <v>34</v>
      </c>
      <c r="H182" s="9">
        <v>8.0</v>
      </c>
      <c r="I182" s="9" t="s">
        <v>45</v>
      </c>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02"/>
      <c r="AJ182" s="102"/>
    </row>
    <row r="183" ht="22.5" customHeight="1">
      <c r="A183" s="8">
        <v>45876.0</v>
      </c>
      <c r="B183" s="9" t="s">
        <v>17</v>
      </c>
      <c r="C183" s="9" t="s">
        <v>24</v>
      </c>
      <c r="D183" s="9">
        <v>14.0</v>
      </c>
      <c r="E183" s="9" t="s">
        <v>10</v>
      </c>
      <c r="F183" s="9" t="s">
        <v>11</v>
      </c>
      <c r="G183" s="9" t="s">
        <v>34</v>
      </c>
      <c r="H183" s="9">
        <v>8.0</v>
      </c>
      <c r="I183" s="9" t="s">
        <v>47</v>
      </c>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02"/>
      <c r="AJ183" s="102"/>
    </row>
    <row r="184" ht="22.5" customHeight="1">
      <c r="A184" s="8">
        <v>45879.0</v>
      </c>
      <c r="B184" s="9" t="s">
        <v>8</v>
      </c>
      <c r="C184" s="9" t="s">
        <v>9</v>
      </c>
      <c r="D184" s="9">
        <v>21.0</v>
      </c>
      <c r="E184" s="9" t="s">
        <v>10</v>
      </c>
      <c r="F184" s="9" t="s">
        <v>11</v>
      </c>
      <c r="G184" s="9" t="s">
        <v>34</v>
      </c>
      <c r="H184" s="9">
        <v>8.0</v>
      </c>
      <c r="I184" s="9" t="s">
        <v>43</v>
      </c>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02"/>
      <c r="AJ184" s="102"/>
    </row>
    <row r="185" ht="22.5" customHeight="1">
      <c r="A185" s="8">
        <v>45881.0</v>
      </c>
      <c r="B185" s="9" t="s">
        <v>14</v>
      </c>
      <c r="C185" s="9" t="s">
        <v>9</v>
      </c>
      <c r="D185" s="9">
        <v>23.0</v>
      </c>
      <c r="E185" s="9" t="s">
        <v>10</v>
      </c>
      <c r="F185" s="9" t="s">
        <v>15</v>
      </c>
      <c r="G185" s="9" t="s">
        <v>34</v>
      </c>
      <c r="H185" s="9">
        <v>8.0</v>
      </c>
      <c r="I185" s="9" t="s">
        <v>45</v>
      </c>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02"/>
      <c r="AJ185" s="102"/>
    </row>
    <row r="186" ht="22.5" customHeight="1">
      <c r="A186" s="8">
        <v>45883.0</v>
      </c>
      <c r="B186" s="9" t="s">
        <v>17</v>
      </c>
      <c r="C186" s="9" t="s">
        <v>9</v>
      </c>
      <c r="D186" s="9">
        <v>11.0</v>
      </c>
      <c r="E186" s="9" t="s">
        <v>10</v>
      </c>
      <c r="F186" s="9" t="s">
        <v>11</v>
      </c>
      <c r="G186" s="9" t="s">
        <v>34</v>
      </c>
      <c r="H186" s="9">
        <v>8.0</v>
      </c>
      <c r="I186" s="9" t="s">
        <v>47</v>
      </c>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02"/>
      <c r="AJ186" s="102"/>
    </row>
    <row r="187" ht="22.5" customHeight="1">
      <c r="A187" s="8">
        <v>45886.0</v>
      </c>
      <c r="B187" s="9" t="s">
        <v>8</v>
      </c>
      <c r="C187" s="9" t="s">
        <v>9</v>
      </c>
      <c r="D187" s="9">
        <v>14.0</v>
      </c>
      <c r="E187" s="9" t="s">
        <v>10</v>
      </c>
      <c r="F187" s="9" t="s">
        <v>11</v>
      </c>
      <c r="G187" s="9" t="s">
        <v>34</v>
      </c>
      <c r="H187" s="9">
        <v>8.0</v>
      </c>
      <c r="I187" s="9" t="s">
        <v>43</v>
      </c>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02"/>
      <c r="AJ187" s="102"/>
    </row>
    <row r="188" ht="22.5" customHeight="1">
      <c r="A188" s="8">
        <v>45888.0</v>
      </c>
      <c r="B188" s="9" t="s">
        <v>19</v>
      </c>
      <c r="C188" s="9" t="s">
        <v>9</v>
      </c>
      <c r="D188" s="9">
        <v>7.0</v>
      </c>
      <c r="E188" s="9" t="s">
        <v>10</v>
      </c>
      <c r="F188" s="9" t="s">
        <v>15</v>
      </c>
      <c r="G188" s="9" t="s">
        <v>34</v>
      </c>
      <c r="H188" s="9">
        <v>8.0</v>
      </c>
      <c r="I188" s="9" t="s">
        <v>45</v>
      </c>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02"/>
      <c r="AJ188" s="102"/>
    </row>
    <row r="189" ht="22.5" customHeight="1">
      <c r="A189" s="8">
        <v>45890.0</v>
      </c>
      <c r="B189" s="9" t="s">
        <v>26</v>
      </c>
      <c r="C189" s="9" t="s">
        <v>21</v>
      </c>
      <c r="D189" s="9">
        <v>26.0</v>
      </c>
      <c r="E189" s="9" t="s">
        <v>10</v>
      </c>
      <c r="F189" s="9" t="s">
        <v>11</v>
      </c>
      <c r="G189" s="9" t="s">
        <v>34</v>
      </c>
      <c r="H189" s="9">
        <v>8.0</v>
      </c>
      <c r="I189" s="9" t="s">
        <v>47</v>
      </c>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02"/>
      <c r="AJ189" s="102"/>
    </row>
    <row r="190" ht="22.5" customHeight="1">
      <c r="A190" s="8">
        <v>45893.0</v>
      </c>
      <c r="B190" s="9" t="s">
        <v>8</v>
      </c>
      <c r="C190" s="9" t="s">
        <v>9</v>
      </c>
      <c r="D190" s="9">
        <v>21.0</v>
      </c>
      <c r="E190" s="9" t="s">
        <v>10</v>
      </c>
      <c r="F190" s="9" t="s">
        <v>11</v>
      </c>
      <c r="G190" s="9" t="s">
        <v>34</v>
      </c>
      <c r="H190" s="9">
        <v>8.0</v>
      </c>
      <c r="I190" s="9" t="s">
        <v>43</v>
      </c>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02"/>
      <c r="AJ190" s="102"/>
    </row>
    <row r="191" ht="22.5" customHeight="1">
      <c r="A191" s="8">
        <v>45895.0</v>
      </c>
      <c r="B191" s="9" t="s">
        <v>17</v>
      </c>
      <c r="C191" s="9" t="s">
        <v>9</v>
      </c>
      <c r="D191" s="9">
        <v>10.0</v>
      </c>
      <c r="E191" s="9" t="s">
        <v>10</v>
      </c>
      <c r="F191" s="9" t="s">
        <v>15</v>
      </c>
      <c r="G191" s="9" t="s">
        <v>34</v>
      </c>
      <c r="H191" s="9">
        <v>8.0</v>
      </c>
      <c r="I191" s="9" t="s">
        <v>45</v>
      </c>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02"/>
      <c r="AJ191" s="102"/>
    </row>
    <row r="192" ht="22.5" customHeight="1">
      <c r="A192" s="8">
        <v>45897.0</v>
      </c>
      <c r="B192" s="9" t="s">
        <v>8</v>
      </c>
      <c r="C192" s="9" t="s">
        <v>24</v>
      </c>
      <c r="D192" s="9">
        <v>14.0</v>
      </c>
      <c r="E192" s="9" t="s">
        <v>10</v>
      </c>
      <c r="F192" s="9" t="s">
        <v>11</v>
      </c>
      <c r="G192" s="9" t="s">
        <v>34</v>
      </c>
      <c r="H192" s="9">
        <v>8.0</v>
      </c>
      <c r="I192" s="9" t="s">
        <v>47</v>
      </c>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02"/>
      <c r="AJ192" s="102"/>
    </row>
    <row r="193" ht="22.5" customHeight="1">
      <c r="A193" s="8">
        <v>45900.0</v>
      </c>
      <c r="B193" s="9" t="s">
        <v>23</v>
      </c>
      <c r="C193" s="9" t="s">
        <v>9</v>
      </c>
      <c r="D193" s="9">
        <v>19.0</v>
      </c>
      <c r="E193" s="9" t="s">
        <v>10</v>
      </c>
      <c r="F193" s="9" t="s">
        <v>11</v>
      </c>
      <c r="G193" s="9" t="s">
        <v>34</v>
      </c>
      <c r="H193" s="9">
        <v>8.0</v>
      </c>
      <c r="I193" s="9" t="s">
        <v>43</v>
      </c>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02"/>
      <c r="AJ193" s="102"/>
    </row>
    <row r="194" ht="22.5" customHeight="1">
      <c r="A194" s="8">
        <v>45902.0</v>
      </c>
      <c r="B194" s="9" t="s">
        <v>8</v>
      </c>
      <c r="C194" s="9" t="s">
        <v>9</v>
      </c>
      <c r="D194" s="9">
        <v>14.0</v>
      </c>
      <c r="E194" s="9" t="s">
        <v>10</v>
      </c>
      <c r="F194" s="9" t="s">
        <v>15</v>
      </c>
      <c r="G194" s="9" t="s">
        <v>35</v>
      </c>
      <c r="H194" s="9">
        <v>9.0</v>
      </c>
      <c r="I194" s="9" t="s">
        <v>45</v>
      </c>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02"/>
      <c r="AJ194" s="102"/>
    </row>
    <row r="195" ht="22.5" customHeight="1">
      <c r="A195" s="8">
        <v>45903.0</v>
      </c>
      <c r="B195" s="9" t="s">
        <v>17</v>
      </c>
      <c r="C195" s="9" t="s">
        <v>9</v>
      </c>
      <c r="D195" s="9">
        <v>9.0</v>
      </c>
      <c r="E195" s="9" t="s">
        <v>10</v>
      </c>
      <c r="F195" s="9" t="s">
        <v>11</v>
      </c>
      <c r="G195" s="9" t="s">
        <v>35</v>
      </c>
      <c r="H195" s="9">
        <v>9.0</v>
      </c>
      <c r="I195" s="9" t="s">
        <v>46</v>
      </c>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02"/>
      <c r="AJ195" s="102"/>
    </row>
    <row r="196" ht="22.5" customHeight="1">
      <c r="A196" s="8">
        <v>45905.0</v>
      </c>
      <c r="B196" s="9" t="s">
        <v>14</v>
      </c>
      <c r="C196" s="9" t="s">
        <v>9</v>
      </c>
      <c r="D196" s="9">
        <v>21.0</v>
      </c>
      <c r="E196" s="9" t="s">
        <v>10</v>
      </c>
      <c r="F196" s="9" t="s">
        <v>11</v>
      </c>
      <c r="G196" s="9" t="s">
        <v>35</v>
      </c>
      <c r="H196" s="9">
        <v>9.0</v>
      </c>
      <c r="I196" s="9" t="s">
        <v>42</v>
      </c>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02"/>
      <c r="AJ196" s="102"/>
    </row>
    <row r="197" ht="22.5" customHeight="1">
      <c r="A197" s="8">
        <v>45907.0</v>
      </c>
      <c r="B197" s="9" t="s">
        <v>8</v>
      </c>
      <c r="C197" s="9" t="s">
        <v>21</v>
      </c>
      <c r="D197" s="9">
        <v>14.0</v>
      </c>
      <c r="E197" s="9" t="s">
        <v>10</v>
      </c>
      <c r="F197" s="9" t="s">
        <v>15</v>
      </c>
      <c r="G197" s="9" t="s">
        <v>35</v>
      </c>
      <c r="H197" s="9">
        <v>9.0</v>
      </c>
      <c r="I197" s="9" t="s">
        <v>43</v>
      </c>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02"/>
      <c r="AJ197" s="102"/>
    </row>
    <row r="198" ht="22.5" customHeight="1">
      <c r="A198" s="8">
        <v>45909.0</v>
      </c>
      <c r="B198" s="9" t="s">
        <v>19</v>
      </c>
      <c r="C198" s="9" t="s">
        <v>9</v>
      </c>
      <c r="D198" s="9">
        <v>7.0</v>
      </c>
      <c r="E198" s="9" t="s">
        <v>10</v>
      </c>
      <c r="F198" s="9" t="s">
        <v>11</v>
      </c>
      <c r="G198" s="9" t="s">
        <v>35</v>
      </c>
      <c r="H198" s="9">
        <v>9.0</v>
      </c>
      <c r="I198" s="9" t="s">
        <v>45</v>
      </c>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02"/>
      <c r="AJ198" s="102"/>
    </row>
    <row r="199" ht="22.5" customHeight="1">
      <c r="A199" s="8">
        <v>45910.0</v>
      </c>
      <c r="B199" s="9" t="s">
        <v>17</v>
      </c>
      <c r="C199" s="9" t="s">
        <v>24</v>
      </c>
      <c r="D199" s="9">
        <v>12.0</v>
      </c>
      <c r="E199" s="9" t="s">
        <v>10</v>
      </c>
      <c r="F199" s="9" t="s">
        <v>11</v>
      </c>
      <c r="G199" s="9" t="s">
        <v>35</v>
      </c>
      <c r="H199" s="9">
        <v>9.0</v>
      </c>
      <c r="I199" s="9" t="s">
        <v>46</v>
      </c>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02"/>
      <c r="AJ199" s="102"/>
    </row>
    <row r="200" ht="22.5" customHeight="1">
      <c r="A200" s="8">
        <v>45912.0</v>
      </c>
      <c r="B200" s="9" t="s">
        <v>8</v>
      </c>
      <c r="C200" s="9" t="s">
        <v>9</v>
      </c>
      <c r="D200" s="9">
        <v>14.0</v>
      </c>
      <c r="E200" s="9" t="s">
        <v>10</v>
      </c>
      <c r="F200" s="9" t="s">
        <v>15</v>
      </c>
      <c r="G200" s="9" t="s">
        <v>35</v>
      </c>
      <c r="H200" s="9">
        <v>9.0</v>
      </c>
      <c r="I200" s="9" t="s">
        <v>42</v>
      </c>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02"/>
      <c r="AJ200" s="102"/>
    </row>
    <row r="201" ht="22.5" customHeight="1">
      <c r="A201" s="8">
        <v>45914.0</v>
      </c>
      <c r="B201" s="9" t="s">
        <v>8</v>
      </c>
      <c r="C201" s="9" t="s">
        <v>9</v>
      </c>
      <c r="D201" s="9">
        <v>16.0</v>
      </c>
      <c r="E201" s="9" t="s">
        <v>22</v>
      </c>
      <c r="F201" s="9" t="s">
        <v>11</v>
      </c>
      <c r="G201" s="9" t="s">
        <v>35</v>
      </c>
      <c r="H201" s="9">
        <v>9.0</v>
      </c>
      <c r="I201" s="9" t="s">
        <v>43</v>
      </c>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02"/>
      <c r="AJ201" s="102"/>
    </row>
    <row r="202" ht="22.5" customHeight="1">
      <c r="A202" s="8">
        <v>45916.0</v>
      </c>
      <c r="B202" s="9" t="s">
        <v>23</v>
      </c>
      <c r="C202" s="9" t="s">
        <v>9</v>
      </c>
      <c r="D202" s="9">
        <v>18.0</v>
      </c>
      <c r="E202" s="9" t="s">
        <v>10</v>
      </c>
      <c r="F202" s="9" t="s">
        <v>15</v>
      </c>
      <c r="G202" s="9" t="s">
        <v>35</v>
      </c>
      <c r="H202" s="9">
        <v>9.0</v>
      </c>
      <c r="I202" s="9" t="s">
        <v>45</v>
      </c>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02"/>
      <c r="AJ202" s="102"/>
    </row>
    <row r="203" ht="22.5" customHeight="1">
      <c r="A203" s="8">
        <v>45917.0</v>
      </c>
      <c r="B203" s="9" t="s">
        <v>17</v>
      </c>
      <c r="C203" s="9" t="s">
        <v>9</v>
      </c>
      <c r="D203" s="9">
        <v>10.0</v>
      </c>
      <c r="E203" s="9" t="s">
        <v>10</v>
      </c>
      <c r="F203" s="9" t="s">
        <v>11</v>
      </c>
      <c r="G203" s="9" t="s">
        <v>35</v>
      </c>
      <c r="H203" s="9">
        <v>9.0</v>
      </c>
      <c r="I203" s="9" t="s">
        <v>46</v>
      </c>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02"/>
      <c r="AJ203" s="102"/>
    </row>
    <row r="204" ht="22.5" customHeight="1">
      <c r="A204" s="8">
        <v>45919.0</v>
      </c>
      <c r="B204" s="9" t="s">
        <v>14</v>
      </c>
      <c r="C204" s="9" t="s">
        <v>9</v>
      </c>
      <c r="D204" s="9">
        <v>22.0</v>
      </c>
      <c r="E204" s="9" t="s">
        <v>10</v>
      </c>
      <c r="F204" s="9" t="s">
        <v>11</v>
      </c>
      <c r="G204" s="9" t="s">
        <v>35</v>
      </c>
      <c r="H204" s="9">
        <v>9.0</v>
      </c>
      <c r="I204" s="9" t="s">
        <v>42</v>
      </c>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02"/>
      <c r="AJ204" s="102"/>
    </row>
    <row r="205" ht="22.5" customHeight="1">
      <c r="A205" s="8">
        <v>45921.0</v>
      </c>
      <c r="B205" s="9" t="s">
        <v>8</v>
      </c>
      <c r="C205" s="9" t="s">
        <v>9</v>
      </c>
      <c r="D205" s="9">
        <v>14.0</v>
      </c>
      <c r="E205" s="9" t="s">
        <v>10</v>
      </c>
      <c r="F205" s="9" t="s">
        <v>15</v>
      </c>
      <c r="G205" s="9" t="s">
        <v>35</v>
      </c>
      <c r="H205" s="9">
        <v>9.0</v>
      </c>
      <c r="I205" s="9" t="s">
        <v>43</v>
      </c>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02"/>
      <c r="AJ205" s="102"/>
    </row>
    <row r="206" ht="22.5" customHeight="1">
      <c r="A206" s="8">
        <v>45923.0</v>
      </c>
      <c r="B206" s="9" t="s">
        <v>19</v>
      </c>
      <c r="C206" s="9" t="s">
        <v>9</v>
      </c>
      <c r="D206" s="9">
        <v>7.0</v>
      </c>
      <c r="E206" s="9" t="s">
        <v>10</v>
      </c>
      <c r="F206" s="9" t="s">
        <v>11</v>
      </c>
      <c r="G206" s="9" t="s">
        <v>35</v>
      </c>
      <c r="H206" s="9">
        <v>9.0</v>
      </c>
      <c r="I206" s="9" t="s">
        <v>45</v>
      </c>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02"/>
      <c r="AJ206" s="102"/>
    </row>
    <row r="207" ht="22.5" customHeight="1">
      <c r="A207" s="8">
        <v>45924.0</v>
      </c>
      <c r="B207" s="9" t="s">
        <v>8</v>
      </c>
      <c r="C207" s="9" t="s">
        <v>24</v>
      </c>
      <c r="D207" s="9">
        <v>14.0</v>
      </c>
      <c r="E207" s="9" t="s">
        <v>10</v>
      </c>
      <c r="F207" s="9" t="s">
        <v>11</v>
      </c>
      <c r="G207" s="9" t="s">
        <v>35</v>
      </c>
      <c r="H207" s="9">
        <v>9.0</v>
      </c>
      <c r="I207" s="9" t="s">
        <v>46</v>
      </c>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02"/>
      <c r="AJ207" s="102"/>
    </row>
    <row r="208" ht="22.5" customHeight="1">
      <c r="A208" s="8">
        <v>45926.0</v>
      </c>
      <c r="B208" s="9" t="s">
        <v>26</v>
      </c>
      <c r="C208" s="9" t="s">
        <v>9</v>
      </c>
      <c r="D208" s="9">
        <v>24.0</v>
      </c>
      <c r="E208" s="9" t="s">
        <v>10</v>
      </c>
      <c r="F208" s="9" t="s">
        <v>15</v>
      </c>
      <c r="G208" s="9" t="s">
        <v>35</v>
      </c>
      <c r="H208" s="9">
        <v>9.0</v>
      </c>
      <c r="I208" s="9" t="s">
        <v>42</v>
      </c>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02"/>
      <c r="AJ208" s="102"/>
    </row>
    <row r="209" ht="22.5" customHeight="1">
      <c r="A209" s="8">
        <v>45928.0</v>
      </c>
      <c r="B209" s="9" t="s">
        <v>17</v>
      </c>
      <c r="C209" s="9" t="s">
        <v>9</v>
      </c>
      <c r="D209" s="9">
        <v>9.0</v>
      </c>
      <c r="E209" s="9" t="s">
        <v>10</v>
      </c>
      <c r="F209" s="9" t="s">
        <v>11</v>
      </c>
      <c r="G209" s="9" t="s">
        <v>35</v>
      </c>
      <c r="H209" s="9">
        <v>9.0</v>
      </c>
      <c r="I209" s="9" t="s">
        <v>43</v>
      </c>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02"/>
      <c r="AJ209" s="102"/>
    </row>
    <row r="210" ht="22.5" customHeight="1">
      <c r="A210" s="8">
        <v>45930.0</v>
      </c>
      <c r="B210" s="9" t="s">
        <v>8</v>
      </c>
      <c r="C210" s="9" t="s">
        <v>9</v>
      </c>
      <c r="D210" s="9">
        <v>14.0</v>
      </c>
      <c r="E210" s="9" t="s">
        <v>10</v>
      </c>
      <c r="F210" s="9" t="s">
        <v>11</v>
      </c>
      <c r="G210" s="9" t="s">
        <v>35</v>
      </c>
      <c r="H210" s="9">
        <v>9.0</v>
      </c>
      <c r="I210" s="9" t="s">
        <v>45</v>
      </c>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02"/>
      <c r="AJ210" s="102"/>
    </row>
    <row r="211" ht="22.5" customHeight="1">
      <c r="A211" s="8">
        <v>45931.0</v>
      </c>
      <c r="B211" s="9" t="s">
        <v>14</v>
      </c>
      <c r="C211" s="9" t="s">
        <v>9</v>
      </c>
      <c r="D211" s="9">
        <v>21.0</v>
      </c>
      <c r="E211" s="9" t="s">
        <v>10</v>
      </c>
      <c r="F211" s="9" t="s">
        <v>15</v>
      </c>
      <c r="G211" s="9" t="s">
        <v>36</v>
      </c>
      <c r="H211" s="9">
        <v>10.0</v>
      </c>
      <c r="I211" s="9" t="s">
        <v>46</v>
      </c>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02"/>
      <c r="AJ211" s="102"/>
    </row>
    <row r="212" ht="22.5" customHeight="1">
      <c r="A212" s="8">
        <v>45933.0</v>
      </c>
      <c r="B212" s="9" t="s">
        <v>8</v>
      </c>
      <c r="C212" s="9" t="s">
        <v>21</v>
      </c>
      <c r="D212" s="9">
        <v>14.0</v>
      </c>
      <c r="E212" s="9" t="s">
        <v>10</v>
      </c>
      <c r="F212" s="9" t="s">
        <v>11</v>
      </c>
      <c r="G212" s="9" t="s">
        <v>36</v>
      </c>
      <c r="H212" s="9">
        <v>10.0</v>
      </c>
      <c r="I212" s="9" t="s">
        <v>42</v>
      </c>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02"/>
      <c r="AJ212" s="102"/>
    </row>
    <row r="213" ht="22.5" customHeight="1">
      <c r="A213" s="8">
        <v>45935.0</v>
      </c>
      <c r="B213" s="9" t="s">
        <v>19</v>
      </c>
      <c r="C213" s="9" t="s">
        <v>9</v>
      </c>
      <c r="D213" s="9">
        <v>7.0</v>
      </c>
      <c r="E213" s="9" t="s">
        <v>10</v>
      </c>
      <c r="F213" s="9" t="s">
        <v>11</v>
      </c>
      <c r="G213" s="9" t="s">
        <v>36</v>
      </c>
      <c r="H213" s="9">
        <v>10.0</v>
      </c>
      <c r="I213" s="9" t="s">
        <v>43</v>
      </c>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02"/>
      <c r="AJ213" s="102"/>
    </row>
    <row r="214" ht="22.5" customHeight="1">
      <c r="A214" s="8">
        <v>45937.0</v>
      </c>
      <c r="B214" s="9" t="s">
        <v>17</v>
      </c>
      <c r="C214" s="9" t="s">
        <v>9</v>
      </c>
      <c r="D214" s="9">
        <v>11.0</v>
      </c>
      <c r="E214" s="9" t="s">
        <v>10</v>
      </c>
      <c r="F214" s="9" t="s">
        <v>15</v>
      </c>
      <c r="G214" s="9" t="s">
        <v>36</v>
      </c>
      <c r="H214" s="9">
        <v>10.0</v>
      </c>
      <c r="I214" s="9" t="s">
        <v>45</v>
      </c>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02"/>
      <c r="AJ214" s="102"/>
    </row>
    <row r="215" ht="22.5" customHeight="1">
      <c r="A215" s="8">
        <v>45938.0</v>
      </c>
      <c r="B215" s="9" t="s">
        <v>8</v>
      </c>
      <c r="C215" s="9" t="s">
        <v>9</v>
      </c>
      <c r="D215" s="9">
        <v>14.0</v>
      </c>
      <c r="E215" s="9" t="s">
        <v>10</v>
      </c>
      <c r="F215" s="9" t="s">
        <v>11</v>
      </c>
      <c r="G215" s="9" t="s">
        <v>36</v>
      </c>
      <c r="H215" s="9">
        <v>10.0</v>
      </c>
      <c r="I215" s="9" t="s">
        <v>46</v>
      </c>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02"/>
      <c r="AJ215" s="102"/>
    </row>
    <row r="216" ht="22.5" customHeight="1">
      <c r="A216" s="8">
        <v>45940.0</v>
      </c>
      <c r="B216" s="9" t="s">
        <v>8</v>
      </c>
      <c r="C216" s="9" t="s">
        <v>9</v>
      </c>
      <c r="D216" s="9">
        <v>15.0</v>
      </c>
      <c r="E216" s="9" t="s">
        <v>10</v>
      </c>
      <c r="F216" s="9" t="s">
        <v>11</v>
      </c>
      <c r="G216" s="9" t="s">
        <v>36</v>
      </c>
      <c r="H216" s="9">
        <v>10.0</v>
      </c>
      <c r="I216" s="9" t="s">
        <v>42</v>
      </c>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02"/>
      <c r="AJ216" s="102"/>
    </row>
    <row r="217" ht="22.5" customHeight="1">
      <c r="A217" s="8">
        <v>45942.0</v>
      </c>
      <c r="B217" s="9" t="s">
        <v>23</v>
      </c>
      <c r="C217" s="9" t="s">
        <v>9</v>
      </c>
      <c r="D217" s="9">
        <v>20.0</v>
      </c>
      <c r="E217" s="9" t="s">
        <v>10</v>
      </c>
      <c r="F217" s="9" t="s">
        <v>15</v>
      </c>
      <c r="G217" s="9" t="s">
        <v>36</v>
      </c>
      <c r="H217" s="9">
        <v>10.0</v>
      </c>
      <c r="I217" s="9" t="s">
        <v>43</v>
      </c>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02"/>
      <c r="AJ217" s="102"/>
    </row>
    <row r="218" ht="22.5" customHeight="1">
      <c r="A218" s="8">
        <v>45944.0</v>
      </c>
      <c r="B218" s="9" t="s">
        <v>17</v>
      </c>
      <c r="C218" s="9" t="s">
        <v>24</v>
      </c>
      <c r="D218" s="9">
        <v>10.0</v>
      </c>
      <c r="E218" s="9" t="s">
        <v>10</v>
      </c>
      <c r="F218" s="9" t="s">
        <v>11</v>
      </c>
      <c r="G218" s="9" t="s">
        <v>36</v>
      </c>
      <c r="H218" s="9">
        <v>10.0</v>
      </c>
      <c r="I218" s="9" t="s">
        <v>45</v>
      </c>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02"/>
      <c r="AJ218" s="102"/>
    </row>
    <row r="219" ht="22.5" customHeight="1">
      <c r="A219" s="8">
        <v>45945.0</v>
      </c>
      <c r="B219" s="9" t="s">
        <v>14</v>
      </c>
      <c r="C219" s="9" t="s">
        <v>9</v>
      </c>
      <c r="D219" s="9">
        <v>23.0</v>
      </c>
      <c r="E219" s="9" t="s">
        <v>10</v>
      </c>
      <c r="F219" s="9" t="s">
        <v>11</v>
      </c>
      <c r="G219" s="9" t="s">
        <v>36</v>
      </c>
      <c r="H219" s="9">
        <v>10.0</v>
      </c>
      <c r="I219" s="9" t="s">
        <v>46</v>
      </c>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02"/>
      <c r="AJ219" s="102"/>
    </row>
    <row r="220" ht="22.5" customHeight="1">
      <c r="A220" s="8">
        <v>45947.0</v>
      </c>
      <c r="B220" s="9" t="s">
        <v>8</v>
      </c>
      <c r="C220" s="9" t="s">
        <v>9</v>
      </c>
      <c r="D220" s="9">
        <v>14.0</v>
      </c>
      <c r="E220" s="9" t="s">
        <v>10</v>
      </c>
      <c r="F220" s="9" t="s">
        <v>15</v>
      </c>
      <c r="G220" s="9" t="s">
        <v>36</v>
      </c>
      <c r="H220" s="9">
        <v>10.0</v>
      </c>
      <c r="I220" s="9" t="s">
        <v>42</v>
      </c>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02"/>
      <c r="AJ220" s="102"/>
    </row>
    <row r="221" ht="22.5" customHeight="1">
      <c r="A221" s="8">
        <v>45949.0</v>
      </c>
      <c r="B221" s="9" t="s">
        <v>19</v>
      </c>
      <c r="C221" s="9" t="s">
        <v>9</v>
      </c>
      <c r="D221" s="9">
        <v>7.0</v>
      </c>
      <c r="E221" s="9" t="s">
        <v>10</v>
      </c>
      <c r="F221" s="9" t="s">
        <v>11</v>
      </c>
      <c r="G221" s="9" t="s">
        <v>36</v>
      </c>
      <c r="H221" s="9">
        <v>10.0</v>
      </c>
      <c r="I221" s="9" t="s">
        <v>43</v>
      </c>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02"/>
      <c r="AJ221" s="102"/>
    </row>
    <row r="222" ht="22.5" customHeight="1">
      <c r="A222" s="8">
        <v>45951.0</v>
      </c>
      <c r="B222" s="9" t="s">
        <v>8</v>
      </c>
      <c r="C222" s="9" t="s">
        <v>9</v>
      </c>
      <c r="D222" s="9">
        <v>14.0</v>
      </c>
      <c r="E222" s="9" t="s">
        <v>10</v>
      </c>
      <c r="F222" s="9" t="s">
        <v>11</v>
      </c>
      <c r="G222" s="9" t="s">
        <v>36</v>
      </c>
      <c r="H222" s="9">
        <v>10.0</v>
      </c>
      <c r="I222" s="9" t="s">
        <v>45</v>
      </c>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02"/>
      <c r="AJ222" s="102"/>
    </row>
    <row r="223" ht="22.5" customHeight="1">
      <c r="A223" s="8">
        <v>45952.0</v>
      </c>
      <c r="B223" s="9" t="s">
        <v>17</v>
      </c>
      <c r="C223" s="9" t="s">
        <v>9</v>
      </c>
      <c r="D223" s="9">
        <v>9.0</v>
      </c>
      <c r="E223" s="9" t="s">
        <v>10</v>
      </c>
      <c r="F223" s="9" t="s">
        <v>15</v>
      </c>
      <c r="G223" s="9" t="s">
        <v>36</v>
      </c>
      <c r="H223" s="9">
        <v>10.0</v>
      </c>
      <c r="I223" s="9" t="s">
        <v>46</v>
      </c>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02"/>
      <c r="AJ223" s="102"/>
    </row>
    <row r="224" ht="22.5" customHeight="1">
      <c r="A224" s="8">
        <v>45954.0</v>
      </c>
      <c r="B224" s="9" t="s">
        <v>26</v>
      </c>
      <c r="C224" s="9" t="s">
        <v>21</v>
      </c>
      <c r="D224" s="9">
        <v>25.0</v>
      </c>
      <c r="E224" s="9" t="s">
        <v>10</v>
      </c>
      <c r="F224" s="9" t="s">
        <v>11</v>
      </c>
      <c r="G224" s="9" t="s">
        <v>36</v>
      </c>
      <c r="H224" s="9">
        <v>10.0</v>
      </c>
      <c r="I224" s="9" t="s">
        <v>42</v>
      </c>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02"/>
      <c r="AJ224" s="102"/>
    </row>
    <row r="225" ht="22.5" customHeight="1">
      <c r="A225" s="8">
        <v>45956.0</v>
      </c>
      <c r="B225" s="9" t="s">
        <v>8</v>
      </c>
      <c r="C225" s="9" t="s">
        <v>9</v>
      </c>
      <c r="D225" s="9">
        <v>14.0</v>
      </c>
      <c r="E225" s="9" t="s">
        <v>10</v>
      </c>
      <c r="F225" s="9" t="s">
        <v>11</v>
      </c>
      <c r="G225" s="9" t="s">
        <v>36</v>
      </c>
      <c r="H225" s="9">
        <v>10.0</v>
      </c>
      <c r="I225" s="9" t="s">
        <v>43</v>
      </c>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02"/>
      <c r="AJ225" s="102"/>
    </row>
    <row r="226" ht="22.5" customHeight="1">
      <c r="A226" s="8">
        <v>45958.0</v>
      </c>
      <c r="B226" s="9" t="s">
        <v>8</v>
      </c>
      <c r="C226" s="9" t="s">
        <v>24</v>
      </c>
      <c r="D226" s="9">
        <v>16.0</v>
      </c>
      <c r="E226" s="9" t="s">
        <v>10</v>
      </c>
      <c r="F226" s="9" t="s">
        <v>15</v>
      </c>
      <c r="G226" s="9" t="s">
        <v>36</v>
      </c>
      <c r="H226" s="9">
        <v>10.0</v>
      </c>
      <c r="I226" s="9" t="s">
        <v>45</v>
      </c>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02"/>
      <c r="AJ226" s="102"/>
    </row>
    <row r="227" ht="22.5" customHeight="1">
      <c r="A227" s="8">
        <v>45959.0</v>
      </c>
      <c r="B227" s="9" t="s">
        <v>14</v>
      </c>
      <c r="C227" s="9" t="s">
        <v>9</v>
      </c>
      <c r="D227" s="9">
        <v>21.0</v>
      </c>
      <c r="E227" s="9" t="s">
        <v>10</v>
      </c>
      <c r="F227" s="9" t="s">
        <v>11</v>
      </c>
      <c r="G227" s="9" t="s">
        <v>36</v>
      </c>
      <c r="H227" s="9">
        <v>10.0</v>
      </c>
      <c r="I227" s="9" t="s">
        <v>46</v>
      </c>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02"/>
      <c r="AJ227" s="102"/>
    </row>
    <row r="228" ht="22.5" customHeight="1">
      <c r="A228" s="8">
        <v>45961.0</v>
      </c>
      <c r="B228" s="9" t="s">
        <v>17</v>
      </c>
      <c r="C228" s="9" t="s">
        <v>9</v>
      </c>
      <c r="D228" s="9">
        <v>10.0</v>
      </c>
      <c r="E228" s="9" t="s">
        <v>10</v>
      </c>
      <c r="F228" s="9" t="s">
        <v>11</v>
      </c>
      <c r="G228" s="9" t="s">
        <v>36</v>
      </c>
      <c r="H228" s="9">
        <v>10.0</v>
      </c>
      <c r="I228" s="9" t="s">
        <v>42</v>
      </c>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02"/>
      <c r="AJ228" s="102"/>
    </row>
    <row r="229" ht="22.5" customHeight="1">
      <c r="A229" s="8">
        <v>45963.0</v>
      </c>
      <c r="B229" s="9" t="s">
        <v>8</v>
      </c>
      <c r="C229" s="9" t="s">
        <v>9</v>
      </c>
      <c r="D229" s="9">
        <v>14.0</v>
      </c>
      <c r="E229" s="9" t="s">
        <v>10</v>
      </c>
      <c r="F229" s="9" t="s">
        <v>15</v>
      </c>
      <c r="G229" s="9" t="s">
        <v>37</v>
      </c>
      <c r="H229" s="9">
        <v>11.0</v>
      </c>
      <c r="I229" s="9" t="s">
        <v>43</v>
      </c>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02"/>
      <c r="AJ229" s="102"/>
    </row>
    <row r="230" ht="22.5" customHeight="1">
      <c r="A230" s="8">
        <v>45965.0</v>
      </c>
      <c r="B230" s="9" t="s">
        <v>19</v>
      </c>
      <c r="C230" s="9" t="s">
        <v>9</v>
      </c>
      <c r="D230" s="9">
        <v>7.0</v>
      </c>
      <c r="E230" s="9" t="s">
        <v>10</v>
      </c>
      <c r="F230" s="9" t="s">
        <v>11</v>
      </c>
      <c r="G230" s="9" t="s">
        <v>37</v>
      </c>
      <c r="H230" s="9">
        <v>11.0</v>
      </c>
      <c r="I230" s="9" t="s">
        <v>45</v>
      </c>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02"/>
      <c r="AJ230" s="102"/>
    </row>
    <row r="231" ht="22.5" customHeight="1">
      <c r="A231" s="8">
        <v>45966.0</v>
      </c>
      <c r="B231" s="9" t="s">
        <v>8</v>
      </c>
      <c r="C231" s="9" t="s">
        <v>21</v>
      </c>
      <c r="D231" s="9">
        <v>14.0</v>
      </c>
      <c r="E231" s="9" t="s">
        <v>10</v>
      </c>
      <c r="F231" s="9" t="s">
        <v>11</v>
      </c>
      <c r="G231" s="9" t="s">
        <v>37</v>
      </c>
      <c r="H231" s="9">
        <v>11.0</v>
      </c>
      <c r="I231" s="9" t="s">
        <v>46</v>
      </c>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02"/>
      <c r="AJ231" s="102"/>
    </row>
    <row r="232" ht="22.5" customHeight="1">
      <c r="A232" s="8">
        <v>45968.0</v>
      </c>
      <c r="B232" s="9" t="s">
        <v>17</v>
      </c>
      <c r="C232" s="9" t="s">
        <v>9</v>
      </c>
      <c r="D232" s="9">
        <v>12.0</v>
      </c>
      <c r="E232" s="9" t="s">
        <v>10</v>
      </c>
      <c r="F232" s="9" t="s">
        <v>15</v>
      </c>
      <c r="G232" s="9" t="s">
        <v>37</v>
      </c>
      <c r="H232" s="9">
        <v>11.0</v>
      </c>
      <c r="I232" s="9" t="s">
        <v>42</v>
      </c>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02"/>
      <c r="AJ232" s="102"/>
    </row>
    <row r="233" ht="22.5" customHeight="1">
      <c r="A233" s="8">
        <v>45970.0</v>
      </c>
      <c r="B233" s="9" t="s">
        <v>14</v>
      </c>
      <c r="C233" s="9" t="s">
        <v>9</v>
      </c>
      <c r="D233" s="9">
        <v>22.0</v>
      </c>
      <c r="E233" s="9" t="s">
        <v>10</v>
      </c>
      <c r="F233" s="9" t="s">
        <v>11</v>
      </c>
      <c r="G233" s="9" t="s">
        <v>37</v>
      </c>
      <c r="H233" s="9">
        <v>11.0</v>
      </c>
      <c r="I233" s="9" t="s">
        <v>43</v>
      </c>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02"/>
      <c r="AJ233" s="102"/>
    </row>
    <row r="234" ht="22.5" customHeight="1">
      <c r="A234" s="8">
        <v>45972.0</v>
      </c>
      <c r="B234" s="9" t="s">
        <v>8</v>
      </c>
      <c r="C234" s="9" t="s">
        <v>9</v>
      </c>
      <c r="D234" s="9">
        <v>14.0</v>
      </c>
      <c r="E234" s="9" t="s">
        <v>10</v>
      </c>
      <c r="F234" s="9" t="s">
        <v>11</v>
      </c>
      <c r="G234" s="9" t="s">
        <v>37</v>
      </c>
      <c r="H234" s="9">
        <v>11.0</v>
      </c>
      <c r="I234" s="9" t="s">
        <v>45</v>
      </c>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02"/>
      <c r="AJ234" s="102"/>
    </row>
    <row r="235" ht="22.5" customHeight="1">
      <c r="A235" s="8">
        <v>45973.0</v>
      </c>
      <c r="B235" s="9" t="s">
        <v>23</v>
      </c>
      <c r="C235" s="9" t="s">
        <v>9</v>
      </c>
      <c r="D235" s="9">
        <v>19.0</v>
      </c>
      <c r="E235" s="9" t="s">
        <v>10</v>
      </c>
      <c r="F235" s="9" t="s">
        <v>15</v>
      </c>
      <c r="G235" s="9" t="s">
        <v>37</v>
      </c>
      <c r="H235" s="9">
        <v>11.0</v>
      </c>
      <c r="I235" s="9" t="s">
        <v>46</v>
      </c>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02"/>
      <c r="AJ235" s="102"/>
    </row>
    <row r="236" ht="22.5" customHeight="1">
      <c r="A236" s="8">
        <v>45975.0</v>
      </c>
      <c r="B236" s="9" t="s">
        <v>17</v>
      </c>
      <c r="C236" s="9" t="s">
        <v>24</v>
      </c>
      <c r="D236" s="9">
        <v>9.0</v>
      </c>
      <c r="E236" s="9" t="s">
        <v>10</v>
      </c>
      <c r="F236" s="9" t="s">
        <v>11</v>
      </c>
      <c r="G236" s="9" t="s">
        <v>37</v>
      </c>
      <c r="H236" s="9">
        <v>11.0</v>
      </c>
      <c r="I236" s="9" t="s">
        <v>42</v>
      </c>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02"/>
      <c r="AJ236" s="102"/>
    </row>
    <row r="237" ht="22.5" customHeight="1">
      <c r="A237" s="8">
        <v>45977.0</v>
      </c>
      <c r="B237" s="9" t="s">
        <v>8</v>
      </c>
      <c r="C237" s="9" t="s">
        <v>9</v>
      </c>
      <c r="D237" s="9">
        <v>14.0</v>
      </c>
      <c r="E237" s="9" t="s">
        <v>10</v>
      </c>
      <c r="F237" s="9" t="s">
        <v>11</v>
      </c>
      <c r="G237" s="9" t="s">
        <v>37</v>
      </c>
      <c r="H237" s="9">
        <v>11.0</v>
      </c>
      <c r="I237" s="9" t="s">
        <v>43</v>
      </c>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02"/>
      <c r="AJ237" s="102"/>
    </row>
    <row r="238" ht="22.5" customHeight="1">
      <c r="A238" s="8">
        <v>45979.0</v>
      </c>
      <c r="B238" s="9" t="s">
        <v>19</v>
      </c>
      <c r="C238" s="9" t="s">
        <v>9</v>
      </c>
      <c r="D238" s="9">
        <v>7.0</v>
      </c>
      <c r="E238" s="9" t="s">
        <v>10</v>
      </c>
      <c r="F238" s="9" t="s">
        <v>15</v>
      </c>
      <c r="G238" s="9" t="s">
        <v>37</v>
      </c>
      <c r="H238" s="9">
        <v>11.0</v>
      </c>
      <c r="I238" s="9" t="s">
        <v>45</v>
      </c>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02"/>
      <c r="AJ238" s="102"/>
    </row>
    <row r="239" ht="22.5" customHeight="1">
      <c r="A239" s="8">
        <v>45980.0</v>
      </c>
      <c r="B239" s="9" t="s">
        <v>14</v>
      </c>
      <c r="C239" s="9" t="s">
        <v>9</v>
      </c>
      <c r="D239" s="9">
        <v>24.0</v>
      </c>
      <c r="E239" s="9" t="s">
        <v>22</v>
      </c>
      <c r="F239" s="9" t="s">
        <v>11</v>
      </c>
      <c r="G239" s="9" t="s">
        <v>37</v>
      </c>
      <c r="H239" s="9">
        <v>11.0</v>
      </c>
      <c r="I239" s="9" t="s">
        <v>46</v>
      </c>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02"/>
      <c r="AJ239" s="102"/>
    </row>
    <row r="240" ht="22.5" customHeight="1">
      <c r="A240" s="8">
        <v>45982.0</v>
      </c>
      <c r="B240" s="9" t="s">
        <v>8</v>
      </c>
      <c r="C240" s="9" t="s">
        <v>9</v>
      </c>
      <c r="D240" s="9">
        <v>14.0</v>
      </c>
      <c r="E240" s="9" t="s">
        <v>10</v>
      </c>
      <c r="F240" s="9" t="s">
        <v>11</v>
      </c>
      <c r="G240" s="9" t="s">
        <v>37</v>
      </c>
      <c r="H240" s="9">
        <v>11.0</v>
      </c>
      <c r="I240" s="9" t="s">
        <v>42</v>
      </c>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02"/>
      <c r="AJ240" s="102"/>
    </row>
    <row r="241" ht="22.5" customHeight="1">
      <c r="A241" s="8">
        <v>45984.0</v>
      </c>
      <c r="B241" s="9" t="s">
        <v>17</v>
      </c>
      <c r="C241" s="9" t="s">
        <v>9</v>
      </c>
      <c r="D241" s="9">
        <v>10.0</v>
      </c>
      <c r="E241" s="9" t="s">
        <v>10</v>
      </c>
      <c r="F241" s="9" t="s">
        <v>15</v>
      </c>
      <c r="G241" s="9" t="s">
        <v>37</v>
      </c>
      <c r="H241" s="9">
        <v>11.0</v>
      </c>
      <c r="I241" s="9" t="s">
        <v>43</v>
      </c>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02"/>
      <c r="AJ241" s="102"/>
    </row>
    <row r="242" ht="22.5" customHeight="1">
      <c r="A242" s="8">
        <v>45986.0</v>
      </c>
      <c r="B242" s="9" t="s">
        <v>26</v>
      </c>
      <c r="C242" s="9" t="s">
        <v>9</v>
      </c>
      <c r="D242" s="9">
        <v>26.0</v>
      </c>
      <c r="E242" s="9" t="s">
        <v>10</v>
      </c>
      <c r="F242" s="9" t="s">
        <v>11</v>
      </c>
      <c r="G242" s="9" t="s">
        <v>37</v>
      </c>
      <c r="H242" s="9">
        <v>11.0</v>
      </c>
      <c r="I242" s="9" t="s">
        <v>45</v>
      </c>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02"/>
      <c r="AJ242" s="102"/>
    </row>
    <row r="243" ht="22.5" customHeight="1">
      <c r="A243" s="8">
        <v>45987.0</v>
      </c>
      <c r="B243" s="9" t="s">
        <v>8</v>
      </c>
      <c r="C243" s="9" t="s">
        <v>24</v>
      </c>
      <c r="D243" s="9">
        <v>14.0</v>
      </c>
      <c r="E243" s="9" t="s">
        <v>10</v>
      </c>
      <c r="F243" s="9" t="s">
        <v>11</v>
      </c>
      <c r="G243" s="9" t="s">
        <v>37</v>
      </c>
      <c r="H243" s="9">
        <v>11.0</v>
      </c>
      <c r="I243" s="9" t="s">
        <v>46</v>
      </c>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02"/>
      <c r="AJ243" s="102"/>
    </row>
    <row r="244" ht="22.5" customHeight="1">
      <c r="A244" s="8">
        <v>45989.0</v>
      </c>
      <c r="B244" s="9" t="s">
        <v>8</v>
      </c>
      <c r="C244" s="9" t="s">
        <v>9</v>
      </c>
      <c r="D244" s="9">
        <v>15.0</v>
      </c>
      <c r="E244" s="9" t="s">
        <v>10</v>
      </c>
      <c r="F244" s="9" t="s">
        <v>15</v>
      </c>
      <c r="G244" s="9" t="s">
        <v>37</v>
      </c>
      <c r="H244" s="9">
        <v>11.0</v>
      </c>
      <c r="I244" s="9" t="s">
        <v>42</v>
      </c>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02"/>
      <c r="AJ244" s="102"/>
    </row>
    <row r="245" ht="22.5" customHeight="1">
      <c r="A245" s="8">
        <v>45991.0</v>
      </c>
      <c r="B245" s="9" t="s">
        <v>17</v>
      </c>
      <c r="C245" s="9" t="s">
        <v>9</v>
      </c>
      <c r="D245" s="9">
        <v>11.0</v>
      </c>
      <c r="E245" s="9" t="s">
        <v>10</v>
      </c>
      <c r="F245" s="9" t="s">
        <v>11</v>
      </c>
      <c r="G245" s="9" t="s">
        <v>37</v>
      </c>
      <c r="H245" s="9">
        <v>11.0</v>
      </c>
      <c r="I245" s="9" t="s">
        <v>43</v>
      </c>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02"/>
      <c r="AJ245" s="102"/>
    </row>
    <row r="246" ht="22.5" customHeight="1">
      <c r="A246" s="8">
        <v>45993.0</v>
      </c>
      <c r="B246" s="9" t="s">
        <v>14</v>
      </c>
      <c r="C246" s="9" t="s">
        <v>9</v>
      </c>
      <c r="D246" s="9">
        <v>21.0</v>
      </c>
      <c r="E246" s="9" t="s">
        <v>10</v>
      </c>
      <c r="F246" s="9" t="s">
        <v>11</v>
      </c>
      <c r="G246" s="9" t="s">
        <v>38</v>
      </c>
      <c r="H246" s="9">
        <v>12.0</v>
      </c>
      <c r="I246" s="9" t="s">
        <v>45</v>
      </c>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02"/>
      <c r="AJ246" s="102"/>
    </row>
    <row r="247" ht="22.5" customHeight="1">
      <c r="A247" s="8">
        <v>45994.0</v>
      </c>
      <c r="B247" s="9" t="s">
        <v>8</v>
      </c>
      <c r="C247" s="9" t="s">
        <v>9</v>
      </c>
      <c r="D247" s="9">
        <v>14.0</v>
      </c>
      <c r="E247" s="9" t="s">
        <v>10</v>
      </c>
      <c r="F247" s="9" t="s">
        <v>15</v>
      </c>
      <c r="G247" s="9" t="s">
        <v>38</v>
      </c>
      <c r="H247" s="9">
        <v>12.0</v>
      </c>
      <c r="I247" s="9" t="s">
        <v>46</v>
      </c>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02"/>
      <c r="AJ247" s="102"/>
    </row>
    <row r="248" ht="22.5" customHeight="1">
      <c r="A248" s="8">
        <v>45996.0</v>
      </c>
      <c r="B248" s="9" t="s">
        <v>19</v>
      </c>
      <c r="C248" s="9" t="s">
        <v>9</v>
      </c>
      <c r="D248" s="9">
        <v>7.0</v>
      </c>
      <c r="E248" s="9" t="s">
        <v>10</v>
      </c>
      <c r="F248" s="9" t="s">
        <v>11</v>
      </c>
      <c r="G248" s="9" t="s">
        <v>38</v>
      </c>
      <c r="H248" s="9">
        <v>12.0</v>
      </c>
      <c r="I248" s="9" t="s">
        <v>42</v>
      </c>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02"/>
      <c r="AJ248" s="102"/>
    </row>
    <row r="249" ht="22.5" customHeight="1">
      <c r="A249" s="8">
        <v>45998.0</v>
      </c>
      <c r="B249" s="9" t="s">
        <v>17</v>
      </c>
      <c r="C249" s="9" t="s">
        <v>9</v>
      </c>
      <c r="D249" s="9">
        <v>10.0</v>
      </c>
      <c r="E249" s="9" t="s">
        <v>10</v>
      </c>
      <c r="F249" s="9" t="s">
        <v>11</v>
      </c>
      <c r="G249" s="9" t="s">
        <v>38</v>
      </c>
      <c r="H249" s="9">
        <v>12.0</v>
      </c>
      <c r="I249" s="9" t="s">
        <v>43</v>
      </c>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02"/>
      <c r="AJ249" s="102"/>
    </row>
    <row r="250" ht="22.5" customHeight="1">
      <c r="A250" s="8">
        <v>46000.0</v>
      </c>
      <c r="B250" s="9" t="s">
        <v>8</v>
      </c>
      <c r="C250" s="9" t="s">
        <v>21</v>
      </c>
      <c r="D250" s="9">
        <v>14.0</v>
      </c>
      <c r="E250" s="9" t="s">
        <v>10</v>
      </c>
      <c r="F250" s="9" t="s">
        <v>15</v>
      </c>
      <c r="G250" s="9" t="s">
        <v>38</v>
      </c>
      <c r="H250" s="9">
        <v>12.0</v>
      </c>
      <c r="I250" s="9" t="s">
        <v>45</v>
      </c>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02"/>
      <c r="AJ250" s="102"/>
    </row>
    <row r="251" ht="22.5" customHeight="1">
      <c r="A251" s="8">
        <v>46001.0</v>
      </c>
      <c r="B251" s="9" t="s">
        <v>8</v>
      </c>
      <c r="C251" s="9" t="s">
        <v>9</v>
      </c>
      <c r="D251" s="9">
        <v>14.0</v>
      </c>
      <c r="E251" s="9" t="s">
        <v>10</v>
      </c>
      <c r="F251" s="9" t="s">
        <v>11</v>
      </c>
      <c r="G251" s="9" t="s">
        <v>38</v>
      </c>
      <c r="H251" s="9">
        <v>12.0</v>
      </c>
      <c r="I251" s="9" t="s">
        <v>46</v>
      </c>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02"/>
      <c r="AJ251" s="102"/>
    </row>
    <row r="252" ht="22.5" customHeight="1">
      <c r="A252" s="8">
        <v>46003.0</v>
      </c>
      <c r="B252" s="9" t="s">
        <v>23</v>
      </c>
      <c r="C252" s="9" t="s">
        <v>9</v>
      </c>
      <c r="D252" s="9">
        <v>18.0</v>
      </c>
      <c r="E252" s="9" t="s">
        <v>10</v>
      </c>
      <c r="F252" s="9" t="s">
        <v>11</v>
      </c>
      <c r="G252" s="9" t="s">
        <v>38</v>
      </c>
      <c r="H252" s="9">
        <v>12.0</v>
      </c>
      <c r="I252" s="9" t="s">
        <v>42</v>
      </c>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02"/>
      <c r="AJ252" s="102"/>
    </row>
    <row r="253" ht="22.5" customHeight="1">
      <c r="A253" s="8">
        <v>46005.0</v>
      </c>
      <c r="B253" s="9" t="s">
        <v>17</v>
      </c>
      <c r="C253" s="9" t="s">
        <v>24</v>
      </c>
      <c r="D253" s="9">
        <v>12.0</v>
      </c>
      <c r="E253" s="9" t="s">
        <v>10</v>
      </c>
      <c r="F253" s="9" t="s">
        <v>15</v>
      </c>
      <c r="G253" s="9" t="s">
        <v>38</v>
      </c>
      <c r="H253" s="9">
        <v>12.0</v>
      </c>
      <c r="I253" s="9" t="s">
        <v>43</v>
      </c>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02"/>
      <c r="AJ253" s="102"/>
    </row>
    <row r="254" ht="22.5" customHeight="1">
      <c r="A254" s="8">
        <v>46007.0</v>
      </c>
      <c r="B254" s="9" t="s">
        <v>14</v>
      </c>
      <c r="C254" s="9" t="s">
        <v>9</v>
      </c>
      <c r="D254" s="9">
        <v>23.0</v>
      </c>
      <c r="E254" s="9" t="s">
        <v>10</v>
      </c>
      <c r="F254" s="9" t="s">
        <v>11</v>
      </c>
      <c r="G254" s="9" t="s">
        <v>38</v>
      </c>
      <c r="H254" s="9">
        <v>12.0</v>
      </c>
      <c r="I254" s="9" t="s">
        <v>45</v>
      </c>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02"/>
      <c r="AJ254" s="102"/>
    </row>
    <row r="255" ht="22.5" customHeight="1">
      <c r="A255" s="8">
        <v>46008.0</v>
      </c>
      <c r="B255" s="9" t="s">
        <v>8</v>
      </c>
      <c r="C255" s="9" t="s">
        <v>9</v>
      </c>
      <c r="D255" s="9">
        <v>14.0</v>
      </c>
      <c r="E255" s="9" t="s">
        <v>10</v>
      </c>
      <c r="F255" s="9" t="s">
        <v>11</v>
      </c>
      <c r="G255" s="9" t="s">
        <v>38</v>
      </c>
      <c r="H255" s="9">
        <v>12.0</v>
      </c>
      <c r="I255" s="9" t="s">
        <v>46</v>
      </c>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02"/>
      <c r="AJ255" s="102"/>
    </row>
    <row r="256" ht="22.5" customHeight="1">
      <c r="A256" s="8">
        <v>46010.0</v>
      </c>
      <c r="B256" s="9" t="s">
        <v>19</v>
      </c>
      <c r="C256" s="9" t="s">
        <v>9</v>
      </c>
      <c r="D256" s="9">
        <v>7.0</v>
      </c>
      <c r="E256" s="9" t="s">
        <v>10</v>
      </c>
      <c r="F256" s="9" t="s">
        <v>15</v>
      </c>
      <c r="G256" s="9" t="s">
        <v>38</v>
      </c>
      <c r="H256" s="9">
        <v>12.0</v>
      </c>
      <c r="I256" s="9" t="s">
        <v>42</v>
      </c>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02"/>
      <c r="AJ256" s="102"/>
    </row>
    <row r="257" ht="22.5" customHeight="1">
      <c r="A257" s="8">
        <v>46012.0</v>
      </c>
      <c r="B257" s="9" t="s">
        <v>8</v>
      </c>
      <c r="C257" s="9" t="s">
        <v>9</v>
      </c>
      <c r="D257" s="9">
        <v>21.0</v>
      </c>
      <c r="E257" s="9" t="s">
        <v>10</v>
      </c>
      <c r="F257" s="9" t="s">
        <v>11</v>
      </c>
      <c r="G257" s="9" t="s">
        <v>38</v>
      </c>
      <c r="H257" s="9">
        <v>12.0</v>
      </c>
      <c r="I257" s="9" t="s">
        <v>43</v>
      </c>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02"/>
      <c r="AJ257" s="102"/>
    </row>
    <row r="258" ht="22.5" customHeight="1">
      <c r="A258" s="8">
        <v>46014.0</v>
      </c>
      <c r="B258" s="9" t="s">
        <v>17</v>
      </c>
      <c r="C258" s="9" t="s">
        <v>9</v>
      </c>
      <c r="D258" s="9">
        <v>14.0</v>
      </c>
      <c r="E258" s="9" t="s">
        <v>10</v>
      </c>
      <c r="F258" s="9" t="s">
        <v>11</v>
      </c>
      <c r="G258" s="9" t="s">
        <v>38</v>
      </c>
      <c r="H258" s="9">
        <v>12.0</v>
      </c>
      <c r="I258" s="9" t="s">
        <v>45</v>
      </c>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02"/>
      <c r="AJ258" s="102"/>
    </row>
    <row r="259" ht="22.5" customHeight="1">
      <c r="A259" s="8">
        <v>46015.0</v>
      </c>
      <c r="B259" s="9" t="s">
        <v>26</v>
      </c>
      <c r="C259" s="9" t="s">
        <v>9</v>
      </c>
      <c r="D259" s="9">
        <v>28.0</v>
      </c>
      <c r="E259" s="9" t="s">
        <v>22</v>
      </c>
      <c r="F259" s="9" t="s">
        <v>15</v>
      </c>
      <c r="G259" s="9" t="s">
        <v>38</v>
      </c>
      <c r="H259" s="9">
        <v>12.0</v>
      </c>
      <c r="I259" s="9" t="s">
        <v>46</v>
      </c>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02"/>
      <c r="AJ259" s="102"/>
    </row>
    <row r="260" ht="22.5" customHeight="1">
      <c r="A260" s="8">
        <v>46017.0</v>
      </c>
      <c r="B260" s="9" t="s">
        <v>8</v>
      </c>
      <c r="C260" s="9" t="s">
        <v>9</v>
      </c>
      <c r="D260" s="9">
        <v>14.0</v>
      </c>
      <c r="E260" s="9" t="s">
        <v>10</v>
      </c>
      <c r="F260" s="9" t="s">
        <v>11</v>
      </c>
      <c r="G260" s="9" t="s">
        <v>38</v>
      </c>
      <c r="H260" s="9">
        <v>12.0</v>
      </c>
      <c r="I260" s="9" t="s">
        <v>42</v>
      </c>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02"/>
      <c r="AJ260" s="102"/>
    </row>
    <row r="261" ht="22.5" customHeight="1">
      <c r="A261" s="8">
        <v>46019.0</v>
      </c>
      <c r="B261" s="9" t="s">
        <v>8</v>
      </c>
      <c r="C261" s="9" t="s">
        <v>24</v>
      </c>
      <c r="D261" s="9">
        <v>15.0</v>
      </c>
      <c r="E261" s="9" t="s">
        <v>10</v>
      </c>
      <c r="F261" s="9" t="s">
        <v>11</v>
      </c>
      <c r="G261" s="9" t="s">
        <v>38</v>
      </c>
      <c r="H261" s="9">
        <v>12.0</v>
      </c>
      <c r="I261" s="9" t="s">
        <v>43</v>
      </c>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02"/>
      <c r="AJ261" s="102"/>
    </row>
    <row r="262" ht="22.5" customHeight="1">
      <c r="A262" s="8">
        <v>46021.0</v>
      </c>
      <c r="B262" s="9" t="s">
        <v>17</v>
      </c>
      <c r="C262" s="9" t="s">
        <v>9</v>
      </c>
      <c r="D262" s="9">
        <v>10.0</v>
      </c>
      <c r="E262" s="9" t="s">
        <v>10</v>
      </c>
      <c r="F262" s="9" t="s">
        <v>15</v>
      </c>
      <c r="G262" s="9" t="s">
        <v>38</v>
      </c>
      <c r="H262" s="9">
        <v>12.0</v>
      </c>
      <c r="I262" s="9" t="s">
        <v>45</v>
      </c>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02"/>
      <c r="AJ262" s="102"/>
    </row>
    <row r="263">
      <c r="A263" s="3"/>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02"/>
      <c r="AJ263" s="102"/>
    </row>
    <row r="264">
      <c r="A264" s="3"/>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02"/>
      <c r="AJ264" s="102"/>
    </row>
    <row r="265">
      <c r="A265" s="3"/>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02"/>
      <c r="AJ265" s="102"/>
    </row>
    <row r="266">
      <c r="A266" s="3"/>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02"/>
      <c r="AJ266" s="102"/>
    </row>
    <row r="267">
      <c r="A267" s="3"/>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02"/>
      <c r="AJ267" s="102"/>
    </row>
    <row r="268">
      <c r="A268" s="3"/>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02"/>
      <c r="AJ268" s="102"/>
    </row>
    <row r="269">
      <c r="A269" s="3"/>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02"/>
      <c r="AJ269" s="102"/>
    </row>
    <row r="270">
      <c r="A270" s="3"/>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02"/>
      <c r="AJ270" s="102"/>
    </row>
    <row r="271">
      <c r="A271" s="3"/>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02"/>
      <c r="AJ271" s="102"/>
    </row>
    <row r="272">
      <c r="A272" s="3"/>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02"/>
      <c r="AJ272" s="102"/>
    </row>
    <row r="273">
      <c r="A273" s="3"/>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02"/>
      <c r="AJ273" s="102"/>
    </row>
    <row r="274">
      <c r="A274" s="3"/>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02"/>
      <c r="AJ274" s="102"/>
    </row>
    <row r="275">
      <c r="A275" s="3"/>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02"/>
      <c r="AJ275" s="102"/>
    </row>
    <row r="276">
      <c r="A276" s="3"/>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02"/>
      <c r="AJ276" s="102"/>
    </row>
    <row r="277">
      <c r="A277" s="3"/>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02"/>
      <c r="AJ277" s="102"/>
    </row>
    <row r="278">
      <c r="A278" s="3"/>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02"/>
      <c r="AJ278" s="102"/>
    </row>
    <row r="279">
      <c r="A279" s="3"/>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02"/>
      <c r="AJ279" s="102"/>
    </row>
    <row r="280">
      <c r="A280" s="3"/>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02"/>
      <c r="AJ280" s="102"/>
    </row>
    <row r="281">
      <c r="A281" s="3"/>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02"/>
      <c r="AJ281" s="102"/>
    </row>
    <row r="282">
      <c r="A282" s="3"/>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02"/>
      <c r="AJ282" s="102"/>
    </row>
    <row r="283">
      <c r="A283" s="3"/>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02"/>
      <c r="AJ283" s="102"/>
    </row>
    <row r="284">
      <c r="A284" s="3"/>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02"/>
      <c r="AJ284" s="102"/>
    </row>
    <row r="285">
      <c r="A285" s="3"/>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02"/>
      <c r="AJ285" s="102"/>
    </row>
    <row r="286">
      <c r="A286" s="3"/>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02"/>
      <c r="AJ286" s="102"/>
    </row>
    <row r="287">
      <c r="A287" s="3"/>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02"/>
      <c r="AJ287" s="102"/>
    </row>
    <row r="288">
      <c r="A288" s="3"/>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02"/>
      <c r="AJ288" s="102"/>
    </row>
    <row r="289">
      <c r="A289" s="3"/>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02"/>
      <c r="AJ289" s="102"/>
    </row>
    <row r="290">
      <c r="A290" s="3"/>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02"/>
      <c r="AJ290" s="102"/>
    </row>
    <row r="291">
      <c r="A291" s="3"/>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02"/>
      <c r="AJ291" s="102"/>
    </row>
    <row r="292">
      <c r="A292" s="3"/>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02"/>
      <c r="AJ292" s="102"/>
    </row>
    <row r="293">
      <c r="A293" s="3"/>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02"/>
      <c r="AJ293" s="102"/>
    </row>
    <row r="294">
      <c r="A294" s="3"/>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02"/>
      <c r="AJ294" s="102"/>
    </row>
    <row r="295">
      <c r="A295" s="3"/>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02"/>
      <c r="AJ295" s="102"/>
    </row>
    <row r="296">
      <c r="A296" s="3"/>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02"/>
      <c r="AJ296" s="102"/>
    </row>
    <row r="297">
      <c r="A297" s="3"/>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02"/>
      <c r="AJ297" s="102"/>
    </row>
    <row r="298">
      <c r="A298" s="3"/>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02"/>
      <c r="AJ298" s="102"/>
    </row>
    <row r="299">
      <c r="A299" s="3"/>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02"/>
      <c r="AJ299" s="102"/>
    </row>
    <row r="300">
      <c r="A300" s="3"/>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02"/>
      <c r="AJ300" s="102"/>
    </row>
    <row r="301">
      <c r="A301" s="3"/>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02"/>
      <c r="AJ301" s="102"/>
    </row>
    <row r="302">
      <c r="A302" s="3"/>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02"/>
      <c r="AJ302" s="102"/>
    </row>
    <row r="303">
      <c r="A303" s="3"/>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02"/>
      <c r="AJ303" s="102"/>
    </row>
    <row r="304">
      <c r="A304" s="3"/>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02"/>
      <c r="AJ304" s="102"/>
    </row>
    <row r="305">
      <c r="A305" s="3"/>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02"/>
      <c r="AJ305" s="102"/>
    </row>
    <row r="306">
      <c r="A306" s="3"/>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02"/>
      <c r="AJ306" s="102"/>
    </row>
    <row r="307">
      <c r="A307" s="3"/>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02"/>
      <c r="AJ307" s="102"/>
    </row>
    <row r="308">
      <c r="A308" s="3"/>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02"/>
      <c r="AJ308" s="102"/>
    </row>
    <row r="309">
      <c r="A309" s="3"/>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02"/>
      <c r="AJ309" s="102"/>
    </row>
    <row r="310">
      <c r="A310" s="3"/>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02"/>
      <c r="AJ310" s="102"/>
    </row>
    <row r="311">
      <c r="A311" s="3"/>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02"/>
      <c r="AJ311" s="102"/>
    </row>
    <row r="312">
      <c r="A312" s="3"/>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02"/>
      <c r="AJ312" s="102"/>
    </row>
    <row r="313">
      <c r="A313" s="3"/>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02"/>
      <c r="AJ313" s="102"/>
    </row>
    <row r="314">
      <c r="A314" s="3"/>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02"/>
      <c r="AJ314" s="102"/>
    </row>
    <row r="315">
      <c r="A315" s="3"/>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02"/>
      <c r="AJ315" s="102"/>
    </row>
    <row r="316">
      <c r="A316" s="3"/>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02"/>
      <c r="AJ316" s="102"/>
    </row>
    <row r="317">
      <c r="A317" s="3"/>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02"/>
      <c r="AJ317" s="102"/>
    </row>
    <row r="318">
      <c r="A318" s="3"/>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02"/>
      <c r="AJ318" s="102"/>
    </row>
    <row r="319">
      <c r="A319" s="3"/>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02"/>
      <c r="AJ319" s="102"/>
    </row>
    <row r="320">
      <c r="A320" s="3"/>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02"/>
      <c r="AJ320" s="102"/>
    </row>
    <row r="321">
      <c r="A321" s="3"/>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02"/>
      <c r="AJ321" s="102"/>
    </row>
    <row r="322">
      <c r="A322" s="3"/>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02"/>
      <c r="AJ322" s="102"/>
    </row>
    <row r="323">
      <c r="A323" s="3"/>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02"/>
      <c r="AJ323" s="102"/>
    </row>
    <row r="324">
      <c r="A324" s="3"/>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02"/>
      <c r="AJ324" s="102"/>
    </row>
    <row r="325">
      <c r="A325" s="3"/>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02"/>
      <c r="AJ325" s="102"/>
    </row>
    <row r="326">
      <c r="A326" s="3"/>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02"/>
      <c r="AJ326" s="102"/>
    </row>
    <row r="327">
      <c r="A327" s="3"/>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02"/>
      <c r="AJ327" s="102"/>
    </row>
    <row r="328">
      <c r="A328" s="3"/>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02"/>
      <c r="AJ328" s="102"/>
    </row>
    <row r="329">
      <c r="A329" s="3"/>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02"/>
      <c r="AJ329" s="102"/>
    </row>
    <row r="330">
      <c r="A330" s="3"/>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02"/>
      <c r="AJ330" s="102"/>
    </row>
    <row r="331">
      <c r="A331" s="3"/>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02"/>
      <c r="AJ331" s="102"/>
    </row>
    <row r="332">
      <c r="A332" s="3"/>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02"/>
      <c r="AJ332" s="102"/>
    </row>
    <row r="333">
      <c r="A333" s="3"/>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02"/>
      <c r="AJ333" s="102"/>
    </row>
    <row r="334">
      <c r="A334" s="3"/>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02"/>
      <c r="AJ334" s="102"/>
    </row>
    <row r="335">
      <c r="A335" s="3"/>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02"/>
      <c r="AJ335" s="102"/>
    </row>
    <row r="336">
      <c r="A336" s="3"/>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02"/>
      <c r="AJ336" s="102"/>
    </row>
    <row r="337">
      <c r="A337" s="3"/>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02"/>
      <c r="AJ337" s="102"/>
    </row>
    <row r="338">
      <c r="A338" s="3"/>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02"/>
      <c r="AJ338" s="102"/>
    </row>
    <row r="339">
      <c r="A339" s="3"/>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02"/>
      <c r="AJ339" s="102"/>
    </row>
    <row r="340">
      <c r="A340" s="3"/>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02"/>
      <c r="AJ340" s="102"/>
    </row>
    <row r="341">
      <c r="A341" s="3"/>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02"/>
      <c r="AJ341" s="102"/>
    </row>
    <row r="342">
      <c r="A342" s="3"/>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02"/>
      <c r="AJ342" s="102"/>
    </row>
    <row r="343">
      <c r="A343" s="3"/>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02"/>
      <c r="AJ343" s="102"/>
    </row>
    <row r="344">
      <c r="A344" s="3"/>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02"/>
      <c r="AJ344" s="102"/>
    </row>
    <row r="345">
      <c r="A345" s="3"/>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02"/>
      <c r="AJ345" s="102"/>
    </row>
    <row r="346">
      <c r="A346" s="3"/>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02"/>
      <c r="AJ346" s="102"/>
    </row>
    <row r="347">
      <c r="A347" s="3"/>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02"/>
      <c r="AJ347" s="102"/>
    </row>
    <row r="348">
      <c r="A348" s="3"/>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02"/>
      <c r="AJ348" s="102"/>
    </row>
    <row r="349">
      <c r="A349" s="3"/>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02"/>
      <c r="AJ349" s="102"/>
    </row>
    <row r="350">
      <c r="A350" s="3"/>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02"/>
      <c r="AJ350" s="102"/>
    </row>
    <row r="351">
      <c r="A351" s="3"/>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02"/>
      <c r="AJ351" s="102"/>
    </row>
    <row r="352">
      <c r="A352" s="3"/>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02"/>
      <c r="AJ352" s="102"/>
    </row>
    <row r="353">
      <c r="A353" s="3"/>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02"/>
      <c r="AJ353" s="102"/>
    </row>
    <row r="354">
      <c r="A354" s="3"/>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02"/>
      <c r="AJ354" s="102"/>
    </row>
    <row r="355">
      <c r="A355" s="3"/>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02"/>
      <c r="AJ355" s="102"/>
    </row>
    <row r="356">
      <c r="A356" s="3"/>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02"/>
      <c r="AJ356" s="102"/>
    </row>
    <row r="357">
      <c r="A357" s="3"/>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02"/>
      <c r="AJ357" s="102"/>
    </row>
    <row r="358">
      <c r="A358" s="3"/>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02"/>
      <c r="AJ358" s="102"/>
    </row>
    <row r="359">
      <c r="A359" s="3"/>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02"/>
      <c r="AJ359" s="102"/>
    </row>
    <row r="360">
      <c r="A360" s="3"/>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02"/>
      <c r="AJ360" s="102"/>
    </row>
    <row r="361">
      <c r="A361" s="3"/>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02"/>
      <c r="AJ361" s="102"/>
    </row>
    <row r="362">
      <c r="A362" s="3"/>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02"/>
      <c r="AJ362" s="102"/>
    </row>
    <row r="363">
      <c r="A363" s="3"/>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02"/>
      <c r="AJ363" s="102"/>
    </row>
    <row r="364">
      <c r="A364" s="3"/>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02"/>
      <c r="AJ364" s="102"/>
    </row>
    <row r="365">
      <c r="A365" s="3"/>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02"/>
      <c r="AJ365" s="102"/>
    </row>
    <row r="366">
      <c r="A366" s="3"/>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02"/>
      <c r="AJ366" s="102"/>
    </row>
    <row r="367">
      <c r="A367" s="3"/>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02"/>
      <c r="AJ367" s="102"/>
    </row>
    <row r="368">
      <c r="A368" s="3"/>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02"/>
      <c r="AJ368" s="102"/>
    </row>
    <row r="369">
      <c r="A369" s="3"/>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02"/>
      <c r="AJ369" s="102"/>
    </row>
    <row r="370">
      <c r="A370" s="3"/>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02"/>
      <c r="AJ370" s="102"/>
    </row>
    <row r="371">
      <c r="A371" s="3"/>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02"/>
      <c r="AJ371" s="102"/>
    </row>
    <row r="372">
      <c r="A372" s="3"/>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02"/>
      <c r="AJ372" s="102"/>
    </row>
    <row r="373">
      <c r="A373" s="3"/>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02"/>
      <c r="AJ373" s="102"/>
    </row>
    <row r="374">
      <c r="A374" s="3"/>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02"/>
      <c r="AJ374" s="102"/>
    </row>
    <row r="375">
      <c r="A375" s="3"/>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02"/>
      <c r="AJ375" s="102"/>
    </row>
    <row r="376">
      <c r="A376" s="3"/>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02"/>
      <c r="AJ376" s="102"/>
    </row>
    <row r="377">
      <c r="A377" s="3"/>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02"/>
      <c r="AJ377" s="102"/>
    </row>
    <row r="378">
      <c r="A378" s="3"/>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02"/>
      <c r="AJ378" s="102"/>
    </row>
    <row r="379">
      <c r="A379" s="3"/>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02"/>
      <c r="AJ379" s="102"/>
    </row>
    <row r="380">
      <c r="A380" s="3"/>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02"/>
      <c r="AJ380" s="102"/>
    </row>
    <row r="381">
      <c r="A381" s="3"/>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02"/>
      <c r="AJ381" s="102"/>
    </row>
    <row r="382">
      <c r="A382" s="3"/>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02"/>
      <c r="AJ382" s="102"/>
    </row>
    <row r="383">
      <c r="A383" s="3"/>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02"/>
      <c r="AJ383" s="102"/>
    </row>
    <row r="384">
      <c r="A384" s="3"/>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02"/>
      <c r="AJ384" s="102"/>
    </row>
    <row r="385">
      <c r="A385" s="3"/>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02"/>
      <c r="AJ385" s="102"/>
    </row>
    <row r="386">
      <c r="A386" s="3"/>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02"/>
      <c r="AJ386" s="102"/>
    </row>
    <row r="387">
      <c r="A387" s="3"/>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02"/>
      <c r="AJ387" s="102"/>
    </row>
    <row r="388">
      <c r="A388" s="3"/>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02"/>
      <c r="AJ388" s="102"/>
    </row>
    <row r="389">
      <c r="A389" s="3"/>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02"/>
      <c r="AJ389" s="102"/>
    </row>
    <row r="390">
      <c r="A390" s="3"/>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02"/>
      <c r="AJ390" s="102"/>
    </row>
    <row r="391">
      <c r="A391" s="3"/>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02"/>
      <c r="AJ391" s="102"/>
    </row>
    <row r="392">
      <c r="A392" s="3"/>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02"/>
      <c r="AJ392" s="102"/>
    </row>
    <row r="393">
      <c r="A393" s="3"/>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02"/>
      <c r="AJ393" s="102"/>
    </row>
    <row r="394">
      <c r="A394" s="3"/>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02"/>
      <c r="AJ394" s="102"/>
    </row>
    <row r="395">
      <c r="A395" s="3"/>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02"/>
      <c r="AJ395" s="102"/>
    </row>
    <row r="396">
      <c r="A396" s="3"/>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02"/>
      <c r="AJ396" s="102"/>
    </row>
    <row r="397">
      <c r="A397" s="3"/>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02"/>
      <c r="AJ397" s="102"/>
    </row>
    <row r="398">
      <c r="A398" s="3"/>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02"/>
      <c r="AJ398" s="102"/>
    </row>
    <row r="399">
      <c r="A399" s="3"/>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02"/>
      <c r="AJ399" s="102"/>
    </row>
    <row r="400">
      <c r="A400" s="3"/>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02"/>
      <c r="AJ400" s="102"/>
    </row>
    <row r="401">
      <c r="A401" s="3"/>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02"/>
      <c r="AJ401" s="102"/>
    </row>
    <row r="402">
      <c r="A402" s="3"/>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02"/>
      <c r="AJ402" s="102"/>
    </row>
    <row r="403">
      <c r="A403" s="3"/>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02"/>
      <c r="AJ403" s="102"/>
    </row>
    <row r="404">
      <c r="A404" s="3"/>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02"/>
      <c r="AJ404" s="102"/>
    </row>
    <row r="405">
      <c r="A405" s="3"/>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02"/>
      <c r="AJ405" s="102"/>
    </row>
    <row r="406">
      <c r="A406" s="3"/>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02"/>
      <c r="AJ406" s="102"/>
    </row>
    <row r="407">
      <c r="A407" s="3"/>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02"/>
      <c r="AJ407" s="102"/>
    </row>
    <row r="408">
      <c r="A408" s="3"/>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02"/>
      <c r="AJ408" s="102"/>
    </row>
    <row r="409">
      <c r="A409" s="3"/>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02"/>
      <c r="AJ409" s="102"/>
    </row>
    <row r="410">
      <c r="A410" s="3"/>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02"/>
      <c r="AJ410" s="102"/>
    </row>
    <row r="411">
      <c r="A411" s="3"/>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02"/>
      <c r="AJ411" s="102"/>
    </row>
    <row r="412">
      <c r="A412" s="3"/>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02"/>
      <c r="AJ412" s="102"/>
    </row>
    <row r="413">
      <c r="A413" s="3"/>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02"/>
      <c r="AJ413" s="102"/>
    </row>
    <row r="414">
      <c r="A414" s="3"/>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02"/>
      <c r="AJ414" s="102"/>
    </row>
    <row r="415">
      <c r="A415" s="3"/>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02"/>
      <c r="AJ415" s="102"/>
    </row>
    <row r="416">
      <c r="A416" s="3"/>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02"/>
      <c r="AJ416" s="102"/>
    </row>
    <row r="417">
      <c r="A417" s="3"/>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02"/>
      <c r="AJ417" s="102"/>
    </row>
    <row r="418">
      <c r="A418" s="3"/>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02"/>
      <c r="AJ418" s="102"/>
    </row>
    <row r="419">
      <c r="A419" s="3"/>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02"/>
      <c r="AJ419" s="102"/>
    </row>
    <row r="420">
      <c r="A420" s="3"/>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02"/>
      <c r="AJ420" s="102"/>
    </row>
    <row r="421">
      <c r="A421" s="3"/>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02"/>
      <c r="AJ421" s="102"/>
    </row>
    <row r="422">
      <c r="A422" s="3"/>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02"/>
      <c r="AJ422" s="102"/>
    </row>
    <row r="423">
      <c r="A423" s="3"/>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02"/>
      <c r="AJ423" s="102"/>
    </row>
    <row r="424">
      <c r="A424" s="3"/>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02"/>
      <c r="AJ424" s="102"/>
    </row>
    <row r="425">
      <c r="A425" s="3"/>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02"/>
      <c r="AJ425" s="102"/>
    </row>
    <row r="426">
      <c r="A426" s="3"/>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02"/>
      <c r="AJ426" s="102"/>
    </row>
    <row r="427">
      <c r="A427" s="3"/>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02"/>
      <c r="AJ427" s="102"/>
    </row>
    <row r="428">
      <c r="A428" s="3"/>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02"/>
      <c r="AJ428" s="102"/>
    </row>
    <row r="429">
      <c r="A429" s="3"/>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02"/>
      <c r="AJ429" s="102"/>
    </row>
    <row r="430">
      <c r="A430" s="3"/>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02"/>
      <c r="AJ430" s="102"/>
    </row>
    <row r="431">
      <c r="A431" s="3"/>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02"/>
      <c r="AJ431" s="102"/>
    </row>
    <row r="432">
      <c r="A432" s="3"/>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02"/>
      <c r="AJ432" s="102"/>
    </row>
    <row r="433">
      <c r="A433" s="3"/>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02"/>
      <c r="AJ433" s="102"/>
    </row>
    <row r="434">
      <c r="A434" s="3"/>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02"/>
      <c r="AJ434" s="102"/>
    </row>
    <row r="435">
      <c r="A435" s="3"/>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02"/>
      <c r="AJ435" s="102"/>
    </row>
    <row r="436">
      <c r="A436" s="3"/>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02"/>
      <c r="AJ436" s="102"/>
    </row>
    <row r="437">
      <c r="A437" s="3"/>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02"/>
      <c r="AJ437" s="102"/>
    </row>
    <row r="438">
      <c r="A438" s="3"/>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02"/>
      <c r="AJ438" s="102"/>
    </row>
    <row r="439">
      <c r="A439" s="3"/>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02"/>
      <c r="AJ439" s="102"/>
    </row>
    <row r="440">
      <c r="A440" s="3"/>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02"/>
      <c r="AJ440" s="102"/>
    </row>
    <row r="441">
      <c r="A441" s="3"/>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02"/>
      <c r="AJ441" s="102"/>
    </row>
    <row r="442">
      <c r="A442" s="3"/>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02"/>
      <c r="AJ442" s="102"/>
    </row>
    <row r="443">
      <c r="A443" s="3"/>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02"/>
      <c r="AJ443" s="102"/>
    </row>
    <row r="444">
      <c r="A444" s="3"/>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02"/>
      <c r="AJ444" s="102"/>
    </row>
    <row r="445">
      <c r="A445" s="3"/>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02"/>
      <c r="AJ445" s="102"/>
    </row>
    <row r="446">
      <c r="A446" s="3"/>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02"/>
      <c r="AJ446" s="102"/>
    </row>
    <row r="447">
      <c r="A447" s="3"/>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02"/>
      <c r="AJ447" s="102"/>
    </row>
    <row r="448">
      <c r="A448" s="3"/>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02"/>
      <c r="AJ448" s="102"/>
    </row>
    <row r="449">
      <c r="A449" s="3"/>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02"/>
      <c r="AJ449" s="102"/>
    </row>
    <row r="450">
      <c r="A450" s="3"/>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02"/>
      <c r="AJ450" s="102"/>
    </row>
    <row r="451">
      <c r="A451" s="3"/>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02"/>
      <c r="AJ451" s="102"/>
    </row>
    <row r="452">
      <c r="A452" s="3"/>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02"/>
      <c r="AJ452" s="102"/>
    </row>
    <row r="453">
      <c r="A453" s="3"/>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02"/>
      <c r="AJ453" s="102"/>
    </row>
    <row r="454">
      <c r="A454" s="3"/>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02"/>
      <c r="AJ454" s="102"/>
    </row>
    <row r="455">
      <c r="A455" s="3"/>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02"/>
      <c r="AJ455" s="102"/>
    </row>
    <row r="456">
      <c r="A456" s="3"/>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02"/>
      <c r="AJ456" s="102"/>
    </row>
    <row r="457">
      <c r="A457" s="3"/>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02"/>
      <c r="AJ457" s="102"/>
    </row>
    <row r="458">
      <c r="A458" s="3"/>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02"/>
      <c r="AJ458" s="102"/>
    </row>
    <row r="459">
      <c r="A459" s="3"/>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02"/>
      <c r="AJ459" s="102"/>
    </row>
    <row r="460">
      <c r="A460" s="3"/>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02"/>
      <c r="AJ460" s="102"/>
    </row>
    <row r="461">
      <c r="A461" s="3"/>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02"/>
      <c r="AJ461" s="102"/>
    </row>
    <row r="462">
      <c r="A462" s="3"/>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02"/>
      <c r="AJ462" s="102"/>
    </row>
    <row r="463">
      <c r="A463" s="3"/>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02"/>
      <c r="AJ463" s="102"/>
    </row>
    <row r="464">
      <c r="A464" s="3"/>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02"/>
      <c r="AJ464" s="102"/>
    </row>
    <row r="465">
      <c r="A465" s="3"/>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02"/>
      <c r="AJ465" s="102"/>
    </row>
    <row r="466">
      <c r="A466" s="3"/>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02"/>
      <c r="AJ466" s="102"/>
    </row>
    <row r="467">
      <c r="A467" s="3"/>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02"/>
      <c r="AJ467" s="102"/>
    </row>
    <row r="468">
      <c r="A468" s="3"/>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02"/>
      <c r="AJ468" s="102"/>
    </row>
    <row r="469">
      <c r="A469" s="3"/>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02"/>
      <c r="AJ469" s="102"/>
    </row>
    <row r="470">
      <c r="A470" s="3"/>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02"/>
      <c r="AJ470" s="102"/>
    </row>
    <row r="471">
      <c r="A471" s="3"/>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02"/>
      <c r="AJ471" s="102"/>
    </row>
    <row r="472">
      <c r="A472" s="3"/>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02"/>
      <c r="AJ472" s="102"/>
    </row>
    <row r="473">
      <c r="A473" s="3"/>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02"/>
      <c r="AJ473" s="102"/>
    </row>
    <row r="474">
      <c r="A474" s="3"/>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02"/>
      <c r="AJ474" s="102"/>
    </row>
    <row r="475">
      <c r="A475" s="3"/>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02"/>
      <c r="AJ475" s="102"/>
    </row>
    <row r="476">
      <c r="A476" s="3"/>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02"/>
      <c r="AJ476" s="102"/>
    </row>
    <row r="477">
      <c r="A477" s="3"/>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02"/>
      <c r="AJ477" s="102"/>
    </row>
    <row r="478">
      <c r="A478" s="3"/>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02"/>
      <c r="AJ478" s="102"/>
    </row>
    <row r="479">
      <c r="A479" s="3"/>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02"/>
      <c r="AJ479" s="102"/>
    </row>
    <row r="480">
      <c r="A480" s="3"/>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02"/>
      <c r="AJ480" s="102"/>
    </row>
    <row r="481">
      <c r="A481" s="3"/>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02"/>
      <c r="AJ481" s="102"/>
    </row>
    <row r="482">
      <c r="A482" s="3"/>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02"/>
      <c r="AJ482" s="102"/>
    </row>
    <row r="483">
      <c r="A483" s="3"/>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02"/>
      <c r="AJ483" s="102"/>
    </row>
    <row r="484">
      <c r="A484" s="3"/>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02"/>
      <c r="AJ484" s="102"/>
    </row>
    <row r="485">
      <c r="A485" s="3"/>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02"/>
      <c r="AJ485" s="102"/>
    </row>
    <row r="486">
      <c r="A486" s="3"/>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02"/>
      <c r="AJ486" s="102"/>
    </row>
    <row r="487">
      <c r="A487" s="3"/>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02"/>
      <c r="AJ487" s="102"/>
    </row>
    <row r="488">
      <c r="A488" s="3"/>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02"/>
      <c r="AJ488" s="102"/>
    </row>
    <row r="489">
      <c r="A489" s="3"/>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02"/>
      <c r="AJ489" s="102"/>
    </row>
    <row r="490">
      <c r="A490" s="3"/>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02"/>
      <c r="AJ490" s="102"/>
    </row>
    <row r="491">
      <c r="A491" s="3"/>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02"/>
      <c r="AJ491" s="102"/>
    </row>
    <row r="492">
      <c r="A492" s="3"/>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02"/>
      <c r="AJ492" s="102"/>
    </row>
    <row r="493">
      <c r="A493" s="3"/>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02"/>
      <c r="AJ493" s="102"/>
    </row>
    <row r="494">
      <c r="A494" s="3"/>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02"/>
      <c r="AJ494" s="102"/>
    </row>
    <row r="495">
      <c r="A495" s="3"/>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02"/>
      <c r="AJ495" s="102"/>
    </row>
    <row r="496">
      <c r="A496" s="3"/>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02"/>
      <c r="AJ496" s="102"/>
    </row>
    <row r="497">
      <c r="A497" s="3"/>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02"/>
      <c r="AJ497" s="102"/>
    </row>
    <row r="498">
      <c r="A498" s="3"/>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02"/>
      <c r="AJ498" s="102"/>
    </row>
    <row r="499">
      <c r="A499" s="3"/>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02"/>
      <c r="AJ499" s="102"/>
    </row>
    <row r="500">
      <c r="A500" s="3"/>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02"/>
      <c r="AJ500" s="102"/>
    </row>
    <row r="501">
      <c r="A501" s="3"/>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02"/>
      <c r="AJ501" s="102"/>
    </row>
    <row r="502">
      <c r="A502" s="3"/>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02"/>
      <c r="AJ502" s="102"/>
    </row>
    <row r="503">
      <c r="A503" s="3"/>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02"/>
      <c r="AJ503" s="102"/>
    </row>
    <row r="504">
      <c r="A504" s="3"/>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02"/>
      <c r="AJ504" s="102"/>
    </row>
    <row r="505">
      <c r="A505" s="3"/>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02"/>
      <c r="AJ505" s="102"/>
    </row>
    <row r="506">
      <c r="A506" s="3"/>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02"/>
      <c r="AJ506" s="102"/>
    </row>
    <row r="507">
      <c r="A507" s="3"/>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02"/>
      <c r="AJ507" s="102"/>
    </row>
    <row r="508">
      <c r="A508" s="3"/>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02"/>
      <c r="AJ508" s="102"/>
    </row>
    <row r="509">
      <c r="A509" s="3"/>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02"/>
      <c r="AJ509" s="102"/>
    </row>
    <row r="510">
      <c r="A510" s="3"/>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02"/>
      <c r="AJ510" s="102"/>
    </row>
    <row r="511">
      <c r="A511" s="3"/>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02"/>
      <c r="AJ511" s="102"/>
    </row>
    <row r="512">
      <c r="A512" s="3"/>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02"/>
      <c r="AJ512" s="102"/>
    </row>
    <row r="513">
      <c r="A513" s="3"/>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02"/>
      <c r="AJ513" s="102"/>
    </row>
    <row r="514">
      <c r="A514" s="3"/>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02"/>
      <c r="AJ514" s="102"/>
    </row>
    <row r="515">
      <c r="A515" s="3"/>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02"/>
      <c r="AJ515" s="102"/>
    </row>
    <row r="516">
      <c r="A516" s="3"/>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02"/>
      <c r="AJ516" s="102"/>
    </row>
    <row r="517">
      <c r="A517" s="3"/>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02"/>
      <c r="AJ517" s="102"/>
    </row>
    <row r="518">
      <c r="A518" s="3"/>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02"/>
      <c r="AJ518" s="102"/>
    </row>
    <row r="519">
      <c r="A519" s="3"/>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02"/>
      <c r="AJ519" s="102"/>
    </row>
    <row r="520">
      <c r="A520" s="3"/>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02"/>
      <c r="AJ520" s="102"/>
    </row>
    <row r="521">
      <c r="A521" s="3"/>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02"/>
      <c r="AJ521" s="102"/>
    </row>
    <row r="522">
      <c r="A522" s="3"/>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02"/>
      <c r="AJ522" s="102"/>
    </row>
    <row r="523">
      <c r="A523" s="3"/>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02"/>
      <c r="AJ523" s="102"/>
    </row>
    <row r="524">
      <c r="A524" s="3"/>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02"/>
      <c r="AJ524" s="102"/>
    </row>
    <row r="525">
      <c r="A525" s="3"/>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02"/>
      <c r="AJ525" s="102"/>
    </row>
    <row r="526">
      <c r="A526" s="3"/>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02"/>
      <c r="AJ526" s="102"/>
    </row>
    <row r="527">
      <c r="A527" s="3"/>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02"/>
      <c r="AJ527" s="102"/>
    </row>
    <row r="528">
      <c r="A528" s="3"/>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02"/>
      <c r="AJ528" s="102"/>
    </row>
    <row r="529">
      <c r="A529" s="3"/>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02"/>
      <c r="AJ529" s="102"/>
    </row>
    <row r="530">
      <c r="A530" s="3"/>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02"/>
      <c r="AJ530" s="102"/>
    </row>
    <row r="531">
      <c r="A531" s="3"/>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02"/>
      <c r="AJ531" s="102"/>
    </row>
    <row r="532">
      <c r="A532" s="3"/>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02"/>
      <c r="AJ532" s="102"/>
    </row>
    <row r="533">
      <c r="A533" s="3"/>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02"/>
      <c r="AJ533" s="102"/>
    </row>
    <row r="534">
      <c r="A534" s="3"/>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02"/>
      <c r="AJ534" s="102"/>
    </row>
    <row r="535">
      <c r="A535" s="3"/>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02"/>
      <c r="AJ535" s="102"/>
    </row>
    <row r="536">
      <c r="A536" s="3"/>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02"/>
      <c r="AJ536" s="102"/>
    </row>
    <row r="537">
      <c r="A537" s="3"/>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02"/>
      <c r="AJ537" s="102"/>
    </row>
    <row r="538">
      <c r="A538" s="3"/>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02"/>
      <c r="AJ538" s="102"/>
    </row>
    <row r="539">
      <c r="A539" s="3"/>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02"/>
      <c r="AJ539" s="102"/>
    </row>
    <row r="540">
      <c r="A540" s="3"/>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02"/>
      <c r="AJ540" s="102"/>
    </row>
    <row r="541">
      <c r="A541" s="3"/>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02"/>
      <c r="AJ541" s="102"/>
    </row>
    <row r="542">
      <c r="A542" s="3"/>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02"/>
      <c r="AJ542" s="102"/>
    </row>
    <row r="543">
      <c r="A543" s="3"/>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02"/>
      <c r="AJ543" s="102"/>
    </row>
    <row r="544">
      <c r="A544" s="3"/>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02"/>
      <c r="AJ544" s="102"/>
    </row>
    <row r="545">
      <c r="A545" s="3"/>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02"/>
      <c r="AJ545" s="102"/>
    </row>
    <row r="546">
      <c r="A546" s="3"/>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02"/>
      <c r="AJ546" s="102"/>
    </row>
    <row r="547">
      <c r="A547" s="3"/>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02"/>
      <c r="AJ547" s="102"/>
    </row>
    <row r="548">
      <c r="A548" s="3"/>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02"/>
      <c r="AJ548" s="102"/>
    </row>
    <row r="549">
      <c r="A549" s="3"/>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02"/>
      <c r="AJ549" s="102"/>
    </row>
    <row r="550">
      <c r="A550" s="3"/>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02"/>
      <c r="AJ550" s="102"/>
    </row>
    <row r="551">
      <c r="A551" s="3"/>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02"/>
      <c r="AJ551" s="102"/>
    </row>
    <row r="552">
      <c r="A552" s="3"/>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02"/>
      <c r="AJ552" s="102"/>
    </row>
    <row r="553">
      <c r="A553" s="3"/>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02"/>
      <c r="AJ553" s="102"/>
    </row>
    <row r="554">
      <c r="A554" s="3"/>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02"/>
      <c r="AJ554" s="102"/>
    </row>
    <row r="555">
      <c r="A555" s="3"/>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02"/>
      <c r="AJ555" s="102"/>
    </row>
    <row r="556">
      <c r="A556" s="3"/>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02"/>
      <c r="AJ556" s="102"/>
    </row>
    <row r="557">
      <c r="A557" s="3"/>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02"/>
      <c r="AJ557" s="102"/>
    </row>
    <row r="558">
      <c r="A558" s="3"/>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02"/>
      <c r="AJ558" s="102"/>
    </row>
    <row r="559">
      <c r="A559" s="3"/>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02"/>
      <c r="AJ559" s="102"/>
    </row>
    <row r="560">
      <c r="A560" s="3"/>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02"/>
      <c r="AJ560" s="102"/>
    </row>
    <row r="561">
      <c r="A561" s="3"/>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02"/>
      <c r="AJ561" s="102"/>
    </row>
    <row r="562">
      <c r="A562" s="3"/>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02"/>
      <c r="AJ562" s="102"/>
    </row>
    <row r="563">
      <c r="A563" s="3"/>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02"/>
      <c r="AJ563" s="102"/>
    </row>
    <row r="564">
      <c r="A564" s="3"/>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02"/>
      <c r="AJ564" s="102"/>
    </row>
    <row r="565">
      <c r="A565" s="3"/>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02"/>
      <c r="AJ565" s="102"/>
    </row>
    <row r="566">
      <c r="A566" s="3"/>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02"/>
      <c r="AJ566" s="102"/>
    </row>
    <row r="567">
      <c r="A567" s="3"/>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02"/>
      <c r="AJ567" s="102"/>
    </row>
    <row r="568">
      <c r="A568" s="3"/>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02"/>
      <c r="AJ568" s="102"/>
    </row>
    <row r="569">
      <c r="A569" s="3"/>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02"/>
      <c r="AJ569" s="102"/>
    </row>
    <row r="570">
      <c r="A570" s="3"/>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02"/>
      <c r="AJ570" s="102"/>
    </row>
    <row r="571">
      <c r="A571" s="3"/>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02"/>
      <c r="AJ571" s="102"/>
    </row>
    <row r="572">
      <c r="A572" s="3"/>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02"/>
      <c r="AJ572" s="102"/>
    </row>
    <row r="573">
      <c r="A573" s="3"/>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02"/>
      <c r="AJ573" s="102"/>
    </row>
    <row r="574">
      <c r="A574" s="3"/>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02"/>
      <c r="AJ574" s="102"/>
    </row>
    <row r="575">
      <c r="A575" s="3"/>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02"/>
      <c r="AJ575" s="102"/>
    </row>
    <row r="576">
      <c r="A576" s="3"/>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02"/>
      <c r="AJ576" s="102"/>
    </row>
    <row r="577">
      <c r="A577" s="3"/>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02"/>
      <c r="AJ577" s="102"/>
    </row>
    <row r="578">
      <c r="A578" s="3"/>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02"/>
      <c r="AJ578" s="102"/>
    </row>
    <row r="579">
      <c r="A579" s="3"/>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02"/>
      <c r="AJ579" s="102"/>
    </row>
    <row r="580">
      <c r="A580" s="3"/>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02"/>
      <c r="AJ580" s="102"/>
    </row>
    <row r="581">
      <c r="A581" s="3"/>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02"/>
      <c r="AJ581" s="102"/>
    </row>
    <row r="582">
      <c r="A582" s="3"/>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02"/>
      <c r="AJ582" s="102"/>
    </row>
    <row r="583">
      <c r="A583" s="3"/>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02"/>
      <c r="AJ583" s="102"/>
    </row>
    <row r="584">
      <c r="A584" s="3"/>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02"/>
      <c r="AJ584" s="102"/>
    </row>
    <row r="585">
      <c r="A585" s="3"/>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02"/>
      <c r="AJ585" s="102"/>
    </row>
    <row r="586">
      <c r="A586" s="3"/>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02"/>
      <c r="AJ586" s="102"/>
    </row>
    <row r="587">
      <c r="A587" s="3"/>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02"/>
      <c r="AJ587" s="102"/>
    </row>
    <row r="588">
      <c r="A588" s="3"/>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02"/>
      <c r="AJ588" s="102"/>
    </row>
    <row r="589">
      <c r="A589" s="3"/>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02"/>
      <c r="AJ589" s="102"/>
    </row>
    <row r="590">
      <c r="A590" s="3"/>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02"/>
      <c r="AJ590" s="102"/>
    </row>
    <row r="591">
      <c r="A591" s="3"/>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02"/>
      <c r="AJ591" s="102"/>
    </row>
    <row r="592">
      <c r="A592" s="3"/>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02"/>
      <c r="AJ592" s="102"/>
    </row>
    <row r="593">
      <c r="A593" s="3"/>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02"/>
      <c r="AJ593" s="102"/>
    </row>
    <row r="594">
      <c r="A594" s="3"/>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02"/>
      <c r="AJ594" s="102"/>
    </row>
    <row r="595">
      <c r="A595" s="3"/>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02"/>
      <c r="AJ595" s="102"/>
    </row>
    <row r="596">
      <c r="A596" s="3"/>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02"/>
      <c r="AJ596" s="102"/>
    </row>
    <row r="597">
      <c r="A597" s="3"/>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02"/>
      <c r="AJ597" s="102"/>
    </row>
    <row r="598">
      <c r="A598" s="3"/>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02"/>
      <c r="AJ598" s="102"/>
    </row>
    <row r="599">
      <c r="A599" s="3"/>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02"/>
      <c r="AJ599" s="102"/>
    </row>
    <row r="600">
      <c r="A600" s="3"/>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02"/>
      <c r="AJ600" s="102"/>
    </row>
    <row r="601">
      <c r="A601" s="3"/>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02"/>
      <c r="AJ601" s="102"/>
    </row>
    <row r="602">
      <c r="A602" s="3"/>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02"/>
      <c r="AJ602" s="102"/>
    </row>
    <row r="603">
      <c r="A603" s="3"/>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02"/>
      <c r="AJ603" s="102"/>
    </row>
    <row r="604">
      <c r="A604" s="3"/>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02"/>
      <c r="AJ604" s="102"/>
    </row>
    <row r="605">
      <c r="A605" s="3"/>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02"/>
      <c r="AJ605" s="102"/>
    </row>
    <row r="606">
      <c r="A606" s="3"/>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02"/>
      <c r="AJ606" s="102"/>
    </row>
    <row r="607">
      <c r="A607" s="3"/>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02"/>
      <c r="AJ607" s="102"/>
    </row>
    <row r="608">
      <c r="A608" s="3"/>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02"/>
      <c r="AJ608" s="102"/>
    </row>
    <row r="609">
      <c r="A609" s="3"/>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02"/>
      <c r="AJ609" s="102"/>
    </row>
    <row r="610">
      <c r="A610" s="3"/>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02"/>
      <c r="AJ610" s="102"/>
    </row>
    <row r="611">
      <c r="A611" s="3"/>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02"/>
      <c r="AJ611" s="102"/>
    </row>
    <row r="612">
      <c r="A612" s="3"/>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02"/>
      <c r="AJ612" s="102"/>
    </row>
    <row r="613">
      <c r="A613" s="3"/>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02"/>
      <c r="AJ613" s="102"/>
    </row>
    <row r="614">
      <c r="A614" s="3"/>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02"/>
      <c r="AJ614" s="102"/>
    </row>
    <row r="615">
      <c r="A615" s="3"/>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02"/>
      <c r="AJ615" s="102"/>
    </row>
    <row r="616">
      <c r="A616" s="3"/>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02"/>
      <c r="AJ616" s="102"/>
    </row>
    <row r="617">
      <c r="A617" s="3"/>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02"/>
      <c r="AJ617" s="102"/>
    </row>
    <row r="618">
      <c r="A618" s="3"/>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02"/>
      <c r="AJ618" s="102"/>
    </row>
    <row r="619">
      <c r="A619" s="3"/>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02"/>
      <c r="AJ619" s="102"/>
    </row>
    <row r="620">
      <c r="A620" s="3"/>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02"/>
      <c r="AJ620" s="102"/>
    </row>
    <row r="621">
      <c r="A621" s="3"/>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02"/>
      <c r="AJ621" s="102"/>
    </row>
    <row r="622">
      <c r="A622" s="3"/>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02"/>
      <c r="AJ622" s="102"/>
    </row>
    <row r="623">
      <c r="A623" s="3"/>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02"/>
      <c r="AJ623" s="102"/>
    </row>
    <row r="624">
      <c r="A624" s="3"/>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02"/>
      <c r="AJ624" s="102"/>
    </row>
    <row r="625">
      <c r="A625" s="3"/>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02"/>
      <c r="AJ625" s="102"/>
    </row>
    <row r="626">
      <c r="A626" s="3"/>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02"/>
      <c r="AJ626" s="102"/>
    </row>
    <row r="627">
      <c r="A627" s="3"/>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02"/>
      <c r="AJ627" s="102"/>
    </row>
    <row r="628">
      <c r="A628" s="3"/>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02"/>
      <c r="AJ628" s="102"/>
    </row>
    <row r="629">
      <c r="A629" s="3"/>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02"/>
      <c r="AJ629" s="102"/>
    </row>
    <row r="630">
      <c r="A630" s="3"/>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02"/>
      <c r="AJ630" s="102"/>
    </row>
    <row r="631">
      <c r="A631" s="3"/>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02"/>
      <c r="AJ631" s="102"/>
    </row>
    <row r="632">
      <c r="A632" s="3"/>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02"/>
      <c r="AJ632" s="102"/>
    </row>
    <row r="633">
      <c r="A633" s="3"/>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02"/>
      <c r="AJ633" s="102"/>
    </row>
    <row r="634">
      <c r="A634" s="3"/>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02"/>
      <c r="AJ634" s="102"/>
    </row>
    <row r="635">
      <c r="A635" s="3"/>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02"/>
      <c r="AJ635" s="102"/>
    </row>
    <row r="636">
      <c r="A636" s="3"/>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02"/>
      <c r="AJ636" s="102"/>
    </row>
    <row r="637">
      <c r="A637" s="3"/>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02"/>
      <c r="AJ637" s="102"/>
    </row>
    <row r="638">
      <c r="A638" s="3"/>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02"/>
      <c r="AJ638" s="102"/>
    </row>
    <row r="639">
      <c r="A639" s="3"/>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02"/>
      <c r="AJ639" s="102"/>
    </row>
    <row r="640">
      <c r="A640" s="3"/>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02"/>
      <c r="AJ640" s="102"/>
    </row>
    <row r="641">
      <c r="A641" s="3"/>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02"/>
      <c r="AJ641" s="102"/>
    </row>
    <row r="642">
      <c r="A642" s="3"/>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02"/>
      <c r="AJ642" s="102"/>
    </row>
    <row r="643">
      <c r="A643" s="3"/>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02"/>
      <c r="AJ643" s="102"/>
    </row>
    <row r="644">
      <c r="A644" s="3"/>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02"/>
      <c r="AJ644" s="102"/>
    </row>
    <row r="645">
      <c r="A645" s="3"/>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02"/>
      <c r="AJ645" s="102"/>
    </row>
    <row r="646">
      <c r="A646" s="3"/>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02"/>
      <c r="AJ646" s="102"/>
    </row>
    <row r="647">
      <c r="A647" s="3"/>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02"/>
      <c r="AJ647" s="102"/>
    </row>
    <row r="648">
      <c r="A648" s="3"/>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02"/>
      <c r="AJ648" s="102"/>
    </row>
    <row r="649">
      <c r="A649" s="3"/>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02"/>
      <c r="AJ649" s="102"/>
    </row>
    <row r="650">
      <c r="A650" s="3"/>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02"/>
      <c r="AJ650" s="102"/>
    </row>
    <row r="651">
      <c r="A651" s="3"/>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02"/>
      <c r="AJ651" s="102"/>
    </row>
    <row r="652">
      <c r="A652" s="3"/>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02"/>
      <c r="AJ652" s="102"/>
    </row>
    <row r="653">
      <c r="A653" s="3"/>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02"/>
      <c r="AJ653" s="102"/>
    </row>
    <row r="654">
      <c r="A654" s="3"/>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02"/>
      <c r="AJ654" s="102"/>
    </row>
    <row r="655">
      <c r="A655" s="3"/>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02"/>
      <c r="AJ655" s="102"/>
    </row>
    <row r="656">
      <c r="A656" s="3"/>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02"/>
      <c r="AJ656" s="102"/>
    </row>
    <row r="657">
      <c r="A657" s="3"/>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02"/>
      <c r="AJ657" s="102"/>
    </row>
    <row r="658">
      <c r="A658" s="3"/>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02"/>
      <c r="AJ658" s="102"/>
    </row>
    <row r="659">
      <c r="A659" s="3"/>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02"/>
      <c r="AJ659" s="102"/>
    </row>
    <row r="660">
      <c r="A660" s="3"/>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02"/>
      <c r="AJ660" s="102"/>
    </row>
    <row r="661">
      <c r="A661" s="3"/>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02"/>
      <c r="AJ661" s="102"/>
    </row>
    <row r="662">
      <c r="A662" s="3"/>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02"/>
      <c r="AJ662" s="102"/>
    </row>
    <row r="663">
      <c r="A663" s="3"/>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02"/>
      <c r="AJ663" s="102"/>
    </row>
    <row r="664">
      <c r="A664" s="3"/>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02"/>
      <c r="AJ664" s="102"/>
    </row>
    <row r="665">
      <c r="A665" s="3"/>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02"/>
      <c r="AJ665" s="102"/>
    </row>
    <row r="666">
      <c r="A666" s="3"/>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02"/>
      <c r="AJ666" s="102"/>
    </row>
    <row r="667">
      <c r="A667" s="3"/>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02"/>
      <c r="AJ667" s="102"/>
    </row>
    <row r="668">
      <c r="A668" s="3"/>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02"/>
      <c r="AJ668" s="102"/>
    </row>
    <row r="669">
      <c r="A669" s="3"/>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02"/>
      <c r="AJ669" s="102"/>
    </row>
    <row r="670">
      <c r="A670" s="3"/>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02"/>
      <c r="AJ670" s="102"/>
    </row>
    <row r="671">
      <c r="A671" s="3"/>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02"/>
      <c r="AJ671" s="102"/>
    </row>
    <row r="672">
      <c r="A672" s="3"/>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02"/>
      <c r="AJ672" s="102"/>
    </row>
    <row r="673">
      <c r="A673" s="3"/>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02"/>
      <c r="AJ673" s="102"/>
    </row>
    <row r="674">
      <c r="A674" s="3"/>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02"/>
      <c r="AJ674" s="102"/>
    </row>
    <row r="675">
      <c r="A675" s="3"/>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02"/>
      <c r="AJ675" s="102"/>
    </row>
    <row r="676">
      <c r="A676" s="3"/>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02"/>
      <c r="AJ676" s="102"/>
    </row>
    <row r="677">
      <c r="A677" s="3"/>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02"/>
      <c r="AJ677" s="102"/>
    </row>
    <row r="678">
      <c r="A678" s="3"/>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02"/>
      <c r="AJ678" s="102"/>
    </row>
    <row r="679">
      <c r="A679" s="3"/>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02"/>
      <c r="AJ679" s="102"/>
    </row>
    <row r="680">
      <c r="A680" s="3"/>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02"/>
      <c r="AJ680" s="102"/>
    </row>
    <row r="681">
      <c r="A681" s="3"/>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02"/>
      <c r="AJ681" s="102"/>
    </row>
    <row r="682">
      <c r="A682" s="3"/>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02"/>
      <c r="AJ682" s="102"/>
    </row>
    <row r="683">
      <c r="A683" s="3"/>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02"/>
      <c r="AJ683" s="102"/>
    </row>
    <row r="684">
      <c r="A684" s="3"/>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02"/>
      <c r="AJ684" s="102"/>
    </row>
    <row r="685">
      <c r="A685" s="3"/>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02"/>
      <c r="AJ685" s="102"/>
    </row>
    <row r="686">
      <c r="A686" s="3"/>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02"/>
      <c r="AJ686" s="102"/>
    </row>
    <row r="687">
      <c r="A687" s="3"/>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02"/>
      <c r="AJ687" s="102"/>
    </row>
    <row r="688">
      <c r="A688" s="3"/>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02"/>
      <c r="AJ688" s="102"/>
    </row>
    <row r="689">
      <c r="A689" s="3"/>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02"/>
      <c r="AJ689" s="102"/>
    </row>
    <row r="690">
      <c r="A690" s="3"/>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02"/>
      <c r="AJ690" s="102"/>
    </row>
    <row r="691">
      <c r="A691" s="3"/>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02"/>
      <c r="AJ691" s="102"/>
    </row>
    <row r="692">
      <c r="A692" s="3"/>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02"/>
      <c r="AJ692" s="102"/>
    </row>
    <row r="693">
      <c r="A693" s="3"/>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02"/>
      <c r="AJ693" s="102"/>
    </row>
    <row r="694">
      <c r="A694" s="3"/>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02"/>
      <c r="AJ694" s="102"/>
    </row>
    <row r="695">
      <c r="A695" s="3"/>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02"/>
      <c r="AJ695" s="102"/>
    </row>
    <row r="696">
      <c r="A696" s="3"/>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02"/>
      <c r="AJ696" s="102"/>
    </row>
    <row r="697">
      <c r="A697" s="3"/>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02"/>
      <c r="AJ697" s="102"/>
    </row>
    <row r="698">
      <c r="A698" s="3"/>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02"/>
      <c r="AJ698" s="102"/>
    </row>
    <row r="699">
      <c r="A699" s="3"/>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02"/>
      <c r="AJ699" s="102"/>
    </row>
    <row r="700">
      <c r="A700" s="3"/>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02"/>
      <c r="AJ700" s="102"/>
    </row>
    <row r="701">
      <c r="A701" s="3"/>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02"/>
      <c r="AJ701" s="102"/>
    </row>
    <row r="702">
      <c r="A702" s="3"/>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02"/>
      <c r="AJ702" s="102"/>
    </row>
    <row r="703">
      <c r="A703" s="3"/>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02"/>
      <c r="AJ703" s="102"/>
    </row>
    <row r="704">
      <c r="A704" s="3"/>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02"/>
      <c r="AJ704" s="102"/>
    </row>
    <row r="705">
      <c r="A705" s="3"/>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02"/>
      <c r="AJ705" s="102"/>
    </row>
    <row r="706">
      <c r="A706" s="3"/>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02"/>
      <c r="AJ706" s="102"/>
    </row>
    <row r="707">
      <c r="A707" s="3"/>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02"/>
      <c r="AJ707" s="102"/>
    </row>
    <row r="708">
      <c r="A708" s="3"/>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02"/>
      <c r="AJ708" s="102"/>
    </row>
    <row r="709">
      <c r="A709" s="3"/>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02"/>
      <c r="AJ709" s="102"/>
    </row>
    <row r="710">
      <c r="A710" s="3"/>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02"/>
      <c r="AJ710" s="102"/>
    </row>
    <row r="711">
      <c r="A711" s="3"/>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02"/>
      <c r="AJ711" s="102"/>
    </row>
    <row r="712">
      <c r="A712" s="3"/>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02"/>
      <c r="AJ712" s="102"/>
    </row>
    <row r="713">
      <c r="A713" s="3"/>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02"/>
      <c r="AJ713" s="102"/>
    </row>
    <row r="714">
      <c r="A714" s="3"/>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02"/>
      <c r="AJ714" s="102"/>
    </row>
    <row r="715">
      <c r="A715" s="3"/>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02"/>
      <c r="AJ715" s="102"/>
    </row>
    <row r="716">
      <c r="A716" s="3"/>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02"/>
      <c r="AJ716" s="102"/>
    </row>
    <row r="717">
      <c r="A717" s="3"/>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02"/>
      <c r="AJ717" s="102"/>
    </row>
    <row r="718">
      <c r="A718" s="3"/>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02"/>
      <c r="AJ718" s="102"/>
    </row>
    <row r="719">
      <c r="A719" s="3"/>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02"/>
      <c r="AJ719" s="102"/>
    </row>
    <row r="720">
      <c r="A720" s="3"/>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02"/>
      <c r="AJ720" s="102"/>
    </row>
    <row r="721">
      <c r="A721" s="3"/>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02"/>
      <c r="AJ721" s="102"/>
    </row>
    <row r="722">
      <c r="A722" s="3"/>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02"/>
      <c r="AJ722" s="102"/>
    </row>
    <row r="723">
      <c r="A723" s="3"/>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02"/>
      <c r="AJ723" s="102"/>
    </row>
    <row r="724">
      <c r="A724" s="3"/>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02"/>
      <c r="AJ724" s="102"/>
    </row>
    <row r="725">
      <c r="A725" s="3"/>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02"/>
      <c r="AJ725" s="102"/>
    </row>
    <row r="726">
      <c r="A726" s="3"/>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02"/>
      <c r="AJ726" s="102"/>
    </row>
    <row r="727">
      <c r="A727" s="3"/>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02"/>
      <c r="AJ727" s="102"/>
    </row>
    <row r="728">
      <c r="A728" s="3"/>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02"/>
      <c r="AJ728" s="102"/>
    </row>
    <row r="729">
      <c r="A729" s="3"/>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02"/>
      <c r="AJ729" s="102"/>
    </row>
    <row r="730">
      <c r="A730" s="3"/>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02"/>
      <c r="AJ730" s="102"/>
    </row>
    <row r="731">
      <c r="A731" s="3"/>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02"/>
      <c r="AJ731" s="102"/>
    </row>
    <row r="732">
      <c r="A732" s="3"/>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02"/>
      <c r="AJ732" s="102"/>
    </row>
    <row r="733">
      <c r="A733" s="3"/>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02"/>
      <c r="AJ733" s="102"/>
    </row>
    <row r="734">
      <c r="A734" s="3"/>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02"/>
      <c r="AJ734" s="102"/>
    </row>
    <row r="735">
      <c r="A735" s="3"/>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02"/>
      <c r="AJ735" s="102"/>
    </row>
    <row r="736">
      <c r="A736" s="3"/>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02"/>
      <c r="AJ736" s="102"/>
    </row>
    <row r="737">
      <c r="A737" s="3"/>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02"/>
      <c r="AJ737" s="102"/>
    </row>
    <row r="738">
      <c r="A738" s="3"/>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02"/>
      <c r="AJ738" s="102"/>
    </row>
    <row r="739">
      <c r="A739" s="3"/>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02"/>
      <c r="AJ739" s="102"/>
    </row>
    <row r="740">
      <c r="A740" s="3"/>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02"/>
      <c r="AJ740" s="102"/>
    </row>
    <row r="741">
      <c r="A741" s="3"/>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02"/>
      <c r="AJ741" s="102"/>
    </row>
    <row r="742">
      <c r="A742" s="3"/>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02"/>
      <c r="AJ742" s="102"/>
    </row>
    <row r="743">
      <c r="A743" s="3"/>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02"/>
      <c r="AJ743" s="102"/>
    </row>
    <row r="744">
      <c r="A744" s="3"/>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02"/>
      <c r="AJ744" s="102"/>
    </row>
    <row r="745">
      <c r="A745" s="3"/>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02"/>
      <c r="AJ745" s="102"/>
    </row>
    <row r="746">
      <c r="A746" s="3"/>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02"/>
      <c r="AJ746" s="102"/>
    </row>
    <row r="747">
      <c r="A747" s="3"/>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02"/>
      <c r="AJ747" s="102"/>
    </row>
    <row r="748">
      <c r="A748" s="3"/>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02"/>
      <c r="AJ748" s="102"/>
    </row>
    <row r="749">
      <c r="A749" s="3"/>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02"/>
      <c r="AJ749" s="102"/>
    </row>
    <row r="750">
      <c r="A750" s="3"/>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02"/>
      <c r="AJ750" s="102"/>
    </row>
    <row r="751">
      <c r="A751" s="3"/>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02"/>
      <c r="AJ751" s="102"/>
    </row>
    <row r="752">
      <c r="A752" s="3"/>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02"/>
      <c r="AJ752" s="102"/>
    </row>
    <row r="753">
      <c r="A753" s="3"/>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02"/>
      <c r="AJ753" s="102"/>
    </row>
    <row r="754">
      <c r="A754" s="3"/>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02"/>
      <c r="AJ754" s="102"/>
    </row>
    <row r="755">
      <c r="A755" s="3"/>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02"/>
      <c r="AJ755" s="102"/>
    </row>
    <row r="756">
      <c r="A756" s="3"/>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02"/>
      <c r="AJ756" s="102"/>
    </row>
    <row r="757">
      <c r="A757" s="3"/>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02"/>
      <c r="AJ757" s="102"/>
    </row>
    <row r="758">
      <c r="A758" s="3"/>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02"/>
      <c r="AJ758" s="102"/>
    </row>
    <row r="759">
      <c r="A759" s="3"/>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02"/>
      <c r="AJ759" s="102"/>
    </row>
    <row r="760">
      <c r="A760" s="3"/>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02"/>
      <c r="AJ760" s="102"/>
    </row>
    <row r="761">
      <c r="A761" s="3"/>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02"/>
      <c r="AJ761" s="102"/>
    </row>
    <row r="762">
      <c r="A762" s="3"/>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02"/>
      <c r="AJ762" s="102"/>
    </row>
    <row r="763">
      <c r="A763" s="3"/>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02"/>
      <c r="AJ763" s="102"/>
    </row>
    <row r="764">
      <c r="A764" s="3"/>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02"/>
      <c r="AJ764" s="102"/>
    </row>
    <row r="765">
      <c r="A765" s="3"/>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02"/>
      <c r="AJ765" s="102"/>
    </row>
    <row r="766">
      <c r="A766" s="3"/>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02"/>
      <c r="AJ766" s="102"/>
    </row>
    <row r="767">
      <c r="A767" s="3"/>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02"/>
      <c r="AJ767" s="102"/>
    </row>
    <row r="768">
      <c r="A768" s="3"/>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02"/>
      <c r="AJ768" s="102"/>
    </row>
    <row r="769">
      <c r="A769" s="3"/>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02"/>
      <c r="AJ769" s="102"/>
    </row>
    <row r="770">
      <c r="A770" s="3"/>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02"/>
      <c r="AJ770" s="102"/>
    </row>
    <row r="771">
      <c r="A771" s="3"/>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02"/>
      <c r="AJ771" s="102"/>
    </row>
    <row r="772">
      <c r="A772" s="3"/>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02"/>
      <c r="AJ772" s="102"/>
    </row>
    <row r="773">
      <c r="A773" s="3"/>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02"/>
      <c r="AJ773" s="102"/>
    </row>
    <row r="774">
      <c r="A774" s="3"/>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02"/>
      <c r="AJ774" s="102"/>
    </row>
    <row r="775">
      <c r="A775" s="3"/>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02"/>
      <c r="AJ775" s="102"/>
    </row>
    <row r="776">
      <c r="A776" s="3"/>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02"/>
      <c r="AJ776" s="102"/>
    </row>
    <row r="777">
      <c r="A777" s="3"/>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02"/>
      <c r="AJ777" s="102"/>
    </row>
    <row r="778">
      <c r="A778" s="3"/>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02"/>
      <c r="AJ778" s="102"/>
    </row>
    <row r="779">
      <c r="A779" s="3"/>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02"/>
      <c r="AJ779" s="102"/>
    </row>
    <row r="780">
      <c r="A780" s="3"/>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02"/>
      <c r="AJ780" s="102"/>
    </row>
    <row r="781">
      <c r="A781" s="3"/>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02"/>
      <c r="AJ781" s="102"/>
    </row>
    <row r="782">
      <c r="A782" s="3"/>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02"/>
      <c r="AJ782" s="102"/>
    </row>
    <row r="783">
      <c r="A783" s="3"/>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02"/>
      <c r="AJ783" s="102"/>
    </row>
    <row r="784">
      <c r="A784" s="3"/>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02"/>
      <c r="AJ784" s="102"/>
    </row>
    <row r="785">
      <c r="A785" s="3"/>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02"/>
      <c r="AJ785" s="102"/>
    </row>
    <row r="786">
      <c r="A786" s="3"/>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02"/>
      <c r="AJ786" s="102"/>
    </row>
    <row r="787">
      <c r="A787" s="3"/>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02"/>
      <c r="AJ787" s="102"/>
    </row>
    <row r="788">
      <c r="A788" s="3"/>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02"/>
      <c r="AJ788" s="102"/>
    </row>
    <row r="789">
      <c r="A789" s="3"/>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02"/>
      <c r="AJ789" s="102"/>
    </row>
    <row r="790">
      <c r="A790" s="3"/>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02"/>
      <c r="AJ790" s="102"/>
    </row>
    <row r="791">
      <c r="A791" s="3"/>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02"/>
      <c r="AJ791" s="102"/>
    </row>
    <row r="792">
      <c r="A792" s="3"/>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02"/>
      <c r="AJ792" s="102"/>
    </row>
    <row r="793">
      <c r="A793" s="3"/>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02"/>
      <c r="AJ793" s="102"/>
    </row>
    <row r="794">
      <c r="A794" s="3"/>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02"/>
      <c r="AJ794" s="102"/>
    </row>
    <row r="795">
      <c r="A795" s="3"/>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02"/>
      <c r="AJ795" s="102"/>
    </row>
    <row r="796">
      <c r="A796" s="3"/>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02"/>
      <c r="AJ796" s="102"/>
    </row>
    <row r="797">
      <c r="A797" s="3"/>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02"/>
      <c r="AJ797" s="102"/>
    </row>
    <row r="798">
      <c r="A798" s="3"/>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02"/>
      <c r="AJ798" s="102"/>
    </row>
    <row r="799">
      <c r="A799" s="3"/>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02"/>
      <c r="AJ799" s="102"/>
    </row>
    <row r="800">
      <c r="A800" s="3"/>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02"/>
      <c r="AJ800" s="102"/>
    </row>
    <row r="801">
      <c r="A801" s="3"/>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02"/>
      <c r="AJ801" s="102"/>
    </row>
    <row r="802">
      <c r="A802" s="3"/>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02"/>
      <c r="AJ802" s="102"/>
    </row>
    <row r="803">
      <c r="A803" s="3"/>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02"/>
      <c r="AJ803" s="102"/>
    </row>
    <row r="804">
      <c r="A804" s="3"/>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02"/>
      <c r="AJ804" s="102"/>
    </row>
    <row r="805">
      <c r="A805" s="3"/>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02"/>
      <c r="AJ805" s="102"/>
    </row>
    <row r="806">
      <c r="A806" s="3"/>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02"/>
      <c r="AJ806" s="102"/>
    </row>
    <row r="807">
      <c r="A807" s="3"/>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02"/>
      <c r="AJ807" s="102"/>
    </row>
    <row r="808">
      <c r="A808" s="3"/>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02"/>
      <c r="AJ808" s="102"/>
    </row>
    <row r="809">
      <c r="A809" s="3"/>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02"/>
      <c r="AJ809" s="102"/>
    </row>
    <row r="810">
      <c r="A810" s="3"/>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02"/>
      <c r="AJ810" s="102"/>
    </row>
    <row r="811">
      <c r="A811" s="3"/>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02"/>
      <c r="AJ811" s="102"/>
    </row>
    <row r="812">
      <c r="A812" s="3"/>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02"/>
      <c r="AJ812" s="102"/>
    </row>
    <row r="813">
      <c r="A813" s="3"/>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02"/>
      <c r="AJ813" s="102"/>
    </row>
    <row r="814">
      <c r="A814" s="3"/>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02"/>
      <c r="AJ814" s="102"/>
    </row>
    <row r="815">
      <c r="A815" s="3"/>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02"/>
      <c r="AJ815" s="102"/>
    </row>
    <row r="816">
      <c r="A816" s="3"/>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02"/>
      <c r="AJ816" s="102"/>
    </row>
    <row r="817">
      <c r="A817" s="3"/>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02"/>
      <c r="AJ817" s="102"/>
    </row>
    <row r="818">
      <c r="A818" s="3"/>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02"/>
      <c r="AJ818" s="102"/>
    </row>
    <row r="819">
      <c r="A819" s="3"/>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02"/>
      <c r="AJ819" s="102"/>
    </row>
    <row r="820">
      <c r="A820" s="3"/>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02"/>
      <c r="AJ820" s="102"/>
    </row>
    <row r="821">
      <c r="A821" s="3"/>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02"/>
      <c r="AJ821" s="102"/>
    </row>
    <row r="822">
      <c r="A822" s="3"/>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02"/>
      <c r="AJ822" s="102"/>
    </row>
    <row r="823">
      <c r="A823" s="3"/>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02"/>
      <c r="AJ823" s="102"/>
    </row>
    <row r="824">
      <c r="A824" s="3"/>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02"/>
      <c r="AJ824" s="102"/>
    </row>
    <row r="825">
      <c r="A825" s="3"/>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02"/>
      <c r="AJ825" s="102"/>
    </row>
    <row r="826">
      <c r="A826" s="3"/>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02"/>
      <c r="AJ826" s="102"/>
    </row>
    <row r="827">
      <c r="A827" s="3"/>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02"/>
      <c r="AJ827" s="102"/>
    </row>
    <row r="828">
      <c r="A828" s="3"/>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02"/>
      <c r="AJ828" s="102"/>
    </row>
    <row r="829">
      <c r="A829" s="3"/>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02"/>
      <c r="AJ829" s="102"/>
    </row>
    <row r="830">
      <c r="A830" s="3"/>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02"/>
      <c r="AJ830" s="102"/>
    </row>
    <row r="831">
      <c r="A831" s="3"/>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02"/>
      <c r="AJ831" s="102"/>
    </row>
    <row r="832">
      <c r="A832" s="3"/>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02"/>
      <c r="AJ832" s="102"/>
    </row>
    <row r="833">
      <c r="A833" s="3"/>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02"/>
      <c r="AJ833" s="102"/>
    </row>
    <row r="834">
      <c r="A834" s="3"/>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02"/>
      <c r="AJ834" s="102"/>
    </row>
    <row r="835">
      <c r="A835" s="3"/>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02"/>
      <c r="AJ835" s="102"/>
    </row>
    <row r="836">
      <c r="A836" s="3"/>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02"/>
      <c r="AJ836" s="102"/>
    </row>
    <row r="837">
      <c r="A837" s="3"/>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02"/>
      <c r="AJ837" s="102"/>
    </row>
    <row r="838">
      <c r="A838" s="3"/>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02"/>
      <c r="AJ838" s="102"/>
    </row>
    <row r="839">
      <c r="A839" s="3"/>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02"/>
      <c r="AJ839" s="102"/>
    </row>
    <row r="840">
      <c r="A840" s="3"/>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02"/>
      <c r="AJ840" s="102"/>
    </row>
    <row r="841">
      <c r="A841" s="3"/>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02"/>
      <c r="AJ841" s="102"/>
    </row>
    <row r="842">
      <c r="A842" s="3"/>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02"/>
      <c r="AJ842" s="102"/>
    </row>
    <row r="843">
      <c r="A843" s="3"/>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02"/>
      <c r="AJ843" s="102"/>
    </row>
    <row r="844">
      <c r="A844" s="3"/>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02"/>
      <c r="AJ844" s="102"/>
    </row>
    <row r="845">
      <c r="A845" s="3"/>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02"/>
      <c r="AJ845" s="102"/>
    </row>
    <row r="846">
      <c r="A846" s="3"/>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02"/>
      <c r="AJ846" s="102"/>
    </row>
    <row r="847">
      <c r="A847" s="3"/>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02"/>
      <c r="AJ847" s="102"/>
    </row>
    <row r="848">
      <c r="A848" s="3"/>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02"/>
      <c r="AJ848" s="102"/>
    </row>
    <row r="849">
      <c r="A849" s="3"/>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02"/>
      <c r="AJ849" s="102"/>
    </row>
    <row r="850">
      <c r="A850" s="3"/>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02"/>
      <c r="AJ850" s="102"/>
    </row>
    <row r="851">
      <c r="A851" s="3"/>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02"/>
      <c r="AJ851" s="102"/>
    </row>
    <row r="852">
      <c r="A852" s="3"/>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02"/>
      <c r="AJ852" s="102"/>
    </row>
    <row r="853">
      <c r="A853" s="3"/>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02"/>
      <c r="AJ853" s="102"/>
    </row>
    <row r="854">
      <c r="A854" s="3"/>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02"/>
      <c r="AJ854" s="102"/>
    </row>
    <row r="855">
      <c r="A855" s="3"/>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02"/>
      <c r="AJ855" s="102"/>
    </row>
    <row r="856">
      <c r="A856" s="3"/>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02"/>
      <c r="AJ856" s="102"/>
    </row>
    <row r="857">
      <c r="A857" s="3"/>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02"/>
      <c r="AJ857" s="102"/>
    </row>
    <row r="858">
      <c r="A858" s="3"/>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02"/>
      <c r="AJ858" s="102"/>
    </row>
    <row r="859">
      <c r="A859" s="3"/>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02"/>
      <c r="AJ859" s="102"/>
    </row>
    <row r="860">
      <c r="A860" s="3"/>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02"/>
      <c r="AJ860" s="102"/>
    </row>
    <row r="861">
      <c r="A861" s="3"/>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02"/>
      <c r="AJ861" s="102"/>
    </row>
    <row r="862">
      <c r="A862" s="3"/>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02"/>
      <c r="AJ862" s="102"/>
    </row>
    <row r="863">
      <c r="A863" s="3"/>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02"/>
      <c r="AJ863" s="102"/>
    </row>
    <row r="864">
      <c r="A864" s="3"/>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02"/>
      <c r="AJ864" s="102"/>
    </row>
    <row r="865">
      <c r="A865" s="3"/>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02"/>
      <c r="AJ865" s="102"/>
    </row>
    <row r="866">
      <c r="A866" s="3"/>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02"/>
      <c r="AJ866" s="102"/>
    </row>
    <row r="867">
      <c r="A867" s="3"/>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02"/>
      <c r="AJ867" s="102"/>
    </row>
    <row r="868">
      <c r="A868" s="3"/>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02"/>
      <c r="AJ868" s="102"/>
    </row>
    <row r="869">
      <c r="A869" s="3"/>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02"/>
      <c r="AJ869" s="102"/>
    </row>
    <row r="870">
      <c r="A870" s="3"/>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02"/>
      <c r="AJ870" s="102"/>
    </row>
    <row r="871">
      <c r="A871" s="3"/>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02"/>
      <c r="AJ871" s="102"/>
    </row>
    <row r="872">
      <c r="A872" s="3"/>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02"/>
      <c r="AJ872" s="102"/>
    </row>
    <row r="873">
      <c r="A873" s="3"/>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02"/>
      <c r="AJ873" s="102"/>
    </row>
    <row r="874">
      <c r="A874" s="3"/>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02"/>
      <c r="AJ874" s="102"/>
    </row>
    <row r="875">
      <c r="A875" s="3"/>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02"/>
      <c r="AJ875" s="102"/>
    </row>
    <row r="876">
      <c r="A876" s="3"/>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02"/>
      <c r="AJ876" s="102"/>
    </row>
    <row r="877">
      <c r="A877" s="3"/>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02"/>
      <c r="AJ877" s="102"/>
    </row>
    <row r="878">
      <c r="A878" s="3"/>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02"/>
      <c r="AJ878" s="102"/>
    </row>
    <row r="879">
      <c r="A879" s="3"/>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02"/>
      <c r="AJ879" s="102"/>
    </row>
    <row r="880">
      <c r="A880" s="3"/>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02"/>
      <c r="AJ880" s="102"/>
    </row>
    <row r="881">
      <c r="A881" s="3"/>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02"/>
      <c r="AJ881" s="102"/>
    </row>
    <row r="882">
      <c r="A882" s="3"/>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02"/>
      <c r="AJ882" s="102"/>
    </row>
    <row r="883">
      <c r="A883" s="3"/>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02"/>
      <c r="AJ883" s="102"/>
    </row>
    <row r="884">
      <c r="A884" s="3"/>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02"/>
      <c r="AJ884" s="102"/>
    </row>
    <row r="885">
      <c r="A885" s="3"/>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02"/>
      <c r="AJ885" s="102"/>
    </row>
    <row r="886">
      <c r="A886" s="3"/>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02"/>
      <c r="AJ886" s="102"/>
    </row>
    <row r="887">
      <c r="A887" s="3"/>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02"/>
      <c r="AJ887" s="102"/>
    </row>
    <row r="888">
      <c r="A888" s="3"/>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02"/>
      <c r="AJ888" s="102"/>
    </row>
    <row r="889">
      <c r="A889" s="3"/>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02"/>
      <c r="AJ889" s="102"/>
    </row>
    <row r="890">
      <c r="A890" s="3"/>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02"/>
      <c r="AJ890" s="102"/>
    </row>
    <row r="891">
      <c r="A891" s="3"/>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02"/>
      <c r="AJ891" s="102"/>
    </row>
    <row r="892">
      <c r="A892" s="3"/>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02"/>
      <c r="AJ892" s="102"/>
    </row>
    <row r="893">
      <c r="A893" s="3"/>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02"/>
      <c r="AJ893" s="102"/>
    </row>
    <row r="894">
      <c r="A894" s="3"/>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02"/>
      <c r="AJ894" s="102"/>
    </row>
    <row r="895">
      <c r="A895" s="3"/>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02"/>
      <c r="AJ895" s="102"/>
    </row>
    <row r="896">
      <c r="A896" s="3"/>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02"/>
      <c r="AJ896" s="102"/>
    </row>
    <row r="897">
      <c r="A897" s="3"/>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02"/>
      <c r="AJ897" s="102"/>
    </row>
    <row r="898">
      <c r="A898" s="3"/>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02"/>
      <c r="AJ898" s="102"/>
    </row>
    <row r="899">
      <c r="A899" s="3"/>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02"/>
      <c r="AJ899" s="102"/>
    </row>
    <row r="900">
      <c r="A900" s="3"/>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02"/>
      <c r="AJ900" s="102"/>
    </row>
    <row r="901">
      <c r="A901" s="3"/>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02"/>
      <c r="AJ901" s="102"/>
    </row>
    <row r="902">
      <c r="A902" s="3"/>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02"/>
      <c r="AJ902" s="102"/>
    </row>
    <row r="903">
      <c r="A903" s="3"/>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02"/>
      <c r="AJ903" s="102"/>
    </row>
    <row r="904">
      <c r="A904" s="3"/>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02"/>
      <c r="AJ904" s="102"/>
    </row>
    <row r="905">
      <c r="A905" s="3"/>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02"/>
      <c r="AJ905" s="102"/>
    </row>
    <row r="906">
      <c r="A906" s="3"/>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02"/>
      <c r="AJ906" s="102"/>
    </row>
    <row r="907">
      <c r="A907" s="3"/>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02"/>
      <c r="AJ907" s="102"/>
    </row>
    <row r="908">
      <c r="A908" s="3"/>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02"/>
      <c r="AJ908" s="102"/>
    </row>
    <row r="909">
      <c r="A909" s="3"/>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02"/>
      <c r="AJ909" s="102"/>
    </row>
    <row r="910">
      <c r="A910" s="3"/>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02"/>
      <c r="AJ910" s="102"/>
    </row>
    <row r="911">
      <c r="A911" s="3"/>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02"/>
      <c r="AJ911" s="102"/>
    </row>
    <row r="912">
      <c r="A912" s="3"/>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02"/>
      <c r="AJ912" s="102"/>
    </row>
    <row r="913">
      <c r="A913" s="3"/>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02"/>
      <c r="AJ913" s="102"/>
    </row>
    <row r="914">
      <c r="A914" s="3"/>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02"/>
      <c r="AJ914" s="102"/>
    </row>
    <row r="915">
      <c r="A915" s="3"/>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02"/>
      <c r="AJ915" s="102"/>
    </row>
    <row r="916">
      <c r="A916" s="3"/>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02"/>
      <c r="AJ916" s="102"/>
    </row>
    <row r="917">
      <c r="A917" s="3"/>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02"/>
      <c r="AJ917" s="102"/>
    </row>
    <row r="918">
      <c r="A918" s="3"/>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02"/>
      <c r="AJ918" s="102"/>
    </row>
    <row r="919">
      <c r="A919" s="3"/>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02"/>
      <c r="AJ919" s="102"/>
    </row>
    <row r="920">
      <c r="A920" s="3"/>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02"/>
      <c r="AJ920" s="102"/>
    </row>
    <row r="921">
      <c r="A921" s="3"/>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02"/>
      <c r="AJ921" s="102"/>
    </row>
    <row r="922">
      <c r="A922" s="3"/>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02"/>
      <c r="AJ922" s="102"/>
    </row>
    <row r="923">
      <c r="A923" s="3"/>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02"/>
      <c r="AJ923" s="102"/>
    </row>
    <row r="924">
      <c r="A924" s="3"/>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02"/>
      <c r="AJ924" s="102"/>
    </row>
    <row r="925">
      <c r="A925" s="3"/>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02"/>
      <c r="AJ925" s="102"/>
    </row>
    <row r="926">
      <c r="A926" s="3"/>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02"/>
      <c r="AJ926" s="102"/>
    </row>
    <row r="927">
      <c r="A927" s="3"/>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02"/>
      <c r="AJ927" s="102"/>
    </row>
    <row r="928">
      <c r="A928" s="3"/>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02"/>
      <c r="AJ928" s="102"/>
    </row>
    <row r="929">
      <c r="A929" s="3"/>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02"/>
      <c r="AJ929" s="102"/>
    </row>
    <row r="930">
      <c r="A930" s="3"/>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02"/>
      <c r="AJ930" s="102"/>
    </row>
    <row r="931">
      <c r="A931" s="3"/>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02"/>
      <c r="AJ931" s="102"/>
    </row>
    <row r="932">
      <c r="A932" s="3"/>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02"/>
      <c r="AJ932" s="102"/>
    </row>
    <row r="933">
      <c r="A933" s="3"/>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02"/>
      <c r="AJ933" s="102"/>
    </row>
    <row r="934">
      <c r="A934" s="3"/>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02"/>
      <c r="AJ934" s="102"/>
    </row>
    <row r="935">
      <c r="A935" s="3"/>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02"/>
      <c r="AJ935" s="102"/>
    </row>
    <row r="936">
      <c r="A936" s="3"/>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02"/>
      <c r="AJ936" s="102"/>
    </row>
    <row r="937">
      <c r="A937" s="3"/>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02"/>
      <c r="AJ937" s="102"/>
    </row>
    <row r="938">
      <c r="A938" s="3"/>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02"/>
      <c r="AJ938" s="102"/>
    </row>
    <row r="939">
      <c r="A939" s="3"/>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02"/>
      <c r="AJ939" s="102"/>
    </row>
    <row r="940">
      <c r="A940" s="3"/>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02"/>
      <c r="AJ940" s="102"/>
    </row>
    <row r="941">
      <c r="A941" s="3"/>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02"/>
      <c r="AJ941" s="102"/>
    </row>
    <row r="942">
      <c r="A942" s="3"/>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02"/>
      <c r="AJ942" s="102"/>
    </row>
    <row r="943">
      <c r="A943" s="3"/>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02"/>
      <c r="AJ943" s="102"/>
    </row>
    <row r="944">
      <c r="A944" s="3"/>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02"/>
      <c r="AJ944" s="102"/>
    </row>
    <row r="945">
      <c r="A945" s="3"/>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02"/>
      <c r="AJ945" s="102"/>
    </row>
    <row r="946">
      <c r="A946" s="3"/>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02"/>
      <c r="AJ946" s="102"/>
    </row>
    <row r="947">
      <c r="A947" s="3"/>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02"/>
      <c r="AJ947" s="102"/>
    </row>
    <row r="948">
      <c r="A948" s="3"/>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02"/>
      <c r="AJ948" s="102"/>
    </row>
    <row r="949">
      <c r="A949" s="3"/>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02"/>
      <c r="AJ949" s="102"/>
    </row>
    <row r="950">
      <c r="A950" s="3"/>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02"/>
      <c r="AJ950" s="102"/>
    </row>
    <row r="951">
      <c r="A951" s="3"/>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02"/>
      <c r="AJ951" s="102"/>
    </row>
    <row r="952">
      <c r="A952" s="3"/>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02"/>
      <c r="AJ952" s="102"/>
    </row>
    <row r="953">
      <c r="A953" s="3"/>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02"/>
      <c r="AJ953" s="102"/>
    </row>
    <row r="954">
      <c r="A954" s="3"/>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02"/>
      <c r="AJ954" s="102"/>
    </row>
    <row r="955">
      <c r="A955" s="3"/>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02"/>
      <c r="AJ955" s="102"/>
    </row>
    <row r="956">
      <c r="A956" s="3"/>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02"/>
      <c r="AJ956" s="102"/>
    </row>
    <row r="957">
      <c r="A957" s="3"/>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02"/>
      <c r="AJ957" s="102"/>
    </row>
    <row r="958">
      <c r="A958" s="3"/>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02"/>
      <c r="AJ958" s="102"/>
    </row>
    <row r="959">
      <c r="A959" s="3"/>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02"/>
      <c r="AJ959" s="102"/>
    </row>
    <row r="960">
      <c r="A960" s="3"/>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02"/>
      <c r="AJ960" s="102"/>
    </row>
    <row r="961">
      <c r="A961" s="3"/>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02"/>
      <c r="AJ961" s="102"/>
    </row>
    <row r="962">
      <c r="A962" s="3"/>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02"/>
      <c r="AJ962" s="102"/>
    </row>
    <row r="963">
      <c r="A963" s="3"/>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02"/>
      <c r="AJ963" s="102"/>
    </row>
    <row r="964">
      <c r="A964" s="3"/>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02"/>
      <c r="AJ964" s="102"/>
    </row>
    <row r="965">
      <c r="A965" s="3"/>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02"/>
      <c r="AJ965" s="102"/>
    </row>
    <row r="966">
      <c r="A966" s="3"/>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02"/>
      <c r="AJ966" s="102"/>
    </row>
    <row r="967">
      <c r="A967" s="3"/>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02"/>
      <c r="AJ967" s="102"/>
    </row>
    <row r="968">
      <c r="A968" s="3"/>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02"/>
      <c r="AJ968" s="102"/>
    </row>
    <row r="969">
      <c r="A969" s="3"/>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02"/>
      <c r="AJ969" s="102"/>
    </row>
    <row r="970">
      <c r="A970" s="3"/>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02"/>
      <c r="AJ970" s="102"/>
    </row>
    <row r="971">
      <c r="A971" s="3"/>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02"/>
      <c r="AJ971" s="102"/>
    </row>
    <row r="972">
      <c r="A972" s="3"/>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02"/>
      <c r="AJ972" s="102"/>
    </row>
    <row r="973">
      <c r="A973" s="3"/>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02"/>
      <c r="AJ973" s="102"/>
    </row>
    <row r="974">
      <c r="A974" s="3"/>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02"/>
      <c r="AJ974" s="102"/>
    </row>
    <row r="975">
      <c r="A975" s="3"/>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02"/>
      <c r="AJ975" s="102"/>
    </row>
    <row r="976">
      <c r="A976" s="3"/>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02"/>
      <c r="AJ976" s="102"/>
    </row>
    <row r="977">
      <c r="A977" s="3"/>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02"/>
      <c r="AJ977" s="102"/>
    </row>
    <row r="978">
      <c r="A978" s="3"/>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02"/>
      <c r="AJ978" s="102"/>
    </row>
    <row r="979">
      <c r="A979" s="3"/>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02"/>
      <c r="AJ979" s="102"/>
    </row>
    <row r="980">
      <c r="A980" s="3"/>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02"/>
      <c r="AJ980" s="102"/>
    </row>
    <row r="981">
      <c r="A981" s="3"/>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02"/>
      <c r="AJ981" s="102"/>
    </row>
    <row r="982">
      <c r="A982" s="3"/>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02"/>
      <c r="AJ982" s="102"/>
    </row>
    <row r="983">
      <c r="A983" s="3"/>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02"/>
      <c r="AJ983" s="102"/>
    </row>
    <row r="984">
      <c r="A984" s="3"/>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02"/>
      <c r="AJ984" s="102"/>
    </row>
    <row r="985">
      <c r="A985" s="3"/>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02"/>
      <c r="AJ985" s="102"/>
    </row>
    <row r="986">
      <c r="A986" s="3"/>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02"/>
      <c r="AJ986" s="102"/>
    </row>
    <row r="987">
      <c r="A987" s="3"/>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02"/>
      <c r="AJ987" s="102"/>
    </row>
    <row r="988">
      <c r="A988" s="3"/>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02"/>
      <c r="AJ988" s="102"/>
    </row>
    <row r="989">
      <c r="A989" s="3"/>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02"/>
      <c r="AJ989" s="102"/>
    </row>
    <row r="990">
      <c r="A990" s="3"/>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02"/>
      <c r="AJ990" s="102"/>
    </row>
    <row r="991">
      <c r="A991" s="3"/>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02"/>
      <c r="AJ991" s="102"/>
    </row>
    <row r="992">
      <c r="A992" s="3"/>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02"/>
      <c r="AJ992" s="102"/>
    </row>
    <row r="993">
      <c r="A993" s="3"/>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02"/>
      <c r="AJ993" s="102"/>
    </row>
    <row r="994">
      <c r="A994" s="3"/>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02"/>
      <c r="AJ994" s="102"/>
    </row>
    <row r="995">
      <c r="A995" s="3"/>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02"/>
      <c r="AJ995" s="102"/>
    </row>
    <row r="996">
      <c r="A996" s="3"/>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02"/>
      <c r="AJ996" s="102"/>
    </row>
    <row r="997">
      <c r="A997" s="3"/>
      <c r="K997" s="102"/>
      <c r="L997" s="102"/>
      <c r="M997" s="102"/>
      <c r="N997" s="102"/>
      <c r="O997" s="102"/>
      <c r="P997" s="102"/>
      <c r="Q997" s="102"/>
      <c r="R997" s="102"/>
      <c r="S997" s="102"/>
      <c r="T997" s="102"/>
      <c r="U997" s="102"/>
      <c r="V997" s="102"/>
      <c r="W997" s="102"/>
      <c r="X997" s="102"/>
      <c r="Y997" s="102"/>
      <c r="Z997" s="102"/>
      <c r="AA997" s="102"/>
      <c r="AB997" s="102"/>
      <c r="AC997" s="102"/>
      <c r="AD997" s="102"/>
      <c r="AE997" s="102"/>
      <c r="AF997" s="102"/>
      <c r="AG997" s="102"/>
      <c r="AH997" s="102"/>
      <c r="AI997" s="102"/>
      <c r="AJ997" s="102"/>
    </row>
    <row r="998">
      <c r="A998" s="3"/>
      <c r="K998" s="102"/>
      <c r="L998" s="102"/>
      <c r="M998" s="102"/>
      <c r="N998" s="102"/>
      <c r="O998" s="102"/>
      <c r="P998" s="102"/>
      <c r="Q998" s="102"/>
      <c r="R998" s="102"/>
      <c r="S998" s="102"/>
      <c r="T998" s="102"/>
      <c r="U998" s="102"/>
      <c r="V998" s="102"/>
      <c r="W998" s="102"/>
      <c r="X998" s="102"/>
      <c r="Y998" s="102"/>
      <c r="Z998" s="102"/>
      <c r="AA998" s="102"/>
      <c r="AB998" s="102"/>
      <c r="AC998" s="102"/>
      <c r="AD998" s="102"/>
      <c r="AE998" s="102"/>
      <c r="AF998" s="102"/>
      <c r="AG998" s="102"/>
      <c r="AH998" s="102"/>
      <c r="AI998" s="102"/>
      <c r="AJ998" s="102"/>
    </row>
    <row r="999">
      <c r="A999" s="3"/>
      <c r="K999" s="102"/>
      <c r="L999" s="102"/>
      <c r="M999" s="102"/>
      <c r="N999" s="102"/>
      <c r="O999" s="102"/>
      <c r="P999" s="102"/>
      <c r="Q999" s="102"/>
      <c r="R999" s="102"/>
      <c r="S999" s="102"/>
      <c r="T999" s="102"/>
      <c r="U999" s="102"/>
      <c r="V999" s="102"/>
      <c r="W999" s="102"/>
      <c r="X999" s="102"/>
      <c r="Y999" s="102"/>
      <c r="Z999" s="102"/>
      <c r="AA999" s="102"/>
      <c r="AB999" s="102"/>
      <c r="AC999" s="102"/>
      <c r="AD999" s="102"/>
      <c r="AE999" s="102"/>
      <c r="AF999" s="102"/>
      <c r="AG999" s="102"/>
      <c r="AH999" s="102"/>
      <c r="AI999" s="102"/>
      <c r="AJ999" s="102"/>
    </row>
    <row r="1000">
      <c r="A1000" s="3"/>
      <c r="K1000" s="102"/>
      <c r="L1000" s="102"/>
      <c r="M1000" s="102"/>
      <c r="N1000" s="102"/>
      <c r="O1000" s="102"/>
      <c r="P1000" s="102"/>
      <c r="Q1000" s="102"/>
      <c r="R1000" s="102"/>
      <c r="S1000" s="102"/>
      <c r="T1000" s="102"/>
      <c r="U1000" s="102"/>
      <c r="V1000" s="102"/>
      <c r="W1000" s="102"/>
      <c r="X1000" s="102"/>
      <c r="Y1000" s="102"/>
      <c r="Z1000" s="102"/>
      <c r="AA1000" s="102"/>
      <c r="AB1000" s="102"/>
      <c r="AC1000" s="102"/>
      <c r="AD1000" s="102"/>
      <c r="AE1000" s="102"/>
      <c r="AF1000" s="102"/>
      <c r="AG1000" s="102"/>
      <c r="AH1000" s="102"/>
      <c r="AI1000" s="102"/>
      <c r="AJ1000" s="102"/>
    </row>
  </sheetData>
  <dataValidations>
    <dataValidation type="custom" allowBlank="1" showDropDown="1" sqref="A2:A262">
      <formula1>OR(NOT(ISERROR(DATEVALUE(A2))), AND(ISNUMBER(A2), LEFT(CELL("format", A2))="D"))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B1" s="14"/>
      <c r="C1" s="14"/>
      <c r="D1" s="14"/>
      <c r="E1" s="14"/>
      <c r="F1" s="14"/>
      <c r="G1" s="14"/>
    </row>
    <row r="2">
      <c r="A2" s="11"/>
      <c r="B2" s="219" t="s">
        <v>97</v>
      </c>
      <c r="C2" s="14"/>
      <c r="D2" s="14"/>
      <c r="E2" s="14"/>
      <c r="F2" s="14"/>
      <c r="G2" s="14"/>
      <c r="Q2" s="220" t="s">
        <v>98</v>
      </c>
    </row>
    <row r="3">
      <c r="B3" s="14"/>
      <c r="C3" s="14"/>
      <c r="D3" s="14"/>
      <c r="E3" s="14"/>
      <c r="F3" s="14"/>
      <c r="G3" s="14"/>
    </row>
    <row r="4">
      <c r="F4" s="14"/>
      <c r="G4" s="14"/>
      <c r="Q4" s="20" t="s">
        <v>1</v>
      </c>
      <c r="R4" s="20" t="s">
        <v>99</v>
      </c>
      <c r="S4" s="20" t="s">
        <v>100</v>
      </c>
      <c r="V4" s="20" t="s">
        <v>1</v>
      </c>
      <c r="W4" s="20" t="s">
        <v>99</v>
      </c>
      <c r="X4" s="20" t="s">
        <v>101</v>
      </c>
    </row>
    <row r="5">
      <c r="F5" s="14"/>
      <c r="G5" s="14"/>
      <c r="Q5" s="20" t="s">
        <v>19</v>
      </c>
      <c r="R5" s="20">
        <v>7.0</v>
      </c>
      <c r="S5" s="47">
        <v>0.0</v>
      </c>
      <c r="V5" s="20" t="s">
        <v>19</v>
      </c>
      <c r="W5" s="20">
        <v>7.0</v>
      </c>
      <c r="X5" s="47">
        <v>0.0</v>
      </c>
    </row>
    <row r="6">
      <c r="F6" s="14"/>
      <c r="G6" s="14"/>
      <c r="Q6" s="20" t="s">
        <v>26</v>
      </c>
      <c r="R6" s="20">
        <v>25.0</v>
      </c>
      <c r="S6" s="47">
        <v>0.3197311779947513</v>
      </c>
      <c r="V6" s="20" t="s">
        <v>26</v>
      </c>
      <c r="W6" s="20">
        <v>25.0</v>
      </c>
      <c r="X6" s="47">
        <v>0.3197311779947513</v>
      </c>
    </row>
    <row r="7">
      <c r="F7" s="14"/>
      <c r="G7" s="14"/>
      <c r="Q7" s="20" t="s">
        <v>14</v>
      </c>
      <c r="R7" s="20">
        <v>22.0</v>
      </c>
      <c r="S7" s="47">
        <v>0.3319363159032976</v>
      </c>
      <c r="V7" s="20" t="s">
        <v>14</v>
      </c>
      <c r="W7" s="20">
        <v>22.0</v>
      </c>
      <c r="X7" s="47">
        <v>0.3319363159032976</v>
      </c>
    </row>
    <row r="8">
      <c r="F8" s="14"/>
      <c r="G8" s="14"/>
      <c r="Q8" s="20" t="s">
        <v>8</v>
      </c>
      <c r="R8" s="20">
        <v>14.0</v>
      </c>
      <c r="S8" s="47">
        <v>0.3868390766473322</v>
      </c>
      <c r="V8" s="20" t="s">
        <v>8</v>
      </c>
      <c r="W8" s="20">
        <v>14.0</v>
      </c>
      <c r="X8" s="47">
        <v>0.3868390766473322</v>
      </c>
    </row>
    <row r="9">
      <c r="F9" s="14"/>
      <c r="G9" s="14"/>
      <c r="Q9" s="20" t="s">
        <v>17</v>
      </c>
      <c r="R9" s="20">
        <v>10.0</v>
      </c>
      <c r="S9" s="47">
        <v>0.2521111826518666</v>
      </c>
      <c r="V9" s="20" t="s">
        <v>17</v>
      </c>
      <c r="W9" s="20">
        <v>10.0</v>
      </c>
      <c r="X9" s="47">
        <v>0.2521111826518666</v>
      </c>
    </row>
    <row r="10">
      <c r="F10" s="14"/>
      <c r="G10" s="14"/>
      <c r="O10" s="222"/>
      <c r="P10" s="222"/>
      <c r="Q10" s="20" t="s">
        <v>23</v>
      </c>
      <c r="R10" s="20">
        <v>19.0</v>
      </c>
      <c r="S10" s="47">
        <v>0.17632946479699496</v>
      </c>
      <c r="V10" s="20" t="s">
        <v>23</v>
      </c>
      <c r="W10" s="20">
        <v>19.0</v>
      </c>
      <c r="X10" s="47">
        <v>0.17632946479699496</v>
      </c>
    </row>
    <row r="11">
      <c r="F11" s="14"/>
      <c r="G11" s="14"/>
      <c r="Q11" s="20" t="s">
        <v>25</v>
      </c>
      <c r="R11" s="20">
        <v>30.0</v>
      </c>
      <c r="S11" s="47">
        <v>0.6266167529740932</v>
      </c>
      <c r="V11" s="20" t="s">
        <v>25</v>
      </c>
      <c r="W11" s="20">
        <v>30.0</v>
      </c>
      <c r="X11" s="47">
        <v>0.6266167529740932</v>
      </c>
    </row>
    <row r="12">
      <c r="F12" s="14"/>
      <c r="G12" s="14"/>
      <c r="Q12" s="20" t="s">
        <v>66</v>
      </c>
      <c r="R12" s="20">
        <v>14.0</v>
      </c>
      <c r="S12" s="47">
        <v>1.0</v>
      </c>
      <c r="V12" s="20" t="s">
        <v>66</v>
      </c>
      <c r="W12" s="20">
        <v>14.0</v>
      </c>
      <c r="X12" s="47">
        <v>1.0</v>
      </c>
    </row>
    <row r="13">
      <c r="F13" s="14"/>
      <c r="G13" s="14"/>
    </row>
    <row r="14">
      <c r="B14" s="14"/>
      <c r="C14" s="14"/>
      <c r="D14" s="14"/>
      <c r="E14" s="14"/>
      <c r="F14" s="14"/>
      <c r="G14" s="14"/>
      <c r="O14" s="220"/>
      <c r="P14" s="220"/>
    </row>
    <row r="15">
      <c r="B15" s="14"/>
      <c r="C15" s="14"/>
      <c r="D15" s="14"/>
      <c r="E15" s="14"/>
      <c r="F15" s="14"/>
      <c r="G15" s="14"/>
    </row>
    <row r="16">
      <c r="B16" s="14"/>
      <c r="C16" s="14"/>
      <c r="D16" s="14"/>
      <c r="E16" s="14"/>
      <c r="F16" s="14"/>
      <c r="G16" s="14"/>
    </row>
    <row r="17">
      <c r="B17" s="14"/>
      <c r="C17" s="14"/>
      <c r="D17" s="14"/>
      <c r="E17" s="14"/>
      <c r="F17" s="14"/>
      <c r="G17" s="14"/>
    </row>
    <row r="18">
      <c r="B18" s="14"/>
      <c r="C18" s="14"/>
      <c r="D18" s="14"/>
      <c r="E18" s="14"/>
      <c r="F18" s="14"/>
      <c r="G18" s="14"/>
    </row>
    <row r="19">
      <c r="B19" s="14"/>
      <c r="C19" s="14"/>
      <c r="D19" s="14"/>
      <c r="E19" s="14"/>
      <c r="F19" s="14"/>
      <c r="G19" s="14"/>
      <c r="V19" s="223"/>
    </row>
    <row r="20">
      <c r="B20" s="14"/>
      <c r="C20" s="14"/>
      <c r="D20" s="14"/>
      <c r="E20" s="14"/>
      <c r="F20" s="14"/>
      <c r="G20" s="14"/>
    </row>
    <row r="21">
      <c r="B21" s="14"/>
      <c r="C21" s="14"/>
      <c r="D21" s="14"/>
      <c r="E21" s="14"/>
      <c r="F21" s="14"/>
      <c r="G21" s="14"/>
    </row>
    <row r="22">
      <c r="B22" s="14"/>
      <c r="C22" s="14"/>
      <c r="D22" s="14"/>
      <c r="E22" s="14"/>
      <c r="F22" s="14"/>
      <c r="G22" s="14"/>
      <c r="N22" s="2" t="s">
        <v>102</v>
      </c>
    </row>
    <row r="23">
      <c r="B23" s="14"/>
      <c r="C23" s="14"/>
      <c r="D23" s="14"/>
      <c r="E23" s="14"/>
      <c r="F23" s="14"/>
      <c r="G23" s="14"/>
    </row>
    <row r="24">
      <c r="B24" s="219" t="s">
        <v>103</v>
      </c>
      <c r="C24" s="14"/>
      <c r="D24" s="14"/>
      <c r="E24" s="14"/>
      <c r="F24" s="14"/>
      <c r="G24" s="14"/>
      <c r="Q24" s="220" t="s">
        <v>104</v>
      </c>
    </row>
    <row r="25">
      <c r="B25" s="14"/>
      <c r="C25" s="14"/>
      <c r="D25" s="14"/>
      <c r="E25" s="14"/>
      <c r="F25" s="14"/>
      <c r="G25" s="14"/>
    </row>
    <row r="26"/>
    <row r="27"/>
    <row r="28"/>
    <row r="29"/>
    <row r="30"/>
    <row r="31"/>
    <row r="32"/>
    <row r="33"/>
    <row r="34"/>
    <row r="35"/>
    <row r="36"/>
    <row r="37">
      <c r="B37" s="14"/>
      <c r="C37" s="14"/>
      <c r="D37" s="14"/>
      <c r="E37" s="14"/>
      <c r="F37" s="14"/>
      <c r="G37" s="14"/>
    </row>
    <row r="38">
      <c r="B38" s="14"/>
      <c r="C38" s="14"/>
      <c r="D38" s="14"/>
      <c r="E38" s="14"/>
      <c r="F38" s="14"/>
      <c r="G38" s="14"/>
    </row>
    <row r="39">
      <c r="B39" s="14"/>
      <c r="C39" s="14"/>
      <c r="D39" s="14"/>
      <c r="E39" s="14"/>
      <c r="F39" s="14"/>
      <c r="G39" s="14"/>
      <c r="Y39" s="223" t="s">
        <v>108</v>
      </c>
    </row>
    <row r="40">
      <c r="B40" s="14"/>
      <c r="C40" s="14"/>
      <c r="D40" s="14"/>
      <c r="E40" s="14"/>
      <c r="F40" s="14"/>
      <c r="G40" s="14"/>
      <c r="Y40" s="223"/>
    </row>
    <row r="41">
      <c r="B41" s="14"/>
      <c r="C41" s="14"/>
      <c r="D41" s="14"/>
      <c r="E41" s="14"/>
      <c r="F41" s="14"/>
      <c r="G41" s="14"/>
      <c r="Q41" s="222"/>
    </row>
    <row r="42">
      <c r="B42" s="14"/>
      <c r="C42" s="14"/>
      <c r="D42" s="14"/>
      <c r="E42" s="14"/>
      <c r="F42" s="14"/>
      <c r="G42" s="14"/>
    </row>
    <row r="43">
      <c r="B43" s="14"/>
      <c r="C43" s="14"/>
      <c r="D43" s="14"/>
      <c r="E43" s="14"/>
      <c r="F43" s="14"/>
      <c r="G43" s="14"/>
    </row>
    <row r="44">
      <c r="B44" s="219" t="s">
        <v>109</v>
      </c>
      <c r="C44" s="14"/>
      <c r="D44" s="14"/>
      <c r="E44" s="14"/>
      <c r="F44" s="14"/>
      <c r="G44" s="14"/>
    </row>
    <row r="45">
      <c r="B45" s="14"/>
      <c r="C45" s="14"/>
      <c r="D45" s="14"/>
      <c r="E45" s="14"/>
      <c r="F45" s="14"/>
      <c r="G45" s="14"/>
    </row>
    <row r="46">
      <c r="F46" s="14"/>
      <c r="G46" s="14"/>
    </row>
    <row r="47">
      <c r="F47" s="14"/>
      <c r="G47" s="14"/>
    </row>
    <row r="48">
      <c r="F48" s="14"/>
      <c r="G48" s="14"/>
    </row>
    <row r="49">
      <c r="F49" s="14"/>
      <c r="G49" s="14"/>
    </row>
    <row r="50">
      <c r="F50" s="14"/>
      <c r="G50" s="14"/>
    </row>
    <row r="51">
      <c r="F51" s="14"/>
      <c r="G51" s="14"/>
    </row>
    <row r="52">
      <c r="F52" s="14"/>
      <c r="G52" s="14"/>
    </row>
    <row r="53">
      <c r="F53" s="14"/>
      <c r="G53" s="14"/>
    </row>
    <row r="54">
      <c r="F54" s="14"/>
      <c r="G54" s="14"/>
    </row>
    <row r="55">
      <c r="F55" s="14"/>
      <c r="G55" s="14"/>
    </row>
    <row r="56">
      <c r="F56" s="14"/>
      <c r="G56" s="14"/>
    </row>
    <row r="57">
      <c r="F57" s="14"/>
      <c r="G57" s="14"/>
    </row>
    <row r="58">
      <c r="F58" s="14"/>
      <c r="G58" s="14"/>
    </row>
    <row r="59">
      <c r="F59" s="14"/>
      <c r="G59" s="14"/>
    </row>
    <row r="60">
      <c r="F60" s="14"/>
      <c r="G60" s="14"/>
    </row>
    <row r="61">
      <c r="A61" s="102"/>
      <c r="B61" s="102"/>
      <c r="C61" s="102"/>
      <c r="D61" s="102"/>
      <c r="E61" s="14"/>
      <c r="F61" s="14"/>
      <c r="G61" s="14"/>
    </row>
    <row r="62">
      <c r="A62" s="102"/>
      <c r="B62" s="102"/>
      <c r="C62" s="102"/>
      <c r="D62" s="102"/>
      <c r="E62" s="14"/>
      <c r="F62" s="14"/>
      <c r="G62" s="14"/>
    </row>
    <row r="63">
      <c r="A63" s="102"/>
      <c r="B63" s="102"/>
      <c r="C63" s="102"/>
      <c r="D63" s="102"/>
      <c r="E63" s="14"/>
      <c r="F63" s="14"/>
      <c r="G63" s="14"/>
    </row>
    <row r="64">
      <c r="A64" s="102"/>
      <c r="B64" s="102"/>
      <c r="C64" s="102"/>
      <c r="D64" s="102"/>
      <c r="E64" s="14"/>
      <c r="F64" s="14"/>
      <c r="G64" s="14"/>
    </row>
    <row r="65">
      <c r="A65" s="102"/>
      <c r="B65" s="102"/>
      <c r="C65" s="102"/>
      <c r="D65" s="102"/>
      <c r="E65" s="14"/>
      <c r="F65" s="14"/>
      <c r="G65" s="14"/>
    </row>
    <row r="66">
      <c r="A66" s="102"/>
      <c r="B66" s="102"/>
      <c r="C66" s="102"/>
      <c r="D66" s="102"/>
      <c r="E66" s="14"/>
      <c r="F66" s="14"/>
      <c r="G66" s="14"/>
    </row>
    <row r="67">
      <c r="A67" s="102"/>
      <c r="B67" s="102"/>
      <c r="C67" s="102"/>
      <c r="D67" s="102"/>
      <c r="E67" s="14"/>
      <c r="F67" s="14"/>
      <c r="G67" s="14"/>
    </row>
    <row r="68">
      <c r="A68" s="102"/>
      <c r="B68" s="102"/>
      <c r="C68" s="102"/>
      <c r="D68" s="102"/>
      <c r="E68" s="14"/>
      <c r="F68" s="14"/>
      <c r="G68" s="14"/>
    </row>
    <row r="69">
      <c r="B69" s="14"/>
      <c r="C69" s="14"/>
      <c r="D69" s="14"/>
      <c r="E69" s="14"/>
    </row>
    <row r="70">
      <c r="B70" s="14"/>
      <c r="C70" s="14"/>
      <c r="D70" s="14"/>
      <c r="E70" s="14"/>
    </row>
    <row r="71" ht="30.75" customHeight="1">
      <c r="B71" s="14"/>
      <c r="C71" s="14"/>
      <c r="D71" s="14"/>
      <c r="E71" s="14"/>
    </row>
    <row r="72">
      <c r="B72" s="14"/>
      <c r="C72" s="14"/>
      <c r="D72" s="14"/>
      <c r="E72" s="14"/>
    </row>
    <row r="73">
      <c r="B73" s="14"/>
      <c r="C73" s="14"/>
      <c r="D73" s="14"/>
      <c r="E73" s="14"/>
    </row>
    <row r="74">
      <c r="B74" s="14"/>
      <c r="C74" s="14"/>
      <c r="D74" s="14"/>
      <c r="E74" s="14"/>
    </row>
    <row r="75">
      <c r="B75" s="14"/>
      <c r="C75" s="14"/>
      <c r="D75" s="14"/>
      <c r="E75" s="14"/>
    </row>
    <row r="76">
      <c r="B76" s="14"/>
      <c r="C76" s="14"/>
      <c r="D76" s="14"/>
      <c r="E76" s="14"/>
    </row>
    <row r="77">
      <c r="B77" s="14"/>
      <c r="C77" s="14"/>
      <c r="D77" s="14"/>
      <c r="E77" s="14"/>
    </row>
    <row r="78">
      <c r="B78" s="14"/>
      <c r="C78" s="14"/>
      <c r="D78" s="14"/>
      <c r="E78" s="14"/>
    </row>
    <row r="79">
      <c r="B79" s="14"/>
      <c r="C79" s="14"/>
      <c r="D79" s="14"/>
      <c r="E79" s="14"/>
    </row>
    <row r="80">
      <c r="A80" s="102"/>
      <c r="B80" s="102"/>
      <c r="C80" s="102"/>
      <c r="D80" s="102"/>
      <c r="E80" s="14"/>
      <c r="F80" s="14"/>
      <c r="G80" s="14"/>
    </row>
    <row r="81">
      <c r="A81" s="102"/>
      <c r="B81" s="102"/>
      <c r="C81" s="102"/>
      <c r="D81" s="102"/>
      <c r="E81" s="14"/>
      <c r="F81" s="14"/>
      <c r="G81" s="14"/>
    </row>
    <row r="82">
      <c r="A82" s="102"/>
      <c r="B82" s="102"/>
      <c r="C82" s="102"/>
      <c r="D82" s="102"/>
      <c r="E82" s="14"/>
      <c r="F82" s="14"/>
      <c r="G82" s="14"/>
    </row>
    <row r="83">
      <c r="A83" s="102"/>
      <c r="B83" s="102"/>
      <c r="C83" s="102"/>
      <c r="D83" s="102"/>
      <c r="E83" s="14"/>
      <c r="F83" s="14"/>
      <c r="G83" s="14"/>
    </row>
    <row r="84">
      <c r="A84" s="102"/>
      <c r="B84" s="102"/>
      <c r="C84" s="102"/>
      <c r="D84" s="102"/>
      <c r="E84" s="14"/>
      <c r="F84" s="14"/>
      <c r="G84" s="14"/>
    </row>
    <row r="85">
      <c r="A85" s="102"/>
      <c r="B85" s="102"/>
      <c r="C85" s="102"/>
      <c r="D85" s="102"/>
      <c r="E85" s="14"/>
      <c r="F85" s="14"/>
      <c r="G85" s="14"/>
    </row>
    <row r="86">
      <c r="A86" s="102"/>
      <c r="B86" s="102"/>
      <c r="C86" s="102"/>
      <c r="D86" s="102"/>
      <c r="E86" s="14"/>
      <c r="F86" s="14"/>
      <c r="G86" s="14"/>
    </row>
    <row r="87">
      <c r="A87" s="102"/>
      <c r="B87" s="102"/>
      <c r="C87" s="102"/>
      <c r="D87" s="102"/>
      <c r="E87" s="14"/>
      <c r="F87" s="14"/>
      <c r="G87" s="14"/>
    </row>
    <row r="88">
      <c r="A88" s="102"/>
      <c r="B88" s="102"/>
      <c r="C88" s="102"/>
      <c r="D88" s="102"/>
      <c r="E88" s="14"/>
      <c r="F88" s="14"/>
      <c r="G88" s="14"/>
    </row>
    <row r="89">
      <c r="A89" s="102"/>
      <c r="B89" s="102"/>
      <c r="C89" s="102"/>
      <c r="D89" s="102"/>
      <c r="E89" s="14"/>
      <c r="F89" s="14"/>
      <c r="G89" s="14"/>
    </row>
    <row r="90">
      <c r="A90" s="102"/>
      <c r="B90" s="102"/>
      <c r="C90" s="102"/>
      <c r="D90" s="102"/>
      <c r="E90" s="14"/>
      <c r="F90" s="14"/>
      <c r="G90" s="14"/>
    </row>
    <row r="91">
      <c r="A91" s="102"/>
      <c r="B91" s="102"/>
      <c r="C91" s="102"/>
      <c r="D91" s="102"/>
      <c r="E91" s="14"/>
      <c r="F91" s="14"/>
      <c r="G91" s="14"/>
    </row>
    <row r="92">
      <c r="A92" s="102"/>
      <c r="B92" s="102"/>
      <c r="C92" s="102"/>
      <c r="D92" s="102"/>
      <c r="E92" s="14"/>
      <c r="F92" s="14"/>
      <c r="G92" s="14"/>
    </row>
    <row r="93">
      <c r="A93" s="102"/>
      <c r="B93" s="102"/>
      <c r="C93" s="102"/>
      <c r="D93" s="102"/>
      <c r="E93" s="14"/>
      <c r="F93" s="14"/>
      <c r="G93" s="14"/>
    </row>
    <row r="94">
      <c r="A94" s="102"/>
      <c r="B94" s="102"/>
      <c r="C94" s="102"/>
      <c r="D94" s="102"/>
      <c r="E94" s="14"/>
      <c r="F94" s="14"/>
      <c r="G94" s="14"/>
    </row>
    <row r="95">
      <c r="A95" s="102"/>
      <c r="B95" s="102"/>
      <c r="C95" s="102"/>
      <c r="D95" s="102"/>
      <c r="E95" s="14"/>
      <c r="F95" s="14"/>
      <c r="G95" s="14"/>
    </row>
    <row r="96">
      <c r="A96" s="102"/>
      <c r="B96" s="102"/>
      <c r="C96" s="102"/>
      <c r="D96" s="102"/>
      <c r="E96" s="14"/>
      <c r="F96" s="14"/>
      <c r="G96" s="14"/>
    </row>
    <row r="97">
      <c r="A97" s="102"/>
      <c r="B97" s="102"/>
      <c r="C97" s="102"/>
      <c r="D97" s="102"/>
      <c r="E97" s="14"/>
      <c r="F97" s="14"/>
      <c r="G97" s="14"/>
    </row>
    <row r="98">
      <c r="A98" s="102"/>
      <c r="B98" s="102"/>
      <c r="C98" s="102"/>
      <c r="D98" s="102"/>
      <c r="E98" s="14"/>
      <c r="F98" s="14"/>
      <c r="G98" s="14"/>
    </row>
    <row r="99">
      <c r="A99" s="102"/>
      <c r="B99" s="102"/>
      <c r="C99" s="102"/>
      <c r="D99" s="102"/>
      <c r="E99" s="14"/>
      <c r="F99" s="14"/>
      <c r="G99" s="14"/>
    </row>
    <row r="100">
      <c r="A100" s="102"/>
      <c r="B100" s="102"/>
      <c r="C100" s="102"/>
      <c r="D100" s="102"/>
      <c r="E100" s="14"/>
      <c r="F100" s="14"/>
      <c r="G100" s="14"/>
    </row>
    <row r="101">
      <c r="A101" s="102"/>
      <c r="B101" s="102"/>
      <c r="C101" s="102"/>
      <c r="D101" s="102"/>
      <c r="E101" s="14"/>
      <c r="F101" s="14"/>
      <c r="G101" s="14"/>
    </row>
    <row r="102">
      <c r="A102" s="102"/>
      <c r="B102" s="102"/>
      <c r="C102" s="102"/>
      <c r="D102" s="102"/>
      <c r="E102" s="14"/>
      <c r="F102" s="14"/>
      <c r="G102" s="14"/>
    </row>
    <row r="103">
      <c r="A103" s="102"/>
      <c r="B103" s="102"/>
      <c r="C103" s="102"/>
      <c r="D103" s="102"/>
      <c r="E103" s="14"/>
      <c r="F103" s="14"/>
      <c r="G103" s="14"/>
    </row>
    <row r="104">
      <c r="A104" s="102"/>
      <c r="B104" s="102"/>
      <c r="C104" s="102"/>
      <c r="D104" s="102"/>
      <c r="E104" s="14"/>
      <c r="F104" s="14"/>
      <c r="G104" s="14"/>
    </row>
    <row r="105">
      <c r="A105" s="102"/>
      <c r="B105" s="102"/>
      <c r="C105" s="102"/>
      <c r="D105" s="102"/>
      <c r="E105" s="14"/>
      <c r="F105" s="14"/>
      <c r="G105" s="14"/>
    </row>
    <row r="106">
      <c r="A106" s="102"/>
      <c r="B106" s="102"/>
      <c r="C106" s="102"/>
      <c r="D106" s="102"/>
      <c r="E106" s="14"/>
      <c r="F106" s="14"/>
      <c r="G106" s="14"/>
    </row>
    <row r="107">
      <c r="A107" s="102"/>
      <c r="B107" s="102"/>
      <c r="C107" s="102"/>
      <c r="D107" s="102"/>
      <c r="E107" s="14"/>
      <c r="F107" s="14"/>
      <c r="G107" s="14"/>
    </row>
    <row r="108">
      <c r="A108" s="102"/>
      <c r="B108" s="102"/>
      <c r="C108" s="102"/>
      <c r="D108" s="102"/>
      <c r="E108" s="14"/>
      <c r="F108" s="14"/>
      <c r="G108" s="14"/>
    </row>
    <row r="109">
      <c r="A109" s="102"/>
      <c r="B109" s="102"/>
      <c r="C109" s="102"/>
      <c r="D109" s="102"/>
      <c r="E109" s="14"/>
      <c r="F109" s="14"/>
      <c r="G109" s="14"/>
    </row>
    <row r="110">
      <c r="A110" s="102"/>
      <c r="B110" s="102"/>
      <c r="C110" s="102"/>
      <c r="D110" s="102"/>
      <c r="E110" s="14"/>
      <c r="F110" s="14"/>
      <c r="G110" s="14"/>
    </row>
    <row r="111">
      <c r="A111" s="102"/>
      <c r="B111" s="102"/>
      <c r="C111" s="102"/>
      <c r="D111" s="102"/>
      <c r="E111" s="14"/>
      <c r="F111" s="14"/>
      <c r="G111" s="14"/>
    </row>
    <row r="112">
      <c r="A112" s="102"/>
      <c r="B112" s="102"/>
      <c r="C112" s="102"/>
      <c r="D112" s="102"/>
      <c r="E112" s="14"/>
      <c r="F112" s="14"/>
      <c r="G112" s="14"/>
    </row>
    <row r="113">
      <c r="A113" s="102"/>
      <c r="B113" s="102"/>
      <c r="C113" s="102"/>
      <c r="D113" s="102"/>
      <c r="E113" s="14"/>
      <c r="F113" s="14"/>
      <c r="G113" s="14"/>
    </row>
    <row r="114">
      <c r="A114" s="102"/>
      <c r="B114" s="102"/>
      <c r="C114" s="102"/>
      <c r="D114" s="102"/>
      <c r="E114" s="14"/>
      <c r="F114" s="14"/>
      <c r="G114" s="14"/>
    </row>
    <row r="115">
      <c r="A115" s="102"/>
      <c r="B115" s="102"/>
      <c r="C115" s="102"/>
      <c r="D115" s="102"/>
      <c r="E115" s="14"/>
      <c r="F115" s="14"/>
      <c r="G115" s="14"/>
    </row>
    <row r="116">
      <c r="A116" s="102"/>
      <c r="B116" s="102"/>
      <c r="C116" s="102"/>
      <c r="D116" s="102"/>
      <c r="E116" s="14"/>
      <c r="F116" s="14"/>
      <c r="G116" s="14"/>
    </row>
    <row r="117">
      <c r="A117" s="102"/>
      <c r="B117" s="102"/>
      <c r="C117" s="102"/>
      <c r="D117" s="102"/>
      <c r="E117" s="14"/>
      <c r="F117" s="14"/>
      <c r="G117" s="14"/>
    </row>
    <row r="118">
      <c r="A118" s="102"/>
      <c r="B118" s="102"/>
      <c r="C118" s="102"/>
      <c r="D118" s="102"/>
      <c r="E118" s="14"/>
      <c r="F118" s="14"/>
      <c r="G118" s="14"/>
    </row>
    <row r="119">
      <c r="A119" s="102"/>
      <c r="B119" s="102"/>
      <c r="C119" s="102"/>
      <c r="D119" s="102"/>
      <c r="E119" s="14"/>
      <c r="F119" s="14"/>
      <c r="G119" s="14"/>
    </row>
    <row r="120">
      <c r="A120" s="102"/>
      <c r="B120" s="102"/>
      <c r="C120" s="102"/>
      <c r="D120" s="102"/>
      <c r="E120" s="14"/>
      <c r="F120" s="14"/>
      <c r="G120" s="14"/>
    </row>
    <row r="121">
      <c r="A121" s="102"/>
      <c r="B121" s="102"/>
      <c r="C121" s="102"/>
      <c r="D121" s="102"/>
      <c r="E121" s="14"/>
      <c r="F121" s="14"/>
      <c r="G121" s="14"/>
    </row>
    <row r="122">
      <c r="A122" s="102"/>
      <c r="B122" s="102"/>
      <c r="C122" s="102"/>
      <c r="D122" s="102"/>
      <c r="E122" s="14"/>
      <c r="F122" s="14"/>
      <c r="G122" s="14"/>
    </row>
    <row r="123">
      <c r="A123" s="102"/>
      <c r="B123" s="102"/>
      <c r="C123" s="102"/>
      <c r="D123" s="102"/>
      <c r="E123" s="14"/>
      <c r="F123" s="14"/>
      <c r="G123" s="14"/>
    </row>
    <row r="124">
      <c r="A124" s="102"/>
      <c r="B124" s="102"/>
      <c r="C124" s="102"/>
      <c r="D124" s="102"/>
      <c r="E124" s="14"/>
      <c r="F124" s="14"/>
      <c r="G124" s="14"/>
    </row>
    <row r="125">
      <c r="A125" s="102"/>
      <c r="B125" s="102"/>
      <c r="C125" s="102"/>
      <c r="D125" s="102"/>
      <c r="E125" s="14"/>
      <c r="F125" s="14"/>
      <c r="G125" s="14"/>
    </row>
    <row r="126">
      <c r="A126" s="102"/>
      <c r="B126" s="102"/>
      <c r="C126" s="102"/>
      <c r="D126" s="102"/>
      <c r="E126" s="14"/>
      <c r="F126" s="14"/>
      <c r="G126" s="14"/>
    </row>
    <row r="127">
      <c r="A127" s="102"/>
      <c r="B127" s="102"/>
      <c r="C127" s="102"/>
      <c r="D127" s="102"/>
      <c r="E127" s="14"/>
      <c r="F127" s="14"/>
      <c r="G127" s="14"/>
    </row>
    <row r="128">
      <c r="A128" s="102"/>
      <c r="B128" s="102"/>
      <c r="C128" s="102"/>
      <c r="D128" s="102"/>
      <c r="E128" s="14"/>
      <c r="F128" s="14"/>
      <c r="G128" s="14"/>
    </row>
    <row r="129">
      <c r="A129" s="102"/>
      <c r="B129" s="102"/>
      <c r="C129" s="102"/>
      <c r="D129" s="102"/>
      <c r="E129" s="14"/>
      <c r="F129" s="14"/>
      <c r="G129" s="14"/>
    </row>
    <row r="130">
      <c r="A130" s="102"/>
      <c r="B130" s="102"/>
      <c r="C130" s="102"/>
      <c r="D130" s="102"/>
      <c r="E130" s="14"/>
      <c r="F130" s="14"/>
      <c r="G130" s="14"/>
    </row>
    <row r="131">
      <c r="A131" s="102"/>
      <c r="B131" s="102"/>
      <c r="C131" s="102"/>
      <c r="D131" s="102"/>
      <c r="E131" s="14"/>
      <c r="F131" s="14"/>
      <c r="G131" s="14"/>
    </row>
    <row r="132">
      <c r="A132" s="102"/>
      <c r="B132" s="102"/>
      <c r="C132" s="102"/>
      <c r="D132" s="102"/>
      <c r="E132" s="14"/>
      <c r="F132" s="14"/>
      <c r="G132" s="14"/>
    </row>
    <row r="133">
      <c r="A133" s="102"/>
      <c r="B133" s="102"/>
      <c r="C133" s="102"/>
      <c r="D133" s="102"/>
      <c r="E133" s="14"/>
      <c r="F133" s="14"/>
      <c r="G133" s="14"/>
    </row>
    <row r="134">
      <c r="A134" s="102"/>
      <c r="B134" s="102"/>
      <c r="C134" s="102"/>
      <c r="D134" s="102"/>
      <c r="E134" s="14"/>
      <c r="F134" s="14"/>
      <c r="G134" s="14"/>
    </row>
    <row r="135">
      <c r="A135" s="102"/>
      <c r="B135" s="102"/>
      <c r="C135" s="102"/>
      <c r="D135" s="102"/>
      <c r="E135" s="14"/>
      <c r="F135" s="14"/>
      <c r="G135" s="14"/>
    </row>
    <row r="136">
      <c r="A136" s="102"/>
      <c r="B136" s="102"/>
      <c r="C136" s="102"/>
      <c r="D136" s="102"/>
      <c r="E136" s="14"/>
      <c r="F136" s="14"/>
      <c r="G136" s="14"/>
    </row>
    <row r="137">
      <c r="A137" s="102"/>
      <c r="B137" s="102"/>
      <c r="C137" s="102"/>
      <c r="D137" s="102"/>
      <c r="E137" s="14"/>
      <c r="F137" s="14"/>
      <c r="G137" s="14"/>
    </row>
    <row r="138">
      <c r="A138" s="102"/>
      <c r="B138" s="102"/>
      <c r="C138" s="102"/>
      <c r="D138" s="102"/>
      <c r="E138" s="14"/>
      <c r="F138" s="14"/>
      <c r="G138" s="14"/>
    </row>
    <row r="139">
      <c r="A139" s="102"/>
      <c r="B139" s="102"/>
      <c r="C139" s="102"/>
      <c r="D139" s="102"/>
      <c r="E139" s="14"/>
      <c r="F139" s="14"/>
      <c r="G139" s="14"/>
    </row>
    <row r="140">
      <c r="A140" s="102"/>
      <c r="B140" s="102"/>
      <c r="C140" s="102"/>
      <c r="D140" s="102"/>
      <c r="E140" s="14"/>
      <c r="F140" s="14"/>
      <c r="G140" s="14"/>
    </row>
    <row r="141">
      <c r="A141" s="102"/>
      <c r="B141" s="102"/>
      <c r="C141" s="102"/>
      <c r="D141" s="102"/>
      <c r="E141" s="14"/>
      <c r="F141" s="14"/>
      <c r="G141" s="14"/>
    </row>
    <row r="142">
      <c r="A142" s="102"/>
      <c r="B142" s="102"/>
      <c r="C142" s="102"/>
      <c r="D142" s="102"/>
      <c r="E142" s="14"/>
      <c r="F142" s="14"/>
      <c r="G142" s="14"/>
    </row>
    <row r="143">
      <c r="A143" s="102"/>
      <c r="B143" s="102"/>
      <c r="C143" s="102"/>
      <c r="D143" s="102"/>
      <c r="E143" s="14"/>
      <c r="F143" s="14"/>
      <c r="G143" s="14"/>
    </row>
    <row r="144">
      <c r="A144" s="102"/>
      <c r="B144" s="102"/>
      <c r="C144" s="102"/>
      <c r="D144" s="102"/>
      <c r="E144" s="14"/>
      <c r="F144" s="14"/>
      <c r="G144" s="14"/>
    </row>
    <row r="145">
      <c r="A145" s="102"/>
      <c r="B145" s="102"/>
      <c r="C145" s="102"/>
      <c r="D145" s="102"/>
      <c r="E145" s="14"/>
      <c r="F145" s="14"/>
      <c r="G145" s="14"/>
    </row>
    <row r="146">
      <c r="A146" s="102"/>
      <c r="B146" s="102"/>
      <c r="C146" s="102"/>
      <c r="D146" s="102"/>
      <c r="E146" s="14"/>
      <c r="F146" s="14"/>
      <c r="G146" s="14"/>
    </row>
    <row r="147">
      <c r="A147" s="102"/>
      <c r="B147" s="102"/>
      <c r="C147" s="102"/>
      <c r="D147" s="102"/>
      <c r="E147" s="14"/>
      <c r="F147" s="14"/>
      <c r="G147" s="14"/>
    </row>
    <row r="148">
      <c r="A148" s="102"/>
      <c r="B148" s="102"/>
      <c r="C148" s="102"/>
      <c r="D148" s="102"/>
      <c r="E148" s="14"/>
      <c r="F148" s="14"/>
      <c r="G148" s="14"/>
    </row>
    <row r="149">
      <c r="A149" s="102"/>
      <c r="B149" s="102"/>
      <c r="C149" s="102"/>
      <c r="D149" s="102"/>
      <c r="E149" s="14"/>
      <c r="F149" s="14"/>
      <c r="G149" s="14"/>
    </row>
    <row r="150">
      <c r="A150" s="102"/>
      <c r="B150" s="102"/>
      <c r="C150" s="102"/>
      <c r="D150" s="102"/>
      <c r="E150" s="14"/>
      <c r="F150" s="14"/>
      <c r="G150" s="14"/>
    </row>
    <row r="151">
      <c r="A151" s="102"/>
      <c r="B151" s="102"/>
      <c r="C151" s="102"/>
      <c r="D151" s="102"/>
      <c r="E151" s="14"/>
      <c r="F151" s="14"/>
      <c r="G151" s="14"/>
    </row>
    <row r="152">
      <c r="A152" s="102"/>
      <c r="B152" s="102"/>
      <c r="C152" s="102"/>
      <c r="D152" s="102"/>
      <c r="E152" s="14"/>
      <c r="F152" s="14"/>
      <c r="G152" s="14"/>
    </row>
    <row r="153">
      <c r="A153" s="102"/>
      <c r="B153" s="102"/>
      <c r="C153" s="102"/>
      <c r="D153" s="102"/>
      <c r="E153" s="14"/>
      <c r="F153" s="14"/>
      <c r="G153" s="14"/>
    </row>
    <row r="154">
      <c r="A154" s="102"/>
      <c r="B154" s="102"/>
      <c r="C154" s="102"/>
      <c r="D154" s="102"/>
      <c r="E154" s="14"/>
      <c r="F154" s="14"/>
      <c r="G154" s="14"/>
    </row>
    <row r="155">
      <c r="A155" s="102"/>
      <c r="B155" s="102"/>
      <c r="C155" s="102"/>
      <c r="D155" s="102"/>
      <c r="E155" s="14"/>
      <c r="F155" s="14"/>
      <c r="G155" s="14"/>
    </row>
    <row r="156">
      <c r="A156" s="102"/>
      <c r="B156" s="102"/>
      <c r="C156" s="102"/>
      <c r="D156" s="102"/>
      <c r="E156" s="14"/>
      <c r="F156" s="14"/>
      <c r="G156" s="14"/>
    </row>
    <row r="157">
      <c r="A157" s="102"/>
      <c r="B157" s="102"/>
      <c r="C157" s="102"/>
      <c r="D157" s="102"/>
      <c r="E157" s="14"/>
      <c r="F157" s="14"/>
      <c r="G157" s="14"/>
    </row>
    <row r="158">
      <c r="A158" s="102"/>
      <c r="B158" s="102"/>
      <c r="C158" s="102"/>
      <c r="D158" s="102"/>
      <c r="E158" s="14"/>
      <c r="F158" s="14"/>
      <c r="G158" s="14"/>
    </row>
    <row r="159">
      <c r="A159" s="102"/>
      <c r="B159" s="102"/>
      <c r="C159" s="102"/>
      <c r="D159" s="102"/>
      <c r="E159" s="14"/>
      <c r="F159" s="14"/>
      <c r="G159" s="14"/>
    </row>
    <row r="160">
      <c r="A160" s="102"/>
      <c r="B160" s="102"/>
      <c r="C160" s="102"/>
      <c r="D160" s="102"/>
      <c r="E160" s="14"/>
      <c r="F160" s="14"/>
      <c r="G160" s="14"/>
    </row>
    <row r="161">
      <c r="A161" s="102"/>
      <c r="B161" s="102"/>
      <c r="C161" s="102"/>
      <c r="D161" s="102"/>
      <c r="E161" s="14"/>
      <c r="F161" s="14"/>
      <c r="G161" s="14"/>
    </row>
    <row r="162">
      <c r="A162" s="102"/>
      <c r="B162" s="102"/>
      <c r="C162" s="102"/>
      <c r="D162" s="102"/>
      <c r="E162" s="14"/>
      <c r="F162" s="14"/>
      <c r="G162" s="14"/>
    </row>
    <row r="163">
      <c r="A163" s="102"/>
      <c r="B163" s="102"/>
      <c r="C163" s="102"/>
      <c r="D163" s="102"/>
      <c r="E163" s="14"/>
      <c r="F163" s="14"/>
      <c r="G163" s="14"/>
    </row>
    <row r="164">
      <c r="A164" s="102"/>
      <c r="B164" s="102"/>
      <c r="C164" s="102"/>
      <c r="D164" s="102"/>
      <c r="E164" s="14"/>
      <c r="F164" s="14"/>
      <c r="G164" s="14"/>
    </row>
    <row r="165">
      <c r="A165" s="102"/>
      <c r="B165" s="102"/>
      <c r="C165" s="102"/>
      <c r="D165" s="102"/>
      <c r="E165" s="14"/>
      <c r="F165" s="14"/>
      <c r="G165" s="14"/>
    </row>
    <row r="166">
      <c r="A166" s="102"/>
      <c r="B166" s="102"/>
      <c r="C166" s="102"/>
      <c r="D166" s="102"/>
      <c r="E166" s="14"/>
      <c r="F166" s="14"/>
      <c r="G166" s="14"/>
    </row>
    <row r="167">
      <c r="A167" s="102"/>
      <c r="B167" s="102"/>
      <c r="C167" s="102"/>
      <c r="D167" s="102"/>
      <c r="E167" s="14"/>
      <c r="F167" s="14"/>
      <c r="G167" s="14"/>
    </row>
    <row r="168">
      <c r="A168" s="102"/>
      <c r="B168" s="102"/>
      <c r="C168" s="102"/>
      <c r="D168" s="102"/>
      <c r="E168" s="14"/>
      <c r="F168" s="14"/>
      <c r="G168" s="14"/>
    </row>
    <row r="169">
      <c r="A169" s="102"/>
      <c r="B169" s="102"/>
      <c r="C169" s="102"/>
      <c r="D169" s="102"/>
      <c r="E169" s="14"/>
      <c r="F169" s="14"/>
      <c r="G169" s="14"/>
    </row>
    <row r="170">
      <c r="A170" s="102"/>
      <c r="B170" s="102"/>
      <c r="C170" s="102"/>
      <c r="D170" s="102"/>
      <c r="E170" s="14"/>
      <c r="F170" s="14"/>
      <c r="G170" s="14"/>
    </row>
    <row r="171">
      <c r="A171" s="102"/>
      <c r="B171" s="102"/>
      <c r="C171" s="102"/>
      <c r="D171" s="102"/>
      <c r="E171" s="14"/>
      <c r="F171" s="14"/>
      <c r="G171" s="14"/>
    </row>
    <row r="172">
      <c r="A172" s="102"/>
      <c r="B172" s="102"/>
      <c r="C172" s="102"/>
      <c r="D172" s="102"/>
      <c r="E172" s="14"/>
      <c r="F172" s="14"/>
      <c r="G172" s="14"/>
    </row>
    <row r="173">
      <c r="A173" s="102"/>
      <c r="B173" s="102"/>
      <c r="C173" s="102"/>
      <c r="D173" s="102"/>
      <c r="E173" s="14"/>
      <c r="F173" s="14"/>
      <c r="G173" s="14"/>
    </row>
    <row r="174">
      <c r="A174" s="102"/>
      <c r="B174" s="102"/>
      <c r="C174" s="102"/>
      <c r="D174" s="102"/>
      <c r="E174" s="14"/>
      <c r="F174" s="14"/>
      <c r="G174" s="14"/>
    </row>
    <row r="175">
      <c r="A175" s="102"/>
      <c r="B175" s="102"/>
      <c r="C175" s="102"/>
      <c r="D175" s="102"/>
      <c r="E175" s="14"/>
      <c r="F175" s="14"/>
      <c r="G175" s="14"/>
    </row>
    <row r="176">
      <c r="A176" s="102"/>
      <c r="B176" s="102"/>
      <c r="C176" s="102"/>
      <c r="D176" s="102"/>
      <c r="E176" s="14"/>
      <c r="F176" s="14"/>
      <c r="G176" s="14"/>
    </row>
    <row r="177">
      <c r="A177" s="102"/>
      <c r="B177" s="102"/>
      <c r="C177" s="102"/>
      <c r="D177" s="102"/>
      <c r="E177" s="14"/>
      <c r="F177" s="14"/>
      <c r="G177" s="14"/>
    </row>
    <row r="178">
      <c r="A178" s="102"/>
      <c r="B178" s="102"/>
      <c r="C178" s="102"/>
      <c r="D178" s="102"/>
      <c r="E178" s="14"/>
      <c r="F178" s="14"/>
      <c r="G178" s="14"/>
    </row>
    <row r="179">
      <c r="A179" s="102"/>
      <c r="B179" s="102"/>
      <c r="C179" s="102"/>
      <c r="D179" s="102"/>
      <c r="E179" s="14"/>
      <c r="F179" s="14"/>
      <c r="G179" s="14"/>
    </row>
    <row r="180">
      <c r="A180" s="102"/>
      <c r="B180" s="102"/>
      <c r="C180" s="102"/>
      <c r="D180" s="102"/>
      <c r="E180" s="14"/>
      <c r="F180" s="14"/>
      <c r="G180" s="14"/>
    </row>
    <row r="181">
      <c r="A181" s="102"/>
      <c r="B181" s="102"/>
      <c r="C181" s="102"/>
      <c r="D181" s="102"/>
      <c r="E181" s="14"/>
      <c r="F181" s="14"/>
      <c r="G181" s="14"/>
    </row>
    <row r="182">
      <c r="A182" s="102"/>
      <c r="B182" s="102"/>
      <c r="C182" s="102"/>
      <c r="D182" s="102"/>
      <c r="E182" s="14"/>
      <c r="F182" s="14"/>
      <c r="G182" s="14"/>
    </row>
    <row r="183">
      <c r="A183" s="102"/>
      <c r="B183" s="102"/>
      <c r="C183" s="102"/>
      <c r="D183" s="102"/>
      <c r="E183" s="14"/>
      <c r="F183" s="14"/>
      <c r="G183" s="14"/>
    </row>
    <row r="184">
      <c r="A184" s="102"/>
      <c r="B184" s="102"/>
      <c r="C184" s="102"/>
      <c r="D184" s="102"/>
      <c r="E184" s="14"/>
      <c r="F184" s="14"/>
      <c r="G184" s="14"/>
    </row>
    <row r="185">
      <c r="A185" s="102"/>
      <c r="B185" s="102"/>
      <c r="C185" s="102"/>
      <c r="D185" s="102"/>
      <c r="E185" s="14"/>
      <c r="F185" s="14"/>
      <c r="G185" s="14"/>
    </row>
    <row r="186">
      <c r="A186" s="102"/>
      <c r="B186" s="102"/>
      <c r="C186" s="102"/>
      <c r="D186" s="102"/>
      <c r="E186" s="14"/>
      <c r="F186" s="14"/>
      <c r="G186" s="14"/>
    </row>
    <row r="187">
      <c r="A187" s="102"/>
      <c r="B187" s="102"/>
      <c r="C187" s="102"/>
      <c r="D187" s="102"/>
      <c r="E187" s="14"/>
      <c r="F187" s="14"/>
      <c r="G187" s="14"/>
    </row>
    <row r="188">
      <c r="A188" s="102"/>
      <c r="B188" s="102"/>
      <c r="C188" s="102"/>
      <c r="D188" s="102"/>
      <c r="E188" s="14"/>
      <c r="F188" s="14"/>
      <c r="G188" s="14"/>
    </row>
    <row r="189">
      <c r="A189" s="102"/>
      <c r="B189" s="102"/>
      <c r="C189" s="102"/>
      <c r="D189" s="102"/>
      <c r="E189" s="14"/>
      <c r="F189" s="14"/>
      <c r="G189" s="14"/>
    </row>
    <row r="190">
      <c r="A190" s="102"/>
      <c r="B190" s="102"/>
      <c r="C190" s="102"/>
      <c r="D190" s="102"/>
      <c r="E190" s="14"/>
      <c r="F190" s="14"/>
      <c r="G190" s="14"/>
    </row>
    <row r="191">
      <c r="A191" s="102"/>
      <c r="B191" s="102"/>
      <c r="C191" s="102"/>
      <c r="D191" s="102"/>
      <c r="E191" s="14"/>
      <c r="F191" s="14"/>
      <c r="G191" s="14"/>
    </row>
    <row r="192">
      <c r="A192" s="102"/>
      <c r="B192" s="102"/>
      <c r="C192" s="102"/>
      <c r="D192" s="102"/>
      <c r="E192" s="14"/>
      <c r="F192" s="14"/>
      <c r="G192" s="14"/>
    </row>
    <row r="193">
      <c r="A193" s="102"/>
      <c r="B193" s="102"/>
      <c r="C193" s="102"/>
      <c r="D193" s="102"/>
      <c r="E193" s="14"/>
      <c r="F193" s="14"/>
      <c r="G193" s="14"/>
    </row>
    <row r="194">
      <c r="A194" s="102"/>
      <c r="B194" s="102"/>
      <c r="C194" s="102"/>
      <c r="D194" s="102"/>
      <c r="E194" s="14"/>
      <c r="F194" s="14"/>
      <c r="G194" s="14"/>
    </row>
    <row r="195">
      <c r="A195" s="102"/>
      <c r="B195" s="102"/>
      <c r="C195" s="102"/>
      <c r="D195" s="102"/>
      <c r="E195" s="14"/>
      <c r="F195" s="14"/>
      <c r="G195" s="14"/>
    </row>
    <row r="196">
      <c r="A196" s="102"/>
      <c r="B196" s="102"/>
      <c r="C196" s="102"/>
      <c r="D196" s="102"/>
      <c r="E196" s="14"/>
      <c r="F196" s="14"/>
      <c r="G196" s="14"/>
    </row>
    <row r="197">
      <c r="A197" s="102"/>
      <c r="B197" s="102"/>
      <c r="C197" s="102"/>
      <c r="D197" s="102"/>
      <c r="E197" s="14"/>
      <c r="F197" s="14"/>
      <c r="G197" s="14"/>
    </row>
    <row r="198">
      <c r="A198" s="102"/>
      <c r="B198" s="102"/>
      <c r="C198" s="102"/>
      <c r="D198" s="102"/>
      <c r="E198" s="14"/>
      <c r="F198" s="14"/>
      <c r="G198" s="14"/>
    </row>
    <row r="199">
      <c r="A199" s="102"/>
      <c r="B199" s="102"/>
      <c r="C199" s="102"/>
      <c r="D199" s="102"/>
      <c r="E199" s="14"/>
      <c r="F199" s="14"/>
      <c r="G199" s="14"/>
    </row>
    <row r="200">
      <c r="A200" s="102"/>
      <c r="B200" s="102"/>
      <c r="C200" s="102"/>
      <c r="D200" s="102"/>
      <c r="E200" s="14"/>
      <c r="F200" s="14"/>
      <c r="G200" s="14"/>
    </row>
    <row r="201">
      <c r="A201" s="102"/>
      <c r="B201" s="102"/>
      <c r="C201" s="102"/>
      <c r="D201" s="102"/>
      <c r="E201" s="14"/>
      <c r="F201" s="14"/>
      <c r="G201" s="14"/>
    </row>
    <row r="202">
      <c r="A202" s="102"/>
      <c r="B202" s="102"/>
      <c r="C202" s="102"/>
      <c r="D202" s="102"/>
      <c r="E202" s="14"/>
      <c r="F202" s="14"/>
      <c r="G202" s="14"/>
    </row>
    <row r="203">
      <c r="A203" s="102"/>
      <c r="B203" s="102"/>
      <c r="C203" s="102"/>
      <c r="D203" s="102"/>
      <c r="E203" s="14"/>
      <c r="F203" s="14"/>
      <c r="G203" s="14"/>
    </row>
    <row r="204">
      <c r="A204" s="102"/>
      <c r="B204" s="102"/>
      <c r="C204" s="102"/>
      <c r="D204" s="102"/>
      <c r="E204" s="14"/>
      <c r="F204" s="14"/>
      <c r="G204" s="14"/>
    </row>
    <row r="205">
      <c r="A205" s="102"/>
      <c r="B205" s="102"/>
      <c r="C205" s="102"/>
      <c r="D205" s="102"/>
      <c r="E205" s="14"/>
      <c r="F205" s="14"/>
      <c r="G205" s="14"/>
    </row>
    <row r="206">
      <c r="A206" s="102"/>
      <c r="B206" s="102"/>
      <c r="C206" s="102"/>
      <c r="D206" s="102"/>
      <c r="E206" s="14"/>
      <c r="F206" s="14"/>
      <c r="G206" s="14"/>
    </row>
    <row r="207">
      <c r="A207" s="102"/>
      <c r="B207" s="102"/>
      <c r="C207" s="102"/>
      <c r="D207" s="102"/>
      <c r="E207" s="14"/>
      <c r="F207" s="14"/>
      <c r="G207" s="14"/>
    </row>
    <row r="208">
      <c r="A208" s="102"/>
      <c r="B208" s="102"/>
      <c r="C208" s="102"/>
      <c r="D208" s="102"/>
      <c r="E208" s="14"/>
      <c r="F208" s="14"/>
      <c r="G208" s="14"/>
    </row>
    <row r="209">
      <c r="A209" s="102"/>
      <c r="B209" s="102"/>
      <c r="C209" s="102"/>
      <c r="D209" s="102"/>
      <c r="E209" s="14"/>
      <c r="F209" s="14"/>
      <c r="G209" s="14"/>
    </row>
    <row r="210">
      <c r="B210" s="14"/>
      <c r="C210" s="14"/>
      <c r="D210" s="14"/>
      <c r="E210" s="14"/>
      <c r="F210" s="14"/>
      <c r="G210" s="14"/>
    </row>
    <row r="211">
      <c r="B211" s="14"/>
      <c r="C211" s="14"/>
      <c r="D211" s="14"/>
      <c r="E211" s="14"/>
      <c r="F211" s="14"/>
      <c r="G211" s="14"/>
    </row>
    <row r="212">
      <c r="B212" s="14"/>
      <c r="C212" s="14"/>
      <c r="D212" s="14"/>
      <c r="E212" s="14"/>
      <c r="F212" s="14"/>
      <c r="G212" s="14"/>
    </row>
    <row r="213">
      <c r="B213" s="14"/>
      <c r="C213" s="14"/>
      <c r="D213" s="14"/>
      <c r="E213" s="14"/>
      <c r="F213" s="14"/>
      <c r="G213" s="14"/>
    </row>
    <row r="214">
      <c r="B214" s="14"/>
      <c r="C214" s="14"/>
      <c r="D214" s="14"/>
      <c r="E214" s="14"/>
      <c r="F214" s="14"/>
      <c r="G214" s="14"/>
    </row>
    <row r="215">
      <c r="B215" s="14"/>
      <c r="C215" s="14"/>
      <c r="D215" s="14"/>
      <c r="E215" s="14"/>
      <c r="F215" s="14"/>
      <c r="G215" s="14"/>
    </row>
    <row r="216">
      <c r="B216" s="14"/>
      <c r="C216" s="14"/>
      <c r="D216" s="14"/>
      <c r="E216" s="14"/>
      <c r="F216" s="14"/>
      <c r="G216" s="14"/>
    </row>
    <row r="217">
      <c r="B217" s="14"/>
      <c r="C217" s="14"/>
      <c r="D217" s="14"/>
      <c r="E217" s="14"/>
      <c r="F217" s="14"/>
      <c r="G217" s="14"/>
    </row>
    <row r="218">
      <c r="B218" s="14"/>
      <c r="C218" s="14"/>
      <c r="D218" s="14"/>
      <c r="E218" s="14"/>
      <c r="F218" s="14"/>
      <c r="G218" s="14"/>
    </row>
    <row r="219">
      <c r="B219" s="14"/>
      <c r="C219" s="14"/>
      <c r="D219" s="14"/>
      <c r="E219" s="14"/>
      <c r="F219" s="14"/>
      <c r="G219" s="14"/>
    </row>
    <row r="220">
      <c r="B220" s="14"/>
      <c r="C220" s="14"/>
      <c r="D220" s="14"/>
      <c r="E220" s="14"/>
      <c r="F220" s="14"/>
      <c r="G220" s="14"/>
    </row>
    <row r="221">
      <c r="B221" s="14"/>
      <c r="C221" s="14"/>
      <c r="D221" s="14"/>
      <c r="E221" s="14"/>
      <c r="F221" s="14"/>
      <c r="G221" s="14"/>
    </row>
    <row r="222">
      <c r="B222" s="14"/>
      <c r="C222" s="14"/>
      <c r="D222" s="14"/>
      <c r="E222" s="14"/>
      <c r="F222" s="14"/>
      <c r="G222" s="14"/>
    </row>
    <row r="223">
      <c r="B223" s="14"/>
      <c r="C223" s="14"/>
      <c r="D223" s="14"/>
      <c r="E223" s="14"/>
      <c r="F223" s="14"/>
      <c r="G223" s="14"/>
    </row>
    <row r="224">
      <c r="B224" s="14"/>
      <c r="C224" s="14"/>
      <c r="D224" s="14"/>
      <c r="E224" s="14"/>
      <c r="F224" s="14"/>
      <c r="G224" s="14"/>
    </row>
    <row r="225">
      <c r="B225" s="14"/>
      <c r="C225" s="14"/>
      <c r="D225" s="14"/>
      <c r="E225" s="14"/>
      <c r="F225" s="14"/>
      <c r="G225" s="14"/>
    </row>
    <row r="226">
      <c r="B226" s="14"/>
      <c r="C226" s="14"/>
      <c r="D226" s="14"/>
      <c r="E226" s="14"/>
      <c r="F226" s="14"/>
      <c r="G226" s="14"/>
    </row>
    <row r="227">
      <c r="B227" s="14"/>
      <c r="C227" s="14"/>
      <c r="D227" s="14"/>
      <c r="E227" s="14"/>
      <c r="F227" s="14"/>
      <c r="G227" s="14"/>
    </row>
    <row r="228">
      <c r="B228" s="14"/>
      <c r="C228" s="14"/>
      <c r="D228" s="14"/>
      <c r="E228" s="14"/>
      <c r="F228" s="14"/>
      <c r="G228" s="14"/>
    </row>
    <row r="229">
      <c r="B229" s="14"/>
      <c r="C229" s="14"/>
      <c r="D229" s="14"/>
      <c r="E229" s="14"/>
      <c r="F229" s="14"/>
      <c r="G229" s="14"/>
    </row>
    <row r="230">
      <c r="B230" s="14"/>
      <c r="C230" s="14"/>
      <c r="D230" s="14"/>
      <c r="E230" s="14"/>
      <c r="F230" s="14"/>
      <c r="G230" s="14"/>
    </row>
    <row r="231">
      <c r="B231" s="14"/>
      <c r="C231" s="14"/>
      <c r="D231" s="14"/>
      <c r="E231" s="14"/>
      <c r="F231" s="14"/>
      <c r="G231" s="14"/>
    </row>
    <row r="232">
      <c r="B232" s="14"/>
      <c r="C232" s="14"/>
      <c r="D232" s="14"/>
      <c r="E232" s="14"/>
      <c r="F232" s="14"/>
      <c r="G232" s="14"/>
    </row>
    <row r="233">
      <c r="B233" s="14"/>
      <c r="C233" s="14"/>
      <c r="D233" s="14"/>
      <c r="E233" s="14"/>
      <c r="F233" s="14"/>
      <c r="G233" s="14"/>
    </row>
    <row r="234">
      <c r="B234" s="14"/>
      <c r="C234" s="14"/>
      <c r="D234" s="14"/>
      <c r="E234" s="14"/>
      <c r="F234" s="14"/>
      <c r="G234" s="14"/>
    </row>
    <row r="235">
      <c r="B235" s="14"/>
      <c r="C235" s="14"/>
      <c r="D235" s="14"/>
      <c r="E235" s="14"/>
      <c r="F235" s="14"/>
      <c r="G235" s="14"/>
    </row>
    <row r="236">
      <c r="B236" s="14"/>
      <c r="C236" s="14"/>
      <c r="D236" s="14"/>
      <c r="E236" s="14"/>
      <c r="F236" s="14"/>
      <c r="G236" s="14"/>
    </row>
    <row r="237">
      <c r="B237" s="14"/>
      <c r="C237" s="14"/>
      <c r="D237" s="14"/>
      <c r="E237" s="14"/>
      <c r="F237" s="14"/>
      <c r="G237" s="14"/>
    </row>
    <row r="238">
      <c r="B238" s="14"/>
      <c r="C238" s="14"/>
      <c r="D238" s="14"/>
      <c r="E238" s="14"/>
      <c r="F238" s="14"/>
      <c r="G238" s="14"/>
    </row>
    <row r="239">
      <c r="B239" s="14"/>
      <c r="C239" s="14"/>
      <c r="D239" s="14"/>
      <c r="E239" s="14"/>
      <c r="F239" s="14"/>
      <c r="G239" s="14"/>
    </row>
    <row r="240">
      <c r="B240" s="14"/>
      <c r="C240" s="14"/>
      <c r="D240" s="14"/>
      <c r="E240" s="14"/>
      <c r="F240" s="14"/>
      <c r="G240" s="14"/>
    </row>
    <row r="241">
      <c r="B241" s="14"/>
      <c r="C241" s="14"/>
      <c r="D241" s="14"/>
      <c r="E241" s="14"/>
      <c r="F241" s="14"/>
      <c r="G241" s="14"/>
    </row>
    <row r="242">
      <c r="B242" s="14"/>
      <c r="C242" s="14"/>
      <c r="D242" s="14"/>
      <c r="E242" s="14"/>
      <c r="F242" s="14"/>
      <c r="G242" s="14"/>
    </row>
    <row r="243">
      <c r="B243" s="14"/>
      <c r="C243" s="14"/>
      <c r="D243" s="14"/>
      <c r="E243" s="14"/>
      <c r="F243" s="14"/>
      <c r="G243" s="14"/>
    </row>
    <row r="244">
      <c r="B244" s="14"/>
      <c r="C244" s="14"/>
      <c r="D244" s="14"/>
      <c r="E244" s="14"/>
      <c r="F244" s="14"/>
      <c r="G244" s="14"/>
    </row>
    <row r="245">
      <c r="B245" s="14"/>
      <c r="C245" s="14"/>
      <c r="D245" s="14"/>
      <c r="E245" s="14"/>
      <c r="F245" s="14"/>
      <c r="G245" s="14"/>
    </row>
    <row r="246">
      <c r="B246" s="14"/>
      <c r="C246" s="14"/>
      <c r="D246" s="14"/>
      <c r="E246" s="14"/>
      <c r="F246" s="14"/>
      <c r="G246" s="14"/>
    </row>
    <row r="247">
      <c r="B247" s="14"/>
      <c r="C247" s="14"/>
      <c r="D247" s="14"/>
      <c r="E247" s="14"/>
      <c r="F247" s="14"/>
      <c r="G247" s="14"/>
    </row>
    <row r="248">
      <c r="B248" s="14"/>
      <c r="C248" s="14"/>
      <c r="D248" s="14"/>
      <c r="E248" s="14"/>
      <c r="F248" s="14"/>
      <c r="G248" s="14"/>
    </row>
    <row r="249">
      <c r="B249" s="14"/>
      <c r="C249" s="14"/>
      <c r="D249" s="14"/>
      <c r="E249" s="14"/>
      <c r="F249" s="14"/>
      <c r="G249" s="14"/>
    </row>
    <row r="250">
      <c r="B250" s="14"/>
      <c r="C250" s="14"/>
      <c r="D250" s="14"/>
      <c r="E250" s="14"/>
      <c r="F250" s="14"/>
      <c r="G250" s="14"/>
    </row>
    <row r="251">
      <c r="B251" s="14"/>
      <c r="C251" s="14"/>
      <c r="D251" s="14"/>
      <c r="E251" s="14"/>
      <c r="F251" s="14"/>
      <c r="G251" s="14"/>
    </row>
    <row r="252">
      <c r="B252" s="14"/>
      <c r="C252" s="14"/>
      <c r="D252" s="14"/>
      <c r="E252" s="14"/>
      <c r="F252" s="14"/>
      <c r="G252" s="14"/>
    </row>
    <row r="253">
      <c r="B253" s="14"/>
      <c r="C253" s="14"/>
      <c r="D253" s="14"/>
      <c r="E253" s="14"/>
      <c r="F253" s="14"/>
      <c r="G253" s="14"/>
    </row>
    <row r="254">
      <c r="B254" s="14"/>
      <c r="C254" s="14"/>
      <c r="D254" s="14"/>
      <c r="E254" s="14"/>
      <c r="F254" s="14"/>
      <c r="G254" s="14"/>
    </row>
    <row r="255">
      <c r="B255" s="14"/>
      <c r="C255" s="14"/>
      <c r="D255" s="14"/>
      <c r="E255" s="14"/>
      <c r="F255" s="14"/>
      <c r="G255" s="14"/>
    </row>
    <row r="256">
      <c r="B256" s="14"/>
      <c r="C256" s="14"/>
      <c r="D256" s="14"/>
      <c r="E256" s="14"/>
      <c r="F256" s="14"/>
      <c r="G256" s="14"/>
    </row>
    <row r="257">
      <c r="B257" s="14"/>
      <c r="C257" s="14"/>
      <c r="D257" s="14"/>
      <c r="E257" s="14"/>
      <c r="F257" s="14"/>
      <c r="G257" s="14"/>
    </row>
    <row r="258">
      <c r="B258" s="14"/>
      <c r="C258" s="14"/>
      <c r="D258" s="14"/>
      <c r="E258" s="14"/>
      <c r="F258" s="14"/>
      <c r="G258" s="14"/>
    </row>
    <row r="259">
      <c r="B259" s="14"/>
      <c r="C259" s="14"/>
      <c r="D259" s="14"/>
      <c r="E259" s="14"/>
      <c r="F259" s="14"/>
      <c r="G259" s="14"/>
    </row>
    <row r="260">
      <c r="B260" s="14"/>
      <c r="C260" s="14"/>
      <c r="D260" s="14"/>
      <c r="E260" s="14"/>
      <c r="F260" s="14"/>
      <c r="G260" s="14"/>
    </row>
    <row r="261">
      <c r="B261" s="14"/>
      <c r="C261" s="14"/>
      <c r="D261" s="14"/>
      <c r="E261" s="14"/>
      <c r="F261" s="14"/>
      <c r="G261" s="14"/>
    </row>
    <row r="262">
      <c r="B262" s="14"/>
      <c r="C262" s="14"/>
      <c r="D262" s="14"/>
      <c r="E262" s="14"/>
      <c r="F262" s="14"/>
      <c r="G262" s="14"/>
    </row>
    <row r="263">
      <c r="B263" s="14"/>
      <c r="C263" s="14"/>
      <c r="D263" s="14"/>
      <c r="E263" s="14"/>
      <c r="F263" s="14"/>
      <c r="G263" s="14"/>
    </row>
    <row r="264">
      <c r="B264" s="14"/>
      <c r="C264" s="14"/>
      <c r="D264" s="14"/>
      <c r="E264" s="14"/>
      <c r="F264" s="14"/>
      <c r="G264" s="14"/>
    </row>
    <row r="265">
      <c r="B265" s="14"/>
      <c r="C265" s="14"/>
      <c r="D265" s="14"/>
      <c r="E265" s="14"/>
      <c r="F265" s="14"/>
      <c r="G265" s="14"/>
    </row>
    <row r="266">
      <c r="B266" s="14"/>
      <c r="C266" s="14"/>
      <c r="D266" s="14"/>
      <c r="E266" s="14"/>
      <c r="F266" s="14"/>
      <c r="G266" s="14"/>
    </row>
    <row r="267">
      <c r="B267" s="14"/>
      <c r="C267" s="14"/>
      <c r="D267" s="14"/>
      <c r="E267" s="14"/>
      <c r="F267" s="14"/>
      <c r="G267" s="14"/>
    </row>
    <row r="268">
      <c r="B268" s="14"/>
      <c r="C268" s="14"/>
      <c r="D268" s="14"/>
      <c r="E268" s="14"/>
      <c r="F268" s="14"/>
      <c r="G268" s="14"/>
    </row>
    <row r="269">
      <c r="B269" s="14"/>
      <c r="C269" s="14"/>
      <c r="D269" s="14"/>
      <c r="E269" s="14"/>
      <c r="F269" s="14"/>
      <c r="G269" s="14"/>
    </row>
    <row r="270">
      <c r="B270" s="14"/>
      <c r="C270" s="14"/>
      <c r="D270" s="14"/>
      <c r="E270" s="14"/>
      <c r="F270" s="14"/>
      <c r="G270" s="14"/>
    </row>
    <row r="271">
      <c r="B271" s="14"/>
      <c r="C271" s="14"/>
      <c r="D271" s="14"/>
      <c r="E271" s="14"/>
      <c r="F271" s="14"/>
      <c r="G271" s="14"/>
    </row>
    <row r="272">
      <c r="B272" s="14"/>
      <c r="C272" s="14"/>
      <c r="D272" s="14"/>
      <c r="E272" s="14"/>
      <c r="F272" s="14"/>
      <c r="G272" s="14"/>
    </row>
    <row r="273">
      <c r="B273" s="14"/>
      <c r="C273" s="14"/>
      <c r="D273" s="14"/>
      <c r="E273" s="14"/>
      <c r="F273" s="14"/>
      <c r="G273" s="14"/>
    </row>
    <row r="274">
      <c r="B274" s="14"/>
      <c r="C274" s="14"/>
      <c r="D274" s="14"/>
      <c r="E274" s="14"/>
      <c r="F274" s="14"/>
      <c r="G274" s="14"/>
    </row>
    <row r="275">
      <c r="B275" s="14"/>
      <c r="C275" s="14"/>
      <c r="D275" s="14"/>
      <c r="E275" s="14"/>
      <c r="F275" s="14"/>
      <c r="G275" s="14"/>
    </row>
    <row r="276">
      <c r="B276" s="14"/>
      <c r="C276" s="14"/>
      <c r="D276" s="14"/>
      <c r="E276" s="14"/>
      <c r="F276" s="14"/>
      <c r="G276" s="14"/>
    </row>
    <row r="277">
      <c r="B277" s="14"/>
      <c r="C277" s="14"/>
      <c r="D277" s="14"/>
      <c r="E277" s="14"/>
      <c r="F277" s="14"/>
      <c r="G277" s="14"/>
    </row>
    <row r="278">
      <c r="B278" s="14"/>
      <c r="C278" s="14"/>
      <c r="D278" s="14"/>
      <c r="E278" s="14"/>
      <c r="F278" s="14"/>
      <c r="G278" s="14"/>
    </row>
    <row r="279">
      <c r="B279" s="14"/>
      <c r="C279" s="14"/>
      <c r="D279" s="14"/>
      <c r="E279" s="14"/>
      <c r="F279" s="14"/>
      <c r="G279" s="14"/>
    </row>
    <row r="280">
      <c r="B280" s="14"/>
      <c r="C280" s="14"/>
      <c r="D280" s="14"/>
      <c r="E280" s="14"/>
      <c r="F280" s="14"/>
      <c r="G280" s="14"/>
    </row>
    <row r="281">
      <c r="B281" s="14"/>
      <c r="C281" s="14"/>
      <c r="D281" s="14"/>
      <c r="E281" s="14"/>
      <c r="F281" s="14"/>
      <c r="G281" s="14"/>
    </row>
    <row r="282">
      <c r="B282" s="14"/>
      <c r="C282" s="14"/>
      <c r="D282" s="14"/>
      <c r="E282" s="14"/>
      <c r="F282" s="14"/>
      <c r="G282" s="14"/>
    </row>
    <row r="283">
      <c r="B283" s="14"/>
      <c r="C283" s="14"/>
      <c r="D283" s="14"/>
      <c r="E283" s="14"/>
      <c r="F283" s="14"/>
      <c r="G283" s="14"/>
    </row>
    <row r="284">
      <c r="B284" s="14"/>
      <c r="C284" s="14"/>
      <c r="D284" s="14"/>
      <c r="E284" s="14"/>
      <c r="F284" s="14"/>
      <c r="G284" s="14"/>
    </row>
    <row r="285">
      <c r="B285" s="14"/>
      <c r="C285" s="14"/>
      <c r="D285" s="14"/>
      <c r="E285" s="14"/>
      <c r="F285" s="14"/>
      <c r="G285" s="14"/>
    </row>
    <row r="286">
      <c r="B286" s="14"/>
      <c r="C286" s="14"/>
      <c r="D286" s="14"/>
      <c r="E286" s="14"/>
      <c r="F286" s="14"/>
      <c r="G286" s="14"/>
    </row>
    <row r="287">
      <c r="B287" s="14"/>
      <c r="C287" s="14"/>
      <c r="D287" s="14"/>
      <c r="E287" s="14"/>
      <c r="F287" s="14"/>
      <c r="G287" s="14"/>
    </row>
    <row r="288">
      <c r="B288" s="14"/>
      <c r="C288" s="14"/>
      <c r="D288" s="14"/>
      <c r="E288" s="14"/>
      <c r="F288" s="14"/>
      <c r="G288" s="14"/>
    </row>
    <row r="289">
      <c r="B289" s="14"/>
      <c r="C289" s="14"/>
      <c r="D289" s="14"/>
      <c r="E289" s="14"/>
      <c r="F289" s="14"/>
      <c r="G289" s="14"/>
    </row>
    <row r="290">
      <c r="B290" s="14"/>
      <c r="C290" s="14"/>
      <c r="D290" s="14"/>
      <c r="E290" s="14"/>
      <c r="F290" s="14"/>
      <c r="G290" s="14"/>
    </row>
    <row r="291">
      <c r="B291" s="14"/>
      <c r="C291" s="14"/>
      <c r="D291" s="14"/>
      <c r="E291" s="14"/>
      <c r="F291" s="14"/>
      <c r="G291" s="14"/>
    </row>
    <row r="292">
      <c r="B292" s="14"/>
      <c r="C292" s="14"/>
      <c r="D292" s="14"/>
      <c r="E292" s="14"/>
      <c r="F292" s="14"/>
      <c r="G292" s="14"/>
    </row>
    <row r="293">
      <c r="B293" s="14"/>
      <c r="C293" s="14"/>
      <c r="D293" s="14"/>
      <c r="E293" s="14"/>
      <c r="F293" s="14"/>
      <c r="G293" s="14"/>
    </row>
    <row r="294">
      <c r="B294" s="14"/>
      <c r="C294" s="14"/>
      <c r="D294" s="14"/>
      <c r="E294" s="14"/>
      <c r="F294" s="14"/>
      <c r="G294" s="14"/>
    </row>
    <row r="295">
      <c r="B295" s="14"/>
      <c r="C295" s="14"/>
      <c r="D295" s="14"/>
      <c r="E295" s="14"/>
      <c r="F295" s="14"/>
      <c r="G295" s="14"/>
    </row>
    <row r="296">
      <c r="B296" s="14"/>
      <c r="C296" s="14"/>
      <c r="D296" s="14"/>
      <c r="E296" s="14"/>
      <c r="F296" s="14"/>
      <c r="G296" s="14"/>
    </row>
    <row r="297">
      <c r="B297" s="14"/>
      <c r="C297" s="14"/>
      <c r="D297" s="14"/>
      <c r="E297" s="14"/>
      <c r="F297" s="14"/>
      <c r="G297" s="14"/>
    </row>
    <row r="298">
      <c r="B298" s="14"/>
      <c r="C298" s="14"/>
      <c r="D298" s="14"/>
      <c r="E298" s="14"/>
      <c r="F298" s="14"/>
      <c r="G298" s="14"/>
    </row>
    <row r="299">
      <c r="B299" s="14"/>
      <c r="C299" s="14"/>
      <c r="D299" s="14"/>
      <c r="E299" s="14"/>
      <c r="F299" s="14"/>
      <c r="G299" s="14"/>
    </row>
    <row r="300">
      <c r="B300" s="14"/>
      <c r="C300" s="14"/>
      <c r="D300" s="14"/>
      <c r="E300" s="14"/>
      <c r="F300" s="14"/>
      <c r="G300" s="14"/>
    </row>
    <row r="301">
      <c r="B301" s="14"/>
      <c r="C301" s="14"/>
      <c r="D301" s="14"/>
      <c r="E301" s="14"/>
      <c r="F301" s="14"/>
      <c r="G301" s="14"/>
    </row>
    <row r="302">
      <c r="B302" s="14"/>
      <c r="C302" s="14"/>
      <c r="D302" s="14"/>
      <c r="E302" s="14"/>
      <c r="F302" s="14"/>
      <c r="G302" s="14"/>
    </row>
    <row r="303">
      <c r="B303" s="14"/>
      <c r="C303" s="14"/>
      <c r="D303" s="14"/>
      <c r="E303" s="14"/>
      <c r="F303" s="14"/>
      <c r="G303" s="14"/>
    </row>
    <row r="304">
      <c r="B304" s="14"/>
      <c r="C304" s="14"/>
      <c r="D304" s="14"/>
      <c r="E304" s="14"/>
      <c r="F304" s="14"/>
      <c r="G304" s="14"/>
    </row>
    <row r="305">
      <c r="B305" s="14"/>
      <c r="C305" s="14"/>
      <c r="D305" s="14"/>
      <c r="E305" s="14"/>
      <c r="F305" s="14"/>
      <c r="G305" s="14"/>
    </row>
    <row r="306">
      <c r="B306" s="14"/>
      <c r="C306" s="14"/>
      <c r="D306" s="14"/>
      <c r="E306" s="14"/>
      <c r="F306" s="14"/>
      <c r="G306" s="14"/>
    </row>
    <row r="307">
      <c r="B307" s="14"/>
      <c r="C307" s="14"/>
      <c r="D307" s="14"/>
      <c r="E307" s="14"/>
      <c r="F307" s="14"/>
      <c r="G307" s="14"/>
    </row>
    <row r="308">
      <c r="B308" s="14"/>
      <c r="C308" s="14"/>
      <c r="D308" s="14"/>
      <c r="E308" s="14"/>
      <c r="F308" s="14"/>
      <c r="G308" s="14"/>
    </row>
    <row r="309">
      <c r="B309" s="14"/>
      <c r="C309" s="14"/>
      <c r="D309" s="14"/>
      <c r="E309" s="14"/>
      <c r="F309" s="14"/>
      <c r="G309" s="14"/>
    </row>
    <row r="310">
      <c r="B310" s="14"/>
      <c r="C310" s="14"/>
      <c r="D310" s="14"/>
      <c r="E310" s="14"/>
      <c r="F310" s="14"/>
      <c r="G310" s="14"/>
    </row>
    <row r="311">
      <c r="B311" s="14"/>
      <c r="C311" s="14"/>
      <c r="D311" s="14"/>
      <c r="E311" s="14"/>
      <c r="F311" s="14"/>
      <c r="G311" s="14"/>
    </row>
    <row r="312">
      <c r="B312" s="14"/>
      <c r="C312" s="14"/>
      <c r="D312" s="14"/>
      <c r="E312" s="14"/>
      <c r="F312" s="14"/>
      <c r="G312" s="14"/>
    </row>
    <row r="313">
      <c r="B313" s="14"/>
      <c r="C313" s="14"/>
      <c r="D313" s="14"/>
      <c r="E313" s="14"/>
      <c r="F313" s="14"/>
      <c r="G313" s="14"/>
    </row>
    <row r="314">
      <c r="B314" s="14"/>
      <c r="C314" s="14"/>
      <c r="D314" s="14"/>
      <c r="E314" s="14"/>
      <c r="F314" s="14"/>
      <c r="G314" s="14"/>
    </row>
    <row r="315">
      <c r="B315" s="14"/>
      <c r="C315" s="14"/>
      <c r="D315" s="14"/>
      <c r="E315" s="14"/>
      <c r="F315" s="14"/>
      <c r="G315" s="14"/>
    </row>
    <row r="316">
      <c r="B316" s="14"/>
      <c r="C316" s="14"/>
      <c r="D316" s="14"/>
      <c r="E316" s="14"/>
      <c r="F316" s="14"/>
      <c r="G316" s="14"/>
    </row>
    <row r="317">
      <c r="B317" s="14"/>
      <c r="C317" s="14"/>
      <c r="D317" s="14"/>
      <c r="E317" s="14"/>
      <c r="F317" s="14"/>
      <c r="G317" s="14"/>
    </row>
    <row r="318">
      <c r="B318" s="14"/>
      <c r="C318" s="14"/>
      <c r="D318" s="14"/>
      <c r="E318" s="14"/>
      <c r="F318" s="14"/>
      <c r="G318" s="14"/>
    </row>
    <row r="319">
      <c r="B319" s="14"/>
      <c r="C319" s="14"/>
      <c r="D319" s="14"/>
      <c r="E319" s="14"/>
      <c r="F319" s="14"/>
      <c r="G319" s="14"/>
    </row>
    <row r="320">
      <c r="B320" s="14"/>
      <c r="C320" s="14"/>
      <c r="D320" s="14"/>
      <c r="E320" s="14"/>
      <c r="F320" s="14"/>
      <c r="G320" s="14"/>
    </row>
    <row r="321">
      <c r="B321" s="14"/>
      <c r="C321" s="14"/>
      <c r="D321" s="14"/>
      <c r="E321" s="14"/>
      <c r="F321" s="14"/>
      <c r="G321" s="14"/>
    </row>
    <row r="322">
      <c r="B322" s="14"/>
      <c r="C322" s="14"/>
      <c r="D322" s="14"/>
      <c r="E322" s="14"/>
      <c r="F322" s="14"/>
      <c r="G322" s="14"/>
    </row>
    <row r="323">
      <c r="B323" s="14"/>
      <c r="C323" s="14"/>
      <c r="D323" s="14"/>
      <c r="E323" s="14"/>
      <c r="F323" s="14"/>
      <c r="G323" s="14"/>
    </row>
    <row r="324">
      <c r="B324" s="14"/>
      <c r="C324" s="14"/>
      <c r="D324" s="14"/>
      <c r="E324" s="14"/>
      <c r="F324" s="14"/>
      <c r="G324" s="14"/>
    </row>
    <row r="325">
      <c r="B325" s="14"/>
      <c r="C325" s="14"/>
      <c r="D325" s="14"/>
      <c r="E325" s="14"/>
      <c r="F325" s="14"/>
      <c r="G325" s="14"/>
    </row>
    <row r="326">
      <c r="B326" s="14"/>
      <c r="C326" s="14"/>
      <c r="D326" s="14"/>
      <c r="E326" s="14"/>
      <c r="F326" s="14"/>
      <c r="G326" s="14"/>
    </row>
    <row r="327">
      <c r="B327" s="14"/>
      <c r="C327" s="14"/>
      <c r="D327" s="14"/>
      <c r="E327" s="14"/>
      <c r="F327" s="14"/>
      <c r="G327" s="14"/>
    </row>
    <row r="328">
      <c r="B328" s="14"/>
      <c r="C328" s="14"/>
      <c r="D328" s="14"/>
      <c r="E328" s="14"/>
      <c r="F328" s="14"/>
      <c r="G328" s="14"/>
    </row>
    <row r="329">
      <c r="B329" s="14"/>
      <c r="C329" s="14"/>
      <c r="D329" s="14"/>
      <c r="E329" s="14"/>
      <c r="F329" s="14"/>
      <c r="G329" s="14"/>
    </row>
    <row r="330">
      <c r="B330" s="14"/>
      <c r="C330" s="14"/>
      <c r="D330" s="14"/>
      <c r="E330" s="14"/>
      <c r="F330" s="14"/>
      <c r="G330" s="14"/>
    </row>
    <row r="331">
      <c r="B331" s="14"/>
      <c r="C331" s="14"/>
      <c r="D331" s="14"/>
      <c r="E331" s="14"/>
      <c r="F331" s="14"/>
      <c r="G331" s="14"/>
    </row>
    <row r="332">
      <c r="B332" s="14"/>
      <c r="C332" s="14"/>
      <c r="D332" s="14"/>
      <c r="E332" s="14"/>
      <c r="F332" s="14"/>
      <c r="G332" s="14"/>
    </row>
    <row r="333">
      <c r="B333" s="14"/>
      <c r="C333" s="14"/>
      <c r="D333" s="14"/>
      <c r="E333" s="14"/>
      <c r="F333" s="14"/>
      <c r="G333" s="14"/>
    </row>
    <row r="334">
      <c r="B334" s="14"/>
      <c r="C334" s="14"/>
      <c r="D334" s="14"/>
      <c r="E334" s="14"/>
      <c r="F334" s="14"/>
      <c r="G334" s="14"/>
    </row>
    <row r="335">
      <c r="B335" s="14"/>
      <c r="C335" s="14"/>
      <c r="D335" s="14"/>
      <c r="E335" s="14"/>
      <c r="F335" s="14"/>
      <c r="G335" s="14"/>
    </row>
    <row r="336">
      <c r="B336" s="14"/>
      <c r="C336" s="14"/>
      <c r="D336" s="14"/>
      <c r="E336" s="14"/>
      <c r="F336" s="14"/>
      <c r="G336" s="14"/>
    </row>
    <row r="337">
      <c r="B337" s="14"/>
      <c r="C337" s="14"/>
      <c r="D337" s="14"/>
      <c r="E337" s="14"/>
      <c r="F337" s="14"/>
      <c r="G337" s="14"/>
    </row>
    <row r="338">
      <c r="B338" s="14"/>
      <c r="C338" s="14"/>
      <c r="D338" s="14"/>
      <c r="E338" s="14"/>
      <c r="F338" s="14"/>
      <c r="G338" s="14"/>
    </row>
    <row r="339">
      <c r="B339" s="14"/>
      <c r="C339" s="14"/>
      <c r="D339" s="14"/>
      <c r="E339" s="14"/>
      <c r="F339" s="14"/>
      <c r="G339" s="14"/>
    </row>
    <row r="340">
      <c r="B340" s="14"/>
      <c r="C340" s="14"/>
      <c r="D340" s="14"/>
      <c r="E340" s="14"/>
      <c r="F340" s="14"/>
      <c r="G340" s="14"/>
    </row>
    <row r="341">
      <c r="B341" s="14"/>
      <c r="C341" s="14"/>
      <c r="D341" s="14"/>
      <c r="E341" s="14"/>
      <c r="F341" s="14"/>
      <c r="G341" s="14"/>
    </row>
    <row r="342">
      <c r="B342" s="14"/>
      <c r="C342" s="14"/>
      <c r="D342" s="14"/>
      <c r="E342" s="14"/>
      <c r="F342" s="14"/>
      <c r="G342" s="14"/>
    </row>
    <row r="343">
      <c r="B343" s="14"/>
      <c r="C343" s="14"/>
      <c r="D343" s="14"/>
      <c r="E343" s="14"/>
      <c r="F343" s="14"/>
      <c r="G343" s="14"/>
    </row>
    <row r="344">
      <c r="B344" s="14"/>
      <c r="C344" s="14"/>
      <c r="D344" s="14"/>
      <c r="E344" s="14"/>
      <c r="F344" s="14"/>
      <c r="G344" s="14"/>
    </row>
    <row r="345">
      <c r="B345" s="14"/>
      <c r="C345" s="14"/>
      <c r="D345" s="14"/>
      <c r="E345" s="14"/>
      <c r="F345" s="14"/>
      <c r="G345" s="14"/>
    </row>
    <row r="346">
      <c r="B346" s="14"/>
      <c r="C346" s="14"/>
      <c r="D346" s="14"/>
      <c r="E346" s="14"/>
      <c r="F346" s="14"/>
      <c r="G346" s="14"/>
    </row>
    <row r="347">
      <c r="B347" s="14"/>
      <c r="C347" s="14"/>
      <c r="D347" s="14"/>
      <c r="E347" s="14"/>
      <c r="F347" s="14"/>
      <c r="G347" s="14"/>
    </row>
    <row r="348">
      <c r="B348" s="14"/>
      <c r="C348" s="14"/>
      <c r="D348" s="14"/>
      <c r="E348" s="14"/>
      <c r="F348" s="14"/>
      <c r="G348" s="14"/>
    </row>
    <row r="349">
      <c r="B349" s="14"/>
      <c r="C349" s="14"/>
      <c r="D349" s="14"/>
      <c r="E349" s="14"/>
      <c r="F349" s="14"/>
      <c r="G349" s="14"/>
    </row>
    <row r="350">
      <c r="B350" s="14"/>
      <c r="C350" s="14"/>
      <c r="D350" s="14"/>
      <c r="E350" s="14"/>
      <c r="F350" s="14"/>
      <c r="G350" s="14"/>
    </row>
    <row r="351">
      <c r="B351" s="14"/>
      <c r="C351" s="14"/>
      <c r="D351" s="14"/>
      <c r="E351" s="14"/>
      <c r="F351" s="14"/>
      <c r="G351" s="14"/>
    </row>
    <row r="352">
      <c r="B352" s="14"/>
      <c r="C352" s="14"/>
      <c r="D352" s="14"/>
      <c r="E352" s="14"/>
      <c r="F352" s="14"/>
      <c r="G352" s="14"/>
    </row>
    <row r="353">
      <c r="B353" s="14"/>
      <c r="C353" s="14"/>
      <c r="D353" s="14"/>
      <c r="E353" s="14"/>
      <c r="F353" s="14"/>
      <c r="G353" s="14"/>
    </row>
    <row r="354">
      <c r="B354" s="14"/>
      <c r="C354" s="14"/>
      <c r="D354" s="14"/>
      <c r="E354" s="14"/>
      <c r="F354" s="14"/>
      <c r="G354" s="14"/>
    </row>
    <row r="355">
      <c r="B355" s="14"/>
      <c r="C355" s="14"/>
      <c r="D355" s="14"/>
      <c r="E355" s="14"/>
      <c r="F355" s="14"/>
      <c r="G355" s="14"/>
    </row>
    <row r="356">
      <c r="B356" s="14"/>
      <c r="C356" s="14"/>
      <c r="D356" s="14"/>
      <c r="E356" s="14"/>
      <c r="F356" s="14"/>
      <c r="G356" s="14"/>
    </row>
    <row r="357">
      <c r="B357" s="14"/>
      <c r="C357" s="14"/>
      <c r="D357" s="14"/>
      <c r="E357" s="14"/>
      <c r="F357" s="14"/>
      <c r="G357" s="14"/>
    </row>
    <row r="358">
      <c r="B358" s="14"/>
      <c r="C358" s="14"/>
      <c r="D358" s="14"/>
      <c r="E358" s="14"/>
      <c r="F358" s="14"/>
      <c r="G358" s="14"/>
    </row>
    <row r="359">
      <c r="B359" s="14"/>
      <c r="C359" s="14"/>
      <c r="D359" s="14"/>
      <c r="E359" s="14"/>
      <c r="F359" s="14"/>
      <c r="G359" s="14"/>
    </row>
    <row r="360">
      <c r="B360" s="14"/>
      <c r="C360" s="14"/>
      <c r="D360" s="14"/>
      <c r="E360" s="14"/>
      <c r="F360" s="14"/>
      <c r="G360" s="14"/>
    </row>
    <row r="361">
      <c r="B361" s="14"/>
      <c r="C361" s="14"/>
      <c r="D361" s="14"/>
      <c r="E361" s="14"/>
      <c r="F361" s="14"/>
      <c r="G361" s="14"/>
    </row>
    <row r="362">
      <c r="B362" s="14"/>
      <c r="C362" s="14"/>
      <c r="D362" s="14"/>
      <c r="E362" s="14"/>
      <c r="F362" s="14"/>
      <c r="G362" s="14"/>
    </row>
    <row r="363">
      <c r="B363" s="14"/>
      <c r="C363" s="14"/>
      <c r="D363" s="14"/>
      <c r="E363" s="14"/>
      <c r="F363" s="14"/>
      <c r="G363" s="14"/>
    </row>
    <row r="364">
      <c r="B364" s="14"/>
      <c r="C364" s="14"/>
      <c r="D364" s="14"/>
      <c r="E364" s="14"/>
      <c r="F364" s="14"/>
      <c r="G364" s="14"/>
    </row>
    <row r="365">
      <c r="B365" s="14"/>
      <c r="C365" s="14"/>
      <c r="D365" s="14"/>
      <c r="E365" s="14"/>
      <c r="F365" s="14"/>
      <c r="G365" s="14"/>
    </row>
    <row r="366">
      <c r="B366" s="14"/>
      <c r="C366" s="14"/>
      <c r="D366" s="14"/>
      <c r="E366" s="14"/>
      <c r="F366" s="14"/>
      <c r="G366" s="14"/>
    </row>
    <row r="367">
      <c r="B367" s="14"/>
      <c r="C367" s="14"/>
      <c r="D367" s="14"/>
      <c r="E367" s="14"/>
      <c r="F367" s="14"/>
      <c r="G367" s="14"/>
    </row>
    <row r="368">
      <c r="B368" s="14"/>
      <c r="C368" s="14"/>
      <c r="D368" s="14"/>
      <c r="E368" s="14"/>
      <c r="F368" s="14"/>
      <c r="G368" s="14"/>
    </row>
    <row r="369">
      <c r="B369" s="14"/>
      <c r="C369" s="14"/>
      <c r="D369" s="14"/>
      <c r="E369" s="14"/>
      <c r="F369" s="14"/>
      <c r="G369" s="14"/>
    </row>
    <row r="370">
      <c r="B370" s="14"/>
      <c r="C370" s="14"/>
      <c r="D370" s="14"/>
      <c r="E370" s="14"/>
      <c r="F370" s="14"/>
      <c r="G370" s="14"/>
    </row>
    <row r="371">
      <c r="B371" s="14"/>
      <c r="C371" s="14"/>
      <c r="D371" s="14"/>
      <c r="E371" s="14"/>
      <c r="F371" s="14"/>
      <c r="G371" s="14"/>
    </row>
    <row r="372">
      <c r="B372" s="14"/>
      <c r="C372" s="14"/>
      <c r="D372" s="14"/>
      <c r="E372" s="14"/>
      <c r="F372" s="14"/>
      <c r="G372" s="14"/>
    </row>
    <row r="373">
      <c r="B373" s="14"/>
      <c r="C373" s="14"/>
      <c r="D373" s="14"/>
      <c r="E373" s="14"/>
      <c r="F373" s="14"/>
      <c r="G373" s="14"/>
    </row>
    <row r="374">
      <c r="B374" s="14"/>
      <c r="C374" s="14"/>
      <c r="D374" s="14"/>
      <c r="E374" s="14"/>
      <c r="F374" s="14"/>
      <c r="G374" s="14"/>
    </row>
    <row r="375">
      <c r="B375" s="14"/>
      <c r="C375" s="14"/>
      <c r="D375" s="14"/>
      <c r="E375" s="14"/>
      <c r="F375" s="14"/>
      <c r="G375" s="14"/>
    </row>
    <row r="376">
      <c r="B376" s="14"/>
      <c r="C376" s="14"/>
      <c r="D376" s="14"/>
      <c r="E376" s="14"/>
      <c r="F376" s="14"/>
      <c r="G376" s="14"/>
    </row>
    <row r="377">
      <c r="B377" s="14"/>
      <c r="C377" s="14"/>
      <c r="D377" s="14"/>
      <c r="E377" s="14"/>
      <c r="F377" s="14"/>
      <c r="G377" s="14"/>
    </row>
    <row r="378">
      <c r="B378" s="14"/>
      <c r="C378" s="14"/>
      <c r="D378" s="14"/>
      <c r="E378" s="14"/>
      <c r="F378" s="14"/>
      <c r="G378" s="14"/>
    </row>
    <row r="379">
      <c r="B379" s="14"/>
      <c r="C379" s="14"/>
      <c r="D379" s="14"/>
      <c r="E379" s="14"/>
      <c r="F379" s="14"/>
      <c r="G379" s="14"/>
    </row>
    <row r="380">
      <c r="B380" s="14"/>
      <c r="C380" s="14"/>
      <c r="D380" s="14"/>
      <c r="E380" s="14"/>
      <c r="F380" s="14"/>
      <c r="G380" s="14"/>
    </row>
    <row r="381">
      <c r="B381" s="14"/>
      <c r="C381" s="14"/>
      <c r="D381" s="14"/>
      <c r="E381" s="14"/>
      <c r="F381" s="14"/>
      <c r="G381" s="14"/>
    </row>
    <row r="382">
      <c r="B382" s="14"/>
      <c r="C382" s="14"/>
      <c r="D382" s="14"/>
      <c r="E382" s="14"/>
      <c r="F382" s="14"/>
      <c r="G382" s="14"/>
    </row>
    <row r="383">
      <c r="B383" s="14"/>
      <c r="C383" s="14"/>
      <c r="D383" s="14"/>
      <c r="E383" s="14"/>
      <c r="F383" s="14"/>
      <c r="G383" s="14"/>
    </row>
    <row r="384">
      <c r="B384" s="14"/>
      <c r="C384" s="14"/>
      <c r="D384" s="14"/>
      <c r="E384" s="14"/>
      <c r="F384" s="14"/>
      <c r="G384" s="14"/>
    </row>
    <row r="385">
      <c r="B385" s="14"/>
      <c r="C385" s="14"/>
      <c r="D385" s="14"/>
      <c r="E385" s="14"/>
      <c r="F385" s="14"/>
      <c r="G385" s="14"/>
    </row>
    <row r="386">
      <c r="B386" s="14"/>
      <c r="C386" s="14"/>
      <c r="D386" s="14"/>
      <c r="E386" s="14"/>
      <c r="F386" s="14"/>
      <c r="G386" s="14"/>
    </row>
    <row r="387">
      <c r="B387" s="14"/>
      <c r="C387" s="14"/>
      <c r="D387" s="14"/>
      <c r="E387" s="14"/>
      <c r="F387" s="14"/>
      <c r="G387" s="14"/>
    </row>
    <row r="388">
      <c r="B388" s="14"/>
      <c r="C388" s="14"/>
      <c r="D388" s="14"/>
      <c r="E388" s="14"/>
      <c r="F388" s="14"/>
      <c r="G388" s="14"/>
    </row>
    <row r="389">
      <c r="B389" s="14"/>
      <c r="C389" s="14"/>
      <c r="D389" s="14"/>
      <c r="E389" s="14"/>
      <c r="F389" s="14"/>
      <c r="G389" s="14"/>
    </row>
    <row r="390">
      <c r="B390" s="14"/>
      <c r="C390" s="14"/>
      <c r="D390" s="14"/>
      <c r="E390" s="14"/>
      <c r="F390" s="14"/>
      <c r="G390" s="14"/>
    </row>
    <row r="391">
      <c r="B391" s="14"/>
      <c r="C391" s="14"/>
      <c r="D391" s="14"/>
      <c r="E391" s="14"/>
      <c r="F391" s="14"/>
      <c r="G391" s="14"/>
    </row>
    <row r="392">
      <c r="B392" s="14"/>
      <c r="C392" s="14"/>
      <c r="D392" s="14"/>
      <c r="E392" s="14"/>
      <c r="F392" s="14"/>
      <c r="G392" s="14"/>
    </row>
    <row r="393">
      <c r="B393" s="14"/>
      <c r="C393" s="14"/>
      <c r="D393" s="14"/>
      <c r="E393" s="14"/>
      <c r="F393" s="14"/>
      <c r="G393" s="14"/>
    </row>
    <row r="394">
      <c r="B394" s="14"/>
      <c r="C394" s="14"/>
      <c r="D394" s="14"/>
      <c r="E394" s="14"/>
      <c r="F394" s="14"/>
      <c r="G394" s="14"/>
    </row>
    <row r="395">
      <c r="B395" s="14"/>
      <c r="C395" s="14"/>
      <c r="D395" s="14"/>
      <c r="E395" s="14"/>
      <c r="F395" s="14"/>
      <c r="G395" s="14"/>
    </row>
    <row r="396">
      <c r="B396" s="14"/>
      <c r="C396" s="14"/>
      <c r="D396" s="14"/>
      <c r="E396" s="14"/>
      <c r="F396" s="14"/>
      <c r="G396" s="14"/>
    </row>
    <row r="397">
      <c r="B397" s="14"/>
      <c r="C397" s="14"/>
      <c r="D397" s="14"/>
      <c r="E397" s="14"/>
      <c r="F397" s="14"/>
      <c r="G397" s="14"/>
    </row>
    <row r="398">
      <c r="B398" s="14"/>
      <c r="C398" s="14"/>
      <c r="D398" s="14"/>
      <c r="E398" s="14"/>
      <c r="F398" s="14"/>
      <c r="G398" s="14"/>
    </row>
    <row r="399">
      <c r="B399" s="14"/>
      <c r="C399" s="14"/>
      <c r="D399" s="14"/>
      <c r="E399" s="14"/>
      <c r="F399" s="14"/>
      <c r="G399" s="14"/>
    </row>
    <row r="400">
      <c r="B400" s="14"/>
      <c r="C400" s="14"/>
      <c r="D400" s="14"/>
      <c r="E400" s="14"/>
      <c r="F400" s="14"/>
      <c r="G400" s="14"/>
    </row>
    <row r="401">
      <c r="B401" s="14"/>
      <c r="C401" s="14"/>
      <c r="D401" s="14"/>
      <c r="E401" s="14"/>
      <c r="F401" s="14"/>
      <c r="G401" s="14"/>
    </row>
    <row r="402">
      <c r="B402" s="14"/>
      <c r="C402" s="14"/>
      <c r="D402" s="14"/>
      <c r="E402" s="14"/>
      <c r="F402" s="14"/>
      <c r="G402" s="14"/>
    </row>
    <row r="403">
      <c r="B403" s="14"/>
      <c r="C403" s="14"/>
      <c r="D403" s="14"/>
      <c r="E403" s="14"/>
      <c r="F403" s="14"/>
      <c r="G403" s="14"/>
    </row>
    <row r="404">
      <c r="B404" s="14"/>
      <c r="C404" s="14"/>
      <c r="D404" s="14"/>
      <c r="E404" s="14"/>
      <c r="F404" s="14"/>
      <c r="G404" s="14"/>
    </row>
    <row r="405">
      <c r="B405" s="14"/>
      <c r="C405" s="14"/>
      <c r="D405" s="14"/>
      <c r="E405" s="14"/>
      <c r="F405" s="14"/>
      <c r="G405" s="14"/>
    </row>
    <row r="406">
      <c r="B406" s="14"/>
      <c r="C406" s="14"/>
      <c r="D406" s="14"/>
      <c r="E406" s="14"/>
      <c r="F406" s="14"/>
      <c r="G406" s="14"/>
    </row>
    <row r="407">
      <c r="B407" s="14"/>
      <c r="C407" s="14"/>
      <c r="D407" s="14"/>
      <c r="E407" s="14"/>
      <c r="F407" s="14"/>
      <c r="G407" s="14"/>
    </row>
    <row r="408">
      <c r="B408" s="14"/>
      <c r="C408" s="14"/>
      <c r="D408" s="14"/>
      <c r="E408" s="14"/>
      <c r="F408" s="14"/>
      <c r="G408" s="14"/>
    </row>
    <row r="409">
      <c r="B409" s="14"/>
      <c r="C409" s="14"/>
      <c r="D409" s="14"/>
      <c r="E409" s="14"/>
      <c r="F409" s="14"/>
      <c r="G409" s="14"/>
    </row>
    <row r="410">
      <c r="B410" s="14"/>
      <c r="C410" s="14"/>
      <c r="D410" s="14"/>
      <c r="E410" s="14"/>
      <c r="F410" s="14"/>
      <c r="G410" s="14"/>
    </row>
    <row r="411">
      <c r="B411" s="14"/>
      <c r="C411" s="14"/>
      <c r="D411" s="14"/>
      <c r="E411" s="14"/>
      <c r="F411" s="14"/>
      <c r="G411" s="14"/>
    </row>
    <row r="412">
      <c r="B412" s="14"/>
      <c r="C412" s="14"/>
      <c r="D412" s="14"/>
      <c r="E412" s="14"/>
      <c r="F412" s="14"/>
      <c r="G412" s="14"/>
    </row>
    <row r="413">
      <c r="B413" s="14"/>
      <c r="C413" s="14"/>
      <c r="D413" s="14"/>
      <c r="E413" s="14"/>
      <c r="F413" s="14"/>
      <c r="G413" s="14"/>
    </row>
    <row r="414">
      <c r="B414" s="14"/>
      <c r="C414" s="14"/>
      <c r="D414" s="14"/>
      <c r="E414" s="14"/>
      <c r="F414" s="14"/>
      <c r="G414" s="14"/>
    </row>
    <row r="415">
      <c r="B415" s="14"/>
      <c r="C415" s="14"/>
      <c r="D415" s="14"/>
      <c r="E415" s="14"/>
      <c r="F415" s="14"/>
      <c r="G415" s="14"/>
    </row>
    <row r="416">
      <c r="B416" s="14"/>
      <c r="C416" s="14"/>
      <c r="D416" s="14"/>
      <c r="E416" s="14"/>
      <c r="F416" s="14"/>
      <c r="G416" s="14"/>
    </row>
    <row r="417">
      <c r="B417" s="14"/>
      <c r="C417" s="14"/>
      <c r="D417" s="14"/>
      <c r="E417" s="14"/>
      <c r="F417" s="14"/>
      <c r="G417" s="14"/>
    </row>
    <row r="418">
      <c r="B418" s="14"/>
      <c r="C418" s="14"/>
      <c r="D418" s="14"/>
      <c r="E418" s="14"/>
      <c r="F418" s="14"/>
      <c r="G418" s="14"/>
    </row>
    <row r="419">
      <c r="B419" s="14"/>
      <c r="C419" s="14"/>
      <c r="D419" s="14"/>
      <c r="E419" s="14"/>
      <c r="F419" s="14"/>
      <c r="G419" s="14"/>
    </row>
    <row r="420">
      <c r="B420" s="14"/>
      <c r="C420" s="14"/>
      <c r="D420" s="14"/>
      <c r="E420" s="14"/>
      <c r="F420" s="14"/>
      <c r="G420" s="14"/>
    </row>
    <row r="421">
      <c r="B421" s="14"/>
      <c r="C421" s="14"/>
      <c r="D421" s="14"/>
      <c r="E421" s="14"/>
      <c r="F421" s="14"/>
      <c r="G421" s="14"/>
    </row>
    <row r="422">
      <c r="B422" s="14"/>
      <c r="C422" s="14"/>
      <c r="D422" s="14"/>
      <c r="E422" s="14"/>
      <c r="F422" s="14"/>
      <c r="G422" s="14"/>
    </row>
    <row r="423">
      <c r="B423" s="14"/>
      <c r="C423" s="14"/>
      <c r="D423" s="14"/>
      <c r="E423" s="14"/>
      <c r="F423" s="14"/>
      <c r="G423" s="14"/>
    </row>
    <row r="424">
      <c r="B424" s="14"/>
      <c r="C424" s="14"/>
      <c r="D424" s="14"/>
      <c r="E424" s="14"/>
      <c r="F424" s="14"/>
      <c r="G424" s="14"/>
    </row>
    <row r="425">
      <c r="B425" s="14"/>
      <c r="C425" s="14"/>
      <c r="D425" s="14"/>
      <c r="E425" s="14"/>
      <c r="F425" s="14"/>
      <c r="G425" s="14"/>
    </row>
    <row r="426">
      <c r="B426" s="14"/>
      <c r="C426" s="14"/>
      <c r="D426" s="14"/>
      <c r="E426" s="14"/>
      <c r="F426" s="14"/>
      <c r="G426" s="14"/>
    </row>
    <row r="427">
      <c r="B427" s="14"/>
      <c r="C427" s="14"/>
      <c r="D427" s="14"/>
      <c r="E427" s="14"/>
      <c r="F427" s="14"/>
      <c r="G427" s="14"/>
    </row>
    <row r="428">
      <c r="B428" s="14"/>
      <c r="C428" s="14"/>
      <c r="D428" s="14"/>
      <c r="E428" s="14"/>
      <c r="F428" s="14"/>
      <c r="G428" s="14"/>
    </row>
    <row r="429">
      <c r="B429" s="14"/>
      <c r="C429" s="14"/>
      <c r="D429" s="14"/>
      <c r="E429" s="14"/>
      <c r="F429" s="14"/>
      <c r="G429" s="14"/>
    </row>
    <row r="430">
      <c r="B430" s="14"/>
      <c r="C430" s="14"/>
      <c r="D430" s="14"/>
      <c r="E430" s="14"/>
      <c r="F430" s="14"/>
      <c r="G430" s="14"/>
    </row>
    <row r="431">
      <c r="B431" s="14"/>
      <c r="C431" s="14"/>
      <c r="D431" s="14"/>
      <c r="E431" s="14"/>
      <c r="F431" s="14"/>
      <c r="G431" s="14"/>
    </row>
    <row r="432">
      <c r="B432" s="14"/>
      <c r="C432" s="14"/>
      <c r="D432" s="14"/>
      <c r="E432" s="14"/>
      <c r="F432" s="14"/>
      <c r="G432" s="14"/>
    </row>
    <row r="433">
      <c r="B433" s="14"/>
      <c r="C433" s="14"/>
      <c r="D433" s="14"/>
      <c r="E433" s="14"/>
      <c r="F433" s="14"/>
      <c r="G433" s="14"/>
    </row>
    <row r="434">
      <c r="B434" s="14"/>
      <c r="C434" s="14"/>
      <c r="D434" s="14"/>
      <c r="E434" s="14"/>
      <c r="F434" s="14"/>
      <c r="G434" s="14"/>
    </row>
    <row r="435">
      <c r="B435" s="14"/>
      <c r="C435" s="14"/>
      <c r="D435" s="14"/>
      <c r="E435" s="14"/>
      <c r="F435" s="14"/>
      <c r="G435" s="14"/>
    </row>
    <row r="436">
      <c r="B436" s="14"/>
      <c r="C436" s="14"/>
      <c r="D436" s="14"/>
      <c r="E436" s="14"/>
      <c r="F436" s="14"/>
      <c r="G436" s="14"/>
    </row>
    <row r="437">
      <c r="B437" s="14"/>
      <c r="C437" s="14"/>
      <c r="D437" s="14"/>
      <c r="E437" s="14"/>
      <c r="F437" s="14"/>
      <c r="G437" s="14"/>
    </row>
    <row r="438">
      <c r="B438" s="14"/>
      <c r="C438" s="14"/>
      <c r="D438" s="14"/>
      <c r="E438" s="14"/>
      <c r="F438" s="14"/>
      <c r="G438" s="14"/>
    </row>
    <row r="439">
      <c r="B439" s="14"/>
      <c r="C439" s="14"/>
      <c r="D439" s="14"/>
      <c r="E439" s="14"/>
      <c r="F439" s="14"/>
      <c r="G439" s="14"/>
    </row>
    <row r="440">
      <c r="B440" s="14"/>
      <c r="C440" s="14"/>
      <c r="D440" s="14"/>
      <c r="E440" s="14"/>
      <c r="F440" s="14"/>
      <c r="G440" s="14"/>
    </row>
    <row r="441">
      <c r="B441" s="14"/>
      <c r="C441" s="14"/>
      <c r="D441" s="14"/>
      <c r="E441" s="14"/>
      <c r="F441" s="14"/>
      <c r="G441" s="14"/>
    </row>
    <row r="442">
      <c r="B442" s="14"/>
      <c r="C442" s="14"/>
      <c r="D442" s="14"/>
      <c r="E442" s="14"/>
      <c r="F442" s="14"/>
      <c r="G442" s="14"/>
    </row>
    <row r="443">
      <c r="B443" s="14"/>
      <c r="C443" s="14"/>
      <c r="D443" s="14"/>
      <c r="E443" s="14"/>
      <c r="F443" s="14"/>
      <c r="G443" s="14"/>
    </row>
    <row r="444">
      <c r="B444" s="14"/>
      <c r="C444" s="14"/>
      <c r="D444" s="14"/>
      <c r="E444" s="14"/>
      <c r="F444" s="14"/>
      <c r="G444" s="14"/>
    </row>
    <row r="445">
      <c r="B445" s="14"/>
      <c r="C445" s="14"/>
      <c r="D445" s="14"/>
      <c r="E445" s="14"/>
      <c r="F445" s="14"/>
      <c r="G445" s="14"/>
    </row>
    <row r="446">
      <c r="B446" s="14"/>
      <c r="C446" s="14"/>
      <c r="D446" s="14"/>
      <c r="E446" s="14"/>
      <c r="F446" s="14"/>
      <c r="G446" s="14"/>
    </row>
    <row r="447">
      <c r="B447" s="14"/>
      <c r="C447" s="14"/>
      <c r="D447" s="14"/>
      <c r="E447" s="14"/>
      <c r="F447" s="14"/>
      <c r="G447" s="14"/>
    </row>
    <row r="448">
      <c r="B448" s="14"/>
      <c r="C448" s="14"/>
      <c r="D448" s="14"/>
      <c r="E448" s="14"/>
      <c r="F448" s="14"/>
      <c r="G448" s="14"/>
    </row>
    <row r="449">
      <c r="B449" s="14"/>
      <c r="C449" s="14"/>
      <c r="D449" s="14"/>
      <c r="E449" s="14"/>
      <c r="F449" s="14"/>
      <c r="G449" s="14"/>
    </row>
    <row r="450">
      <c r="B450" s="14"/>
      <c r="C450" s="14"/>
      <c r="D450" s="14"/>
      <c r="E450" s="14"/>
      <c r="F450" s="14"/>
      <c r="G450" s="14"/>
    </row>
    <row r="451">
      <c r="B451" s="14"/>
      <c r="C451" s="14"/>
      <c r="D451" s="14"/>
      <c r="E451" s="14"/>
      <c r="F451" s="14"/>
      <c r="G451" s="14"/>
    </row>
    <row r="452">
      <c r="B452" s="14"/>
      <c r="C452" s="14"/>
      <c r="D452" s="14"/>
      <c r="E452" s="14"/>
      <c r="F452" s="14"/>
      <c r="G452" s="14"/>
    </row>
    <row r="453">
      <c r="B453" s="14"/>
      <c r="C453" s="14"/>
      <c r="D453" s="14"/>
      <c r="E453" s="14"/>
      <c r="F453" s="14"/>
      <c r="G453" s="14"/>
    </row>
    <row r="454">
      <c r="B454" s="14"/>
      <c r="C454" s="14"/>
      <c r="D454" s="14"/>
      <c r="E454" s="14"/>
      <c r="F454" s="14"/>
      <c r="G454" s="14"/>
    </row>
    <row r="455">
      <c r="B455" s="14"/>
      <c r="C455" s="14"/>
      <c r="D455" s="14"/>
      <c r="E455" s="14"/>
      <c r="F455" s="14"/>
      <c r="G455" s="14"/>
    </row>
    <row r="456">
      <c r="B456" s="14"/>
      <c r="C456" s="14"/>
      <c r="D456" s="14"/>
      <c r="E456" s="14"/>
      <c r="F456" s="14"/>
      <c r="G456" s="14"/>
    </row>
    <row r="457">
      <c r="B457" s="14"/>
      <c r="C457" s="14"/>
      <c r="D457" s="14"/>
      <c r="E457" s="14"/>
      <c r="F457" s="14"/>
      <c r="G457" s="14"/>
    </row>
    <row r="458">
      <c r="B458" s="14"/>
      <c r="C458" s="14"/>
      <c r="D458" s="14"/>
      <c r="E458" s="14"/>
      <c r="F458" s="14"/>
      <c r="G458" s="14"/>
    </row>
    <row r="459">
      <c r="B459" s="14"/>
      <c r="C459" s="14"/>
      <c r="D459" s="14"/>
      <c r="E459" s="14"/>
      <c r="F459" s="14"/>
      <c r="G459" s="14"/>
    </row>
    <row r="460">
      <c r="B460" s="14"/>
      <c r="C460" s="14"/>
      <c r="D460" s="14"/>
      <c r="E460" s="14"/>
      <c r="F460" s="14"/>
      <c r="G460" s="14"/>
    </row>
    <row r="461">
      <c r="B461" s="14"/>
      <c r="C461" s="14"/>
      <c r="D461" s="14"/>
      <c r="E461" s="14"/>
      <c r="F461" s="14"/>
      <c r="G461" s="14"/>
    </row>
    <row r="462">
      <c r="B462" s="14"/>
      <c r="C462" s="14"/>
      <c r="D462" s="14"/>
      <c r="E462" s="14"/>
      <c r="F462" s="14"/>
      <c r="G462" s="14"/>
    </row>
    <row r="463">
      <c r="B463" s="14"/>
      <c r="C463" s="14"/>
      <c r="D463" s="14"/>
      <c r="E463" s="14"/>
      <c r="F463" s="14"/>
      <c r="G463" s="14"/>
    </row>
    <row r="464">
      <c r="B464" s="14"/>
      <c r="C464" s="14"/>
      <c r="D464" s="14"/>
      <c r="E464" s="14"/>
      <c r="F464" s="14"/>
      <c r="G464" s="14"/>
    </row>
    <row r="465">
      <c r="B465" s="14"/>
      <c r="C465" s="14"/>
      <c r="D465" s="14"/>
      <c r="E465" s="14"/>
      <c r="F465" s="14"/>
      <c r="G465" s="14"/>
    </row>
    <row r="466">
      <c r="B466" s="14"/>
      <c r="C466" s="14"/>
      <c r="D466" s="14"/>
      <c r="E466" s="14"/>
      <c r="F466" s="14"/>
      <c r="G466" s="14"/>
    </row>
    <row r="467">
      <c r="B467" s="14"/>
      <c r="C467" s="14"/>
      <c r="D467" s="14"/>
      <c r="E467" s="14"/>
      <c r="F467" s="14"/>
      <c r="G467" s="14"/>
    </row>
    <row r="468">
      <c r="B468" s="14"/>
      <c r="C468" s="14"/>
      <c r="D468" s="14"/>
      <c r="E468" s="14"/>
      <c r="F468" s="14"/>
      <c r="G468" s="14"/>
    </row>
    <row r="469">
      <c r="B469" s="14"/>
      <c r="C469" s="14"/>
      <c r="D469" s="14"/>
      <c r="E469" s="14"/>
      <c r="F469" s="14"/>
      <c r="G469" s="14"/>
    </row>
    <row r="470">
      <c r="B470" s="14"/>
      <c r="C470" s="14"/>
      <c r="D470" s="14"/>
      <c r="E470" s="14"/>
      <c r="F470" s="14"/>
      <c r="G470" s="14"/>
    </row>
    <row r="471">
      <c r="B471" s="14"/>
      <c r="C471" s="14"/>
      <c r="D471" s="14"/>
      <c r="E471" s="14"/>
      <c r="F471" s="14"/>
      <c r="G471" s="14"/>
    </row>
    <row r="472">
      <c r="B472" s="14"/>
      <c r="C472" s="14"/>
      <c r="D472" s="14"/>
      <c r="E472" s="14"/>
      <c r="F472" s="14"/>
      <c r="G472" s="14"/>
    </row>
    <row r="473">
      <c r="B473" s="14"/>
      <c r="C473" s="14"/>
      <c r="D473" s="14"/>
      <c r="E473" s="14"/>
      <c r="F473" s="14"/>
      <c r="G473" s="14"/>
    </row>
    <row r="474">
      <c r="B474" s="14"/>
      <c r="C474" s="14"/>
      <c r="D474" s="14"/>
      <c r="E474" s="14"/>
      <c r="F474" s="14"/>
      <c r="G474" s="14"/>
    </row>
    <row r="475">
      <c r="B475" s="14"/>
      <c r="C475" s="14"/>
      <c r="D475" s="14"/>
      <c r="E475" s="14"/>
      <c r="F475" s="14"/>
      <c r="G475" s="14"/>
    </row>
    <row r="476">
      <c r="B476" s="14"/>
      <c r="C476" s="14"/>
      <c r="D476" s="14"/>
      <c r="E476" s="14"/>
      <c r="F476" s="14"/>
      <c r="G476" s="14"/>
    </row>
    <row r="477">
      <c r="B477" s="14"/>
      <c r="C477" s="14"/>
      <c r="D477" s="14"/>
      <c r="E477" s="14"/>
      <c r="F477" s="14"/>
      <c r="G477" s="14"/>
    </row>
    <row r="478">
      <c r="B478" s="14"/>
      <c r="C478" s="14"/>
      <c r="D478" s="14"/>
      <c r="E478" s="14"/>
      <c r="F478" s="14"/>
      <c r="G478" s="14"/>
    </row>
    <row r="479">
      <c r="B479" s="14"/>
      <c r="C479" s="14"/>
      <c r="D479" s="14"/>
      <c r="E479" s="14"/>
      <c r="F479" s="14"/>
      <c r="G479" s="14"/>
    </row>
    <row r="480">
      <c r="B480" s="14"/>
      <c r="C480" s="14"/>
      <c r="D480" s="14"/>
      <c r="E480" s="14"/>
      <c r="F480" s="14"/>
      <c r="G480" s="14"/>
    </row>
    <row r="481">
      <c r="B481" s="14"/>
      <c r="C481" s="14"/>
      <c r="D481" s="14"/>
      <c r="E481" s="14"/>
      <c r="F481" s="14"/>
      <c r="G481" s="14"/>
    </row>
    <row r="482">
      <c r="B482" s="14"/>
      <c r="C482" s="14"/>
      <c r="D482" s="14"/>
      <c r="E482" s="14"/>
      <c r="F482" s="14"/>
      <c r="G482" s="14"/>
    </row>
    <row r="483">
      <c r="B483" s="14"/>
      <c r="C483" s="14"/>
      <c r="D483" s="14"/>
      <c r="E483" s="14"/>
      <c r="F483" s="14"/>
      <c r="G483" s="14"/>
    </row>
    <row r="484">
      <c r="B484" s="14"/>
      <c r="C484" s="14"/>
      <c r="D484" s="14"/>
      <c r="E484" s="14"/>
      <c r="F484" s="14"/>
      <c r="G484" s="14"/>
    </row>
    <row r="485">
      <c r="B485" s="14"/>
      <c r="C485" s="14"/>
      <c r="D485" s="14"/>
      <c r="E485" s="14"/>
      <c r="F485" s="14"/>
      <c r="G485" s="14"/>
    </row>
    <row r="486">
      <c r="B486" s="14"/>
      <c r="C486" s="14"/>
      <c r="D486" s="14"/>
      <c r="E486" s="14"/>
      <c r="F486" s="14"/>
      <c r="G486" s="14"/>
    </row>
    <row r="487">
      <c r="B487" s="14"/>
      <c r="C487" s="14"/>
      <c r="D487" s="14"/>
      <c r="E487" s="14"/>
      <c r="F487" s="14"/>
      <c r="G487" s="14"/>
    </row>
    <row r="488">
      <c r="B488" s="14"/>
      <c r="C488" s="14"/>
      <c r="D488" s="14"/>
      <c r="E488" s="14"/>
      <c r="F488" s="14"/>
      <c r="G488" s="14"/>
    </row>
    <row r="489">
      <c r="B489" s="14"/>
      <c r="C489" s="14"/>
      <c r="D489" s="14"/>
      <c r="E489" s="14"/>
      <c r="F489" s="14"/>
      <c r="G489" s="14"/>
    </row>
    <row r="490">
      <c r="B490" s="14"/>
      <c r="C490" s="14"/>
      <c r="D490" s="14"/>
      <c r="E490" s="14"/>
      <c r="F490" s="14"/>
      <c r="G490" s="14"/>
    </row>
    <row r="491">
      <c r="B491" s="14"/>
      <c r="C491" s="14"/>
      <c r="D491" s="14"/>
      <c r="E491" s="14"/>
      <c r="F491" s="14"/>
      <c r="G491" s="14"/>
    </row>
    <row r="492">
      <c r="B492" s="14"/>
      <c r="C492" s="14"/>
      <c r="D492" s="14"/>
      <c r="E492" s="14"/>
      <c r="F492" s="14"/>
      <c r="G492" s="14"/>
    </row>
    <row r="493">
      <c r="B493" s="14"/>
      <c r="C493" s="14"/>
      <c r="D493" s="14"/>
      <c r="E493" s="14"/>
      <c r="F493" s="14"/>
      <c r="G493" s="14"/>
    </row>
    <row r="494">
      <c r="B494" s="14"/>
      <c r="C494" s="14"/>
      <c r="D494" s="14"/>
      <c r="E494" s="14"/>
      <c r="F494" s="14"/>
      <c r="G494" s="14"/>
    </row>
    <row r="495">
      <c r="B495" s="14"/>
      <c r="C495" s="14"/>
      <c r="D495" s="14"/>
      <c r="E495" s="14"/>
      <c r="F495" s="14"/>
      <c r="G495" s="14"/>
    </row>
    <row r="496">
      <c r="B496" s="14"/>
      <c r="C496" s="14"/>
      <c r="D496" s="14"/>
      <c r="E496" s="14"/>
      <c r="F496" s="14"/>
      <c r="G496" s="14"/>
    </row>
    <row r="497">
      <c r="B497" s="14"/>
      <c r="C497" s="14"/>
      <c r="D497" s="14"/>
      <c r="E497" s="14"/>
      <c r="F497" s="14"/>
      <c r="G497" s="14"/>
    </row>
    <row r="498">
      <c r="B498" s="14"/>
      <c r="C498" s="14"/>
      <c r="D498" s="14"/>
      <c r="E498" s="14"/>
      <c r="F498" s="14"/>
      <c r="G498" s="14"/>
    </row>
    <row r="499">
      <c r="B499" s="14"/>
      <c r="C499" s="14"/>
      <c r="D499" s="14"/>
      <c r="E499" s="14"/>
      <c r="F499" s="14"/>
      <c r="G499" s="14"/>
    </row>
    <row r="500">
      <c r="B500" s="14"/>
      <c r="C500" s="14"/>
      <c r="D500" s="14"/>
      <c r="E500" s="14"/>
      <c r="F500" s="14"/>
      <c r="G500" s="14"/>
    </row>
    <row r="501">
      <c r="B501" s="14"/>
      <c r="C501" s="14"/>
      <c r="D501" s="14"/>
      <c r="E501" s="14"/>
      <c r="F501" s="14"/>
      <c r="G501" s="14"/>
    </row>
    <row r="502">
      <c r="B502" s="14"/>
      <c r="C502" s="14"/>
      <c r="D502" s="14"/>
      <c r="E502" s="14"/>
      <c r="F502" s="14"/>
      <c r="G502" s="14"/>
    </row>
    <row r="503">
      <c r="B503" s="14"/>
      <c r="C503" s="14"/>
      <c r="D503" s="14"/>
      <c r="E503" s="14"/>
      <c r="F503" s="14"/>
      <c r="G503" s="14"/>
    </row>
    <row r="504">
      <c r="B504" s="14"/>
      <c r="C504" s="14"/>
      <c r="D504" s="14"/>
      <c r="E504" s="14"/>
      <c r="F504" s="14"/>
      <c r="G504" s="14"/>
    </row>
    <row r="505">
      <c r="B505" s="14"/>
      <c r="C505" s="14"/>
      <c r="D505" s="14"/>
      <c r="E505" s="14"/>
      <c r="F505" s="14"/>
      <c r="G505" s="14"/>
    </row>
    <row r="506">
      <c r="B506" s="14"/>
      <c r="C506" s="14"/>
      <c r="D506" s="14"/>
      <c r="E506" s="14"/>
      <c r="F506" s="14"/>
      <c r="G506" s="14"/>
    </row>
    <row r="507">
      <c r="B507" s="14"/>
      <c r="C507" s="14"/>
      <c r="D507" s="14"/>
      <c r="E507" s="14"/>
      <c r="F507" s="14"/>
      <c r="G507" s="14"/>
    </row>
    <row r="508">
      <c r="B508" s="14"/>
      <c r="C508" s="14"/>
      <c r="D508" s="14"/>
      <c r="E508" s="14"/>
      <c r="F508" s="14"/>
      <c r="G508" s="14"/>
    </row>
    <row r="509">
      <c r="B509" s="14"/>
      <c r="C509" s="14"/>
      <c r="D509" s="14"/>
      <c r="E509" s="14"/>
      <c r="F509" s="14"/>
      <c r="G509" s="14"/>
    </row>
    <row r="510">
      <c r="B510" s="14"/>
      <c r="C510" s="14"/>
      <c r="D510" s="14"/>
      <c r="E510" s="14"/>
      <c r="F510" s="14"/>
      <c r="G510" s="14"/>
    </row>
    <row r="511">
      <c r="B511" s="14"/>
      <c r="C511" s="14"/>
      <c r="D511" s="14"/>
      <c r="E511" s="14"/>
      <c r="F511" s="14"/>
      <c r="G511" s="14"/>
    </row>
    <row r="512">
      <c r="B512" s="14"/>
      <c r="C512" s="14"/>
      <c r="D512" s="14"/>
      <c r="E512" s="14"/>
      <c r="F512" s="14"/>
      <c r="G512" s="14"/>
    </row>
    <row r="513">
      <c r="B513" s="14"/>
      <c r="C513" s="14"/>
      <c r="D513" s="14"/>
      <c r="E513" s="14"/>
      <c r="F513" s="14"/>
      <c r="G513" s="14"/>
    </row>
    <row r="514">
      <c r="B514" s="14"/>
      <c r="C514" s="14"/>
      <c r="D514" s="14"/>
      <c r="E514" s="14"/>
      <c r="F514" s="14"/>
      <c r="G514" s="14"/>
    </row>
    <row r="515">
      <c r="B515" s="14"/>
      <c r="C515" s="14"/>
      <c r="D515" s="14"/>
      <c r="E515" s="14"/>
      <c r="F515" s="14"/>
      <c r="G515" s="14"/>
    </row>
    <row r="516">
      <c r="B516" s="14"/>
      <c r="C516" s="14"/>
      <c r="D516" s="14"/>
      <c r="E516" s="14"/>
      <c r="F516" s="14"/>
      <c r="G516" s="14"/>
    </row>
    <row r="517">
      <c r="B517" s="14"/>
      <c r="C517" s="14"/>
      <c r="D517" s="14"/>
      <c r="E517" s="14"/>
      <c r="F517" s="14"/>
      <c r="G517" s="14"/>
    </row>
    <row r="518">
      <c r="B518" s="14"/>
      <c r="C518" s="14"/>
      <c r="D518" s="14"/>
      <c r="E518" s="14"/>
      <c r="F518" s="14"/>
      <c r="G518" s="14"/>
    </row>
    <row r="519">
      <c r="B519" s="14"/>
      <c r="C519" s="14"/>
      <c r="D519" s="14"/>
      <c r="E519" s="14"/>
      <c r="F519" s="14"/>
      <c r="G519" s="14"/>
    </row>
    <row r="520">
      <c r="B520" s="14"/>
      <c r="C520" s="14"/>
      <c r="D520" s="14"/>
      <c r="E520" s="14"/>
      <c r="F520" s="14"/>
      <c r="G520" s="14"/>
    </row>
    <row r="521">
      <c r="B521" s="14"/>
      <c r="C521" s="14"/>
      <c r="D521" s="14"/>
      <c r="E521" s="14"/>
      <c r="F521" s="14"/>
      <c r="G521" s="14"/>
    </row>
    <row r="522">
      <c r="B522" s="14"/>
      <c r="C522" s="14"/>
      <c r="D522" s="14"/>
      <c r="E522" s="14"/>
      <c r="F522" s="14"/>
      <c r="G522" s="14"/>
    </row>
    <row r="523">
      <c r="B523" s="14"/>
      <c r="C523" s="14"/>
      <c r="D523" s="14"/>
      <c r="E523" s="14"/>
      <c r="F523" s="14"/>
      <c r="G523" s="14"/>
    </row>
    <row r="524">
      <c r="B524" s="14"/>
      <c r="C524" s="14"/>
      <c r="D524" s="14"/>
      <c r="E524" s="14"/>
      <c r="F524" s="14"/>
      <c r="G524" s="14"/>
    </row>
    <row r="525">
      <c r="B525" s="14"/>
      <c r="C525" s="14"/>
      <c r="D525" s="14"/>
      <c r="E525" s="14"/>
      <c r="F525" s="14"/>
      <c r="G525" s="14"/>
    </row>
    <row r="526">
      <c r="B526" s="14"/>
      <c r="C526" s="14"/>
      <c r="D526" s="14"/>
      <c r="E526" s="14"/>
      <c r="F526" s="14"/>
      <c r="G526" s="14"/>
    </row>
    <row r="527">
      <c r="B527" s="14"/>
      <c r="C527" s="14"/>
      <c r="D527" s="14"/>
      <c r="E527" s="14"/>
      <c r="F527" s="14"/>
      <c r="G527" s="14"/>
    </row>
    <row r="528">
      <c r="B528" s="14"/>
      <c r="C528" s="14"/>
      <c r="D528" s="14"/>
      <c r="E528" s="14"/>
      <c r="F528" s="14"/>
      <c r="G528" s="14"/>
    </row>
    <row r="529">
      <c r="B529" s="14"/>
      <c r="C529" s="14"/>
      <c r="D529" s="14"/>
      <c r="E529" s="14"/>
      <c r="F529" s="14"/>
      <c r="G529" s="14"/>
    </row>
    <row r="530">
      <c r="B530" s="14"/>
      <c r="C530" s="14"/>
      <c r="D530" s="14"/>
      <c r="E530" s="14"/>
      <c r="F530" s="14"/>
      <c r="G530" s="14"/>
    </row>
    <row r="531">
      <c r="B531" s="14"/>
      <c r="C531" s="14"/>
      <c r="D531" s="14"/>
      <c r="E531" s="14"/>
      <c r="F531" s="14"/>
      <c r="G531" s="14"/>
    </row>
    <row r="532">
      <c r="B532" s="14"/>
      <c r="C532" s="14"/>
      <c r="D532" s="14"/>
      <c r="E532" s="14"/>
      <c r="F532" s="14"/>
      <c r="G532" s="14"/>
    </row>
    <row r="533">
      <c r="B533" s="14"/>
      <c r="C533" s="14"/>
      <c r="D533" s="14"/>
      <c r="E533" s="14"/>
      <c r="F533" s="14"/>
      <c r="G533" s="14"/>
    </row>
    <row r="534">
      <c r="B534" s="14"/>
      <c r="C534" s="14"/>
      <c r="D534" s="14"/>
      <c r="E534" s="14"/>
      <c r="F534" s="14"/>
      <c r="G534" s="14"/>
    </row>
    <row r="535">
      <c r="B535" s="14"/>
      <c r="C535" s="14"/>
      <c r="D535" s="14"/>
      <c r="E535" s="14"/>
      <c r="F535" s="14"/>
      <c r="G535" s="14"/>
    </row>
    <row r="536">
      <c r="B536" s="14"/>
      <c r="C536" s="14"/>
      <c r="D536" s="14"/>
      <c r="E536" s="14"/>
      <c r="F536" s="14"/>
      <c r="G536" s="14"/>
    </row>
    <row r="537">
      <c r="B537" s="14"/>
      <c r="C537" s="14"/>
      <c r="D537" s="14"/>
      <c r="E537" s="14"/>
      <c r="F537" s="14"/>
      <c r="G537" s="14"/>
    </row>
    <row r="538">
      <c r="B538" s="14"/>
      <c r="C538" s="14"/>
      <c r="D538" s="14"/>
      <c r="E538" s="14"/>
      <c r="F538" s="14"/>
      <c r="G538" s="14"/>
    </row>
    <row r="539">
      <c r="B539" s="14"/>
      <c r="C539" s="14"/>
      <c r="D539" s="14"/>
      <c r="E539" s="14"/>
      <c r="F539" s="14"/>
      <c r="G539" s="14"/>
    </row>
    <row r="540">
      <c r="B540" s="14"/>
      <c r="C540" s="14"/>
      <c r="D540" s="14"/>
      <c r="E540" s="14"/>
      <c r="F540" s="14"/>
      <c r="G540" s="14"/>
    </row>
    <row r="541">
      <c r="B541" s="14"/>
      <c r="C541" s="14"/>
      <c r="D541" s="14"/>
      <c r="E541" s="14"/>
      <c r="F541" s="14"/>
      <c r="G541" s="14"/>
    </row>
    <row r="542">
      <c r="B542" s="14"/>
      <c r="C542" s="14"/>
      <c r="D542" s="14"/>
      <c r="E542" s="14"/>
      <c r="F542" s="14"/>
      <c r="G542" s="14"/>
    </row>
    <row r="543">
      <c r="B543" s="14"/>
      <c r="C543" s="14"/>
      <c r="D543" s="14"/>
      <c r="E543" s="14"/>
      <c r="F543" s="14"/>
      <c r="G543" s="14"/>
    </row>
    <row r="544">
      <c r="B544" s="14"/>
      <c r="C544" s="14"/>
      <c r="D544" s="14"/>
      <c r="E544" s="14"/>
      <c r="F544" s="14"/>
      <c r="G544" s="14"/>
    </row>
    <row r="545">
      <c r="B545" s="14"/>
      <c r="C545" s="14"/>
      <c r="D545" s="14"/>
      <c r="E545" s="14"/>
      <c r="F545" s="14"/>
      <c r="G545" s="14"/>
    </row>
    <row r="546">
      <c r="B546" s="14"/>
      <c r="C546" s="14"/>
      <c r="D546" s="14"/>
      <c r="E546" s="14"/>
      <c r="F546" s="14"/>
      <c r="G546" s="14"/>
    </row>
    <row r="547">
      <c r="B547" s="14"/>
      <c r="C547" s="14"/>
      <c r="D547" s="14"/>
      <c r="E547" s="14"/>
      <c r="F547" s="14"/>
      <c r="G547" s="14"/>
    </row>
    <row r="548">
      <c r="B548" s="14"/>
      <c r="C548" s="14"/>
      <c r="D548" s="14"/>
      <c r="E548" s="14"/>
      <c r="F548" s="14"/>
      <c r="G548" s="14"/>
    </row>
    <row r="549">
      <c r="B549" s="14"/>
      <c r="C549" s="14"/>
      <c r="D549" s="14"/>
      <c r="E549" s="14"/>
      <c r="F549" s="14"/>
      <c r="G549" s="14"/>
    </row>
    <row r="550">
      <c r="B550" s="14"/>
      <c r="C550" s="14"/>
      <c r="D550" s="14"/>
      <c r="E550" s="14"/>
      <c r="F550" s="14"/>
      <c r="G550" s="14"/>
    </row>
    <row r="551">
      <c r="B551" s="14"/>
      <c r="C551" s="14"/>
      <c r="D551" s="14"/>
      <c r="E551" s="14"/>
      <c r="F551" s="14"/>
      <c r="G551" s="14"/>
    </row>
    <row r="552">
      <c r="B552" s="14"/>
      <c r="C552" s="14"/>
      <c r="D552" s="14"/>
      <c r="E552" s="14"/>
      <c r="F552" s="14"/>
      <c r="G552" s="14"/>
    </row>
    <row r="553">
      <c r="B553" s="14"/>
      <c r="C553" s="14"/>
      <c r="D553" s="14"/>
      <c r="E553" s="14"/>
      <c r="F553" s="14"/>
      <c r="G553" s="14"/>
    </row>
    <row r="554">
      <c r="B554" s="14"/>
      <c r="C554" s="14"/>
      <c r="D554" s="14"/>
      <c r="E554" s="14"/>
      <c r="F554" s="14"/>
      <c r="G554" s="14"/>
    </row>
    <row r="555">
      <c r="B555" s="14"/>
      <c r="C555" s="14"/>
      <c r="D555" s="14"/>
      <c r="E555" s="14"/>
      <c r="F555" s="14"/>
      <c r="G555" s="14"/>
    </row>
    <row r="556">
      <c r="B556" s="14"/>
      <c r="C556" s="14"/>
      <c r="D556" s="14"/>
      <c r="E556" s="14"/>
      <c r="F556" s="14"/>
      <c r="G556" s="14"/>
    </row>
    <row r="557">
      <c r="B557" s="14"/>
      <c r="C557" s="14"/>
      <c r="D557" s="14"/>
      <c r="E557" s="14"/>
      <c r="F557" s="14"/>
      <c r="G557" s="14"/>
    </row>
    <row r="558">
      <c r="B558" s="14"/>
      <c r="C558" s="14"/>
      <c r="D558" s="14"/>
      <c r="E558" s="14"/>
      <c r="F558" s="14"/>
      <c r="G558" s="14"/>
    </row>
    <row r="559">
      <c r="B559" s="14"/>
      <c r="C559" s="14"/>
      <c r="D559" s="14"/>
      <c r="E559" s="14"/>
      <c r="F559" s="14"/>
      <c r="G559" s="14"/>
    </row>
    <row r="560">
      <c r="B560" s="14"/>
      <c r="C560" s="14"/>
      <c r="D560" s="14"/>
      <c r="E560" s="14"/>
      <c r="F560" s="14"/>
      <c r="G560" s="14"/>
    </row>
    <row r="561">
      <c r="B561" s="14"/>
      <c r="C561" s="14"/>
      <c r="D561" s="14"/>
      <c r="E561" s="14"/>
      <c r="F561" s="14"/>
      <c r="G561" s="14"/>
    </row>
    <row r="562">
      <c r="B562" s="14"/>
      <c r="C562" s="14"/>
      <c r="D562" s="14"/>
      <c r="E562" s="14"/>
      <c r="F562" s="14"/>
      <c r="G562" s="14"/>
    </row>
    <row r="563">
      <c r="B563" s="14"/>
      <c r="C563" s="14"/>
      <c r="D563" s="14"/>
      <c r="E563" s="14"/>
      <c r="F563" s="14"/>
      <c r="G563" s="14"/>
    </row>
    <row r="564">
      <c r="B564" s="14"/>
      <c r="C564" s="14"/>
      <c r="D564" s="14"/>
      <c r="E564" s="14"/>
      <c r="F564" s="14"/>
      <c r="G564" s="14"/>
    </row>
    <row r="565">
      <c r="B565" s="14"/>
      <c r="C565" s="14"/>
      <c r="D565" s="14"/>
      <c r="E565" s="14"/>
      <c r="F565" s="14"/>
      <c r="G565" s="14"/>
    </row>
    <row r="566">
      <c r="B566" s="14"/>
      <c r="C566" s="14"/>
      <c r="D566" s="14"/>
      <c r="E566" s="14"/>
      <c r="F566" s="14"/>
      <c r="G566" s="14"/>
    </row>
    <row r="567">
      <c r="B567" s="14"/>
      <c r="C567" s="14"/>
      <c r="D567" s="14"/>
      <c r="E567" s="14"/>
      <c r="F567" s="14"/>
      <c r="G567" s="14"/>
    </row>
    <row r="568">
      <c r="B568" s="14"/>
      <c r="C568" s="14"/>
      <c r="D568" s="14"/>
      <c r="E568" s="14"/>
      <c r="F568" s="14"/>
      <c r="G568" s="14"/>
    </row>
    <row r="569">
      <c r="B569" s="14"/>
      <c r="C569" s="14"/>
      <c r="D569" s="14"/>
      <c r="E569" s="14"/>
      <c r="F569" s="14"/>
      <c r="G569" s="14"/>
    </row>
    <row r="570">
      <c r="B570" s="14"/>
      <c r="C570" s="14"/>
      <c r="D570" s="14"/>
      <c r="E570" s="14"/>
      <c r="F570" s="14"/>
      <c r="G570" s="14"/>
    </row>
    <row r="571">
      <c r="B571" s="14"/>
      <c r="C571" s="14"/>
      <c r="D571" s="14"/>
      <c r="E571" s="14"/>
      <c r="F571" s="14"/>
      <c r="G571" s="14"/>
    </row>
    <row r="572">
      <c r="B572" s="14"/>
      <c r="C572" s="14"/>
      <c r="D572" s="14"/>
      <c r="E572" s="14"/>
      <c r="F572" s="14"/>
      <c r="G572" s="14"/>
    </row>
    <row r="573">
      <c r="B573" s="14"/>
      <c r="C573" s="14"/>
      <c r="D573" s="14"/>
      <c r="E573" s="14"/>
      <c r="F573" s="14"/>
      <c r="G573" s="14"/>
    </row>
    <row r="574">
      <c r="B574" s="14"/>
      <c r="C574" s="14"/>
      <c r="D574" s="14"/>
      <c r="E574" s="14"/>
      <c r="F574" s="14"/>
      <c r="G574" s="14"/>
    </row>
    <row r="575">
      <c r="B575" s="14"/>
      <c r="C575" s="14"/>
      <c r="D575" s="14"/>
      <c r="E575" s="14"/>
      <c r="F575" s="14"/>
      <c r="G575" s="14"/>
    </row>
    <row r="576">
      <c r="B576" s="14"/>
      <c r="C576" s="14"/>
      <c r="D576" s="14"/>
      <c r="E576" s="14"/>
      <c r="F576" s="14"/>
      <c r="G576" s="14"/>
    </row>
    <row r="577">
      <c r="B577" s="14"/>
      <c r="C577" s="14"/>
      <c r="D577" s="14"/>
      <c r="E577" s="14"/>
      <c r="F577" s="14"/>
      <c r="G577" s="14"/>
    </row>
    <row r="578">
      <c r="B578" s="14"/>
      <c r="C578" s="14"/>
      <c r="D578" s="14"/>
      <c r="E578" s="14"/>
      <c r="F578" s="14"/>
      <c r="G578" s="14"/>
    </row>
    <row r="579">
      <c r="B579" s="14"/>
      <c r="C579" s="14"/>
      <c r="D579" s="14"/>
      <c r="E579" s="14"/>
      <c r="F579" s="14"/>
      <c r="G579" s="14"/>
    </row>
    <row r="580">
      <c r="B580" s="14"/>
      <c r="C580" s="14"/>
      <c r="D580" s="14"/>
      <c r="E580" s="14"/>
      <c r="F580" s="14"/>
      <c r="G580" s="14"/>
    </row>
    <row r="581">
      <c r="B581" s="14"/>
      <c r="C581" s="14"/>
      <c r="D581" s="14"/>
      <c r="E581" s="14"/>
      <c r="F581" s="14"/>
      <c r="G581" s="14"/>
    </row>
    <row r="582">
      <c r="B582" s="14"/>
      <c r="C582" s="14"/>
      <c r="D582" s="14"/>
      <c r="E582" s="14"/>
      <c r="F582" s="14"/>
      <c r="G582" s="14"/>
    </row>
    <row r="583">
      <c r="B583" s="14"/>
      <c r="C583" s="14"/>
      <c r="D583" s="14"/>
      <c r="E583" s="14"/>
      <c r="F583" s="14"/>
      <c r="G583" s="14"/>
    </row>
    <row r="584">
      <c r="B584" s="14"/>
      <c r="C584" s="14"/>
      <c r="D584" s="14"/>
      <c r="E584" s="14"/>
      <c r="F584" s="14"/>
      <c r="G584" s="14"/>
    </row>
    <row r="585">
      <c r="B585" s="14"/>
      <c r="C585" s="14"/>
      <c r="D585" s="14"/>
      <c r="E585" s="14"/>
      <c r="F585" s="14"/>
      <c r="G585" s="14"/>
    </row>
    <row r="586">
      <c r="B586" s="14"/>
      <c r="C586" s="14"/>
      <c r="D586" s="14"/>
      <c r="E586" s="14"/>
      <c r="F586" s="14"/>
      <c r="G586" s="14"/>
    </row>
    <row r="587">
      <c r="B587" s="14"/>
      <c r="C587" s="14"/>
      <c r="D587" s="14"/>
      <c r="E587" s="14"/>
      <c r="F587" s="14"/>
      <c r="G587" s="14"/>
    </row>
    <row r="588">
      <c r="B588" s="14"/>
      <c r="C588" s="14"/>
      <c r="D588" s="14"/>
      <c r="E588" s="14"/>
      <c r="F588" s="14"/>
      <c r="G588" s="14"/>
    </row>
    <row r="589">
      <c r="B589" s="14"/>
      <c r="C589" s="14"/>
      <c r="D589" s="14"/>
      <c r="E589" s="14"/>
      <c r="F589" s="14"/>
      <c r="G589" s="14"/>
    </row>
    <row r="590">
      <c r="B590" s="14"/>
      <c r="C590" s="14"/>
      <c r="D590" s="14"/>
      <c r="E590" s="14"/>
      <c r="F590" s="14"/>
      <c r="G590" s="14"/>
    </row>
    <row r="591">
      <c r="B591" s="14"/>
      <c r="C591" s="14"/>
      <c r="D591" s="14"/>
      <c r="E591" s="14"/>
      <c r="F591" s="14"/>
      <c r="G591" s="14"/>
    </row>
    <row r="592">
      <c r="B592" s="14"/>
      <c r="C592" s="14"/>
      <c r="D592" s="14"/>
      <c r="E592" s="14"/>
      <c r="F592" s="14"/>
      <c r="G592" s="14"/>
    </row>
    <row r="593">
      <c r="B593" s="14"/>
      <c r="C593" s="14"/>
      <c r="D593" s="14"/>
      <c r="E593" s="14"/>
      <c r="F593" s="14"/>
      <c r="G593" s="14"/>
    </row>
    <row r="594">
      <c r="B594" s="14"/>
      <c r="C594" s="14"/>
      <c r="D594" s="14"/>
      <c r="E594" s="14"/>
      <c r="F594" s="14"/>
      <c r="G594" s="14"/>
    </row>
    <row r="595">
      <c r="B595" s="14"/>
      <c r="C595" s="14"/>
      <c r="D595" s="14"/>
      <c r="E595" s="14"/>
      <c r="F595" s="14"/>
      <c r="G595" s="14"/>
    </row>
    <row r="596">
      <c r="B596" s="14"/>
      <c r="C596" s="14"/>
      <c r="D596" s="14"/>
      <c r="E596" s="14"/>
      <c r="F596" s="14"/>
      <c r="G596" s="14"/>
    </row>
    <row r="597">
      <c r="B597" s="14"/>
      <c r="C597" s="14"/>
      <c r="D597" s="14"/>
      <c r="E597" s="14"/>
      <c r="F597" s="14"/>
      <c r="G597" s="14"/>
    </row>
    <row r="598">
      <c r="B598" s="14"/>
      <c r="C598" s="14"/>
      <c r="D598" s="14"/>
      <c r="E598" s="14"/>
      <c r="F598" s="14"/>
      <c r="G598" s="14"/>
    </row>
    <row r="599">
      <c r="B599" s="14"/>
      <c r="C599" s="14"/>
      <c r="D599" s="14"/>
      <c r="E599" s="14"/>
      <c r="F599" s="14"/>
      <c r="G599" s="14"/>
    </row>
    <row r="600">
      <c r="B600" s="14"/>
      <c r="C600" s="14"/>
      <c r="D600" s="14"/>
      <c r="E600" s="14"/>
      <c r="F600" s="14"/>
      <c r="G600" s="14"/>
    </row>
    <row r="601">
      <c r="B601" s="14"/>
      <c r="C601" s="14"/>
      <c r="D601" s="14"/>
      <c r="E601" s="14"/>
      <c r="F601" s="14"/>
      <c r="G601" s="14"/>
    </row>
    <row r="602">
      <c r="B602" s="14"/>
      <c r="C602" s="14"/>
      <c r="D602" s="14"/>
      <c r="E602" s="14"/>
      <c r="F602" s="14"/>
      <c r="G602" s="14"/>
    </row>
    <row r="603">
      <c r="B603" s="14"/>
      <c r="C603" s="14"/>
      <c r="D603" s="14"/>
      <c r="E603" s="14"/>
      <c r="F603" s="14"/>
      <c r="G603" s="14"/>
    </row>
    <row r="604">
      <c r="B604" s="14"/>
      <c r="C604" s="14"/>
      <c r="D604" s="14"/>
      <c r="E604" s="14"/>
      <c r="F604" s="14"/>
      <c r="G604" s="14"/>
    </row>
    <row r="605">
      <c r="B605" s="14"/>
      <c r="C605" s="14"/>
      <c r="D605" s="14"/>
      <c r="E605" s="14"/>
      <c r="F605" s="14"/>
      <c r="G605" s="14"/>
    </row>
    <row r="606">
      <c r="B606" s="14"/>
      <c r="C606" s="14"/>
      <c r="D606" s="14"/>
      <c r="E606" s="14"/>
      <c r="F606" s="14"/>
      <c r="G606" s="14"/>
    </row>
    <row r="607">
      <c r="B607" s="14"/>
      <c r="C607" s="14"/>
      <c r="D607" s="14"/>
      <c r="E607" s="14"/>
      <c r="F607" s="14"/>
      <c r="G607" s="14"/>
    </row>
    <row r="608">
      <c r="B608" s="14"/>
      <c r="C608" s="14"/>
      <c r="D608" s="14"/>
      <c r="E608" s="14"/>
      <c r="F608" s="14"/>
      <c r="G608" s="14"/>
    </row>
    <row r="609">
      <c r="B609" s="14"/>
      <c r="C609" s="14"/>
      <c r="D609" s="14"/>
      <c r="E609" s="14"/>
      <c r="F609" s="14"/>
      <c r="G609" s="14"/>
    </row>
    <row r="610">
      <c r="B610" s="14"/>
      <c r="C610" s="14"/>
      <c r="D610" s="14"/>
      <c r="E610" s="14"/>
      <c r="F610" s="14"/>
      <c r="G610" s="14"/>
    </row>
    <row r="611">
      <c r="B611" s="14"/>
      <c r="C611" s="14"/>
      <c r="D611" s="14"/>
      <c r="E611" s="14"/>
      <c r="F611" s="14"/>
      <c r="G611" s="14"/>
    </row>
    <row r="612">
      <c r="B612" s="14"/>
      <c r="C612" s="14"/>
      <c r="D612" s="14"/>
      <c r="E612" s="14"/>
      <c r="F612" s="14"/>
      <c r="G612" s="14"/>
    </row>
    <row r="613">
      <c r="B613" s="14"/>
      <c r="C613" s="14"/>
      <c r="D613" s="14"/>
      <c r="E613" s="14"/>
      <c r="F613" s="14"/>
      <c r="G613" s="14"/>
    </row>
    <row r="614">
      <c r="B614" s="14"/>
      <c r="C614" s="14"/>
      <c r="D614" s="14"/>
      <c r="E614" s="14"/>
      <c r="F614" s="14"/>
      <c r="G614" s="14"/>
    </row>
    <row r="615">
      <c r="B615" s="14"/>
      <c r="C615" s="14"/>
      <c r="D615" s="14"/>
      <c r="E615" s="14"/>
      <c r="F615" s="14"/>
      <c r="G615" s="14"/>
    </row>
    <row r="616">
      <c r="B616" s="14"/>
      <c r="C616" s="14"/>
      <c r="D616" s="14"/>
      <c r="E616" s="14"/>
      <c r="F616" s="14"/>
      <c r="G616" s="14"/>
    </row>
    <row r="617">
      <c r="B617" s="14"/>
      <c r="C617" s="14"/>
      <c r="D617" s="14"/>
      <c r="E617" s="14"/>
      <c r="F617" s="14"/>
      <c r="G617" s="14"/>
    </row>
    <row r="618">
      <c r="B618" s="14"/>
      <c r="C618" s="14"/>
      <c r="D618" s="14"/>
      <c r="E618" s="14"/>
      <c r="F618" s="14"/>
      <c r="G618" s="14"/>
    </row>
    <row r="619">
      <c r="B619" s="14"/>
      <c r="C619" s="14"/>
      <c r="D619" s="14"/>
      <c r="E619" s="14"/>
      <c r="F619" s="14"/>
      <c r="G619" s="14"/>
    </row>
    <row r="620">
      <c r="B620" s="14"/>
      <c r="C620" s="14"/>
      <c r="D620" s="14"/>
      <c r="E620" s="14"/>
      <c r="F620" s="14"/>
      <c r="G620" s="14"/>
    </row>
    <row r="621">
      <c r="B621" s="14"/>
      <c r="C621" s="14"/>
      <c r="D621" s="14"/>
      <c r="E621" s="14"/>
      <c r="F621" s="14"/>
      <c r="G621" s="14"/>
    </row>
    <row r="622">
      <c r="B622" s="14"/>
      <c r="C622" s="14"/>
      <c r="D622" s="14"/>
      <c r="E622" s="14"/>
      <c r="F622" s="14"/>
      <c r="G622" s="14"/>
    </row>
    <row r="623">
      <c r="B623" s="14"/>
      <c r="C623" s="14"/>
      <c r="D623" s="14"/>
      <c r="E623" s="14"/>
      <c r="F623" s="14"/>
      <c r="G623" s="14"/>
    </row>
    <row r="624">
      <c r="B624" s="14"/>
      <c r="C624" s="14"/>
      <c r="D624" s="14"/>
      <c r="E624" s="14"/>
      <c r="F624" s="14"/>
      <c r="G624" s="14"/>
    </row>
    <row r="625">
      <c r="B625" s="14"/>
      <c r="C625" s="14"/>
      <c r="D625" s="14"/>
      <c r="E625" s="14"/>
      <c r="F625" s="14"/>
      <c r="G625" s="14"/>
    </row>
    <row r="626">
      <c r="B626" s="14"/>
      <c r="C626" s="14"/>
      <c r="D626" s="14"/>
      <c r="E626" s="14"/>
      <c r="F626" s="14"/>
      <c r="G626" s="14"/>
    </row>
    <row r="627">
      <c r="B627" s="14"/>
      <c r="C627" s="14"/>
      <c r="D627" s="14"/>
      <c r="E627" s="14"/>
      <c r="F627" s="14"/>
      <c r="G627" s="14"/>
    </row>
    <row r="628">
      <c r="B628" s="14"/>
      <c r="C628" s="14"/>
      <c r="D628" s="14"/>
      <c r="E628" s="14"/>
      <c r="F628" s="14"/>
      <c r="G628" s="14"/>
    </row>
    <row r="629">
      <c r="B629" s="14"/>
      <c r="C629" s="14"/>
      <c r="D629" s="14"/>
      <c r="E629" s="14"/>
      <c r="F629" s="14"/>
      <c r="G629" s="14"/>
    </row>
    <row r="630">
      <c r="B630" s="14"/>
      <c r="C630" s="14"/>
      <c r="D630" s="14"/>
      <c r="E630" s="14"/>
      <c r="F630" s="14"/>
      <c r="G630" s="14"/>
    </row>
    <row r="631">
      <c r="B631" s="14"/>
      <c r="C631" s="14"/>
      <c r="D631" s="14"/>
      <c r="E631" s="14"/>
      <c r="F631" s="14"/>
      <c r="G631" s="14"/>
    </row>
    <row r="632">
      <c r="B632" s="14"/>
      <c r="C632" s="14"/>
      <c r="D632" s="14"/>
      <c r="E632" s="14"/>
      <c r="F632" s="14"/>
      <c r="G632" s="14"/>
    </row>
    <row r="633">
      <c r="B633" s="14"/>
      <c r="C633" s="14"/>
      <c r="D633" s="14"/>
      <c r="E633" s="14"/>
      <c r="F633" s="14"/>
      <c r="G633" s="14"/>
    </row>
    <row r="634">
      <c r="B634" s="14"/>
      <c r="C634" s="14"/>
      <c r="D634" s="14"/>
      <c r="E634" s="14"/>
      <c r="F634" s="14"/>
      <c r="G634" s="14"/>
    </row>
    <row r="635">
      <c r="B635" s="14"/>
      <c r="C635" s="14"/>
      <c r="D635" s="14"/>
      <c r="E635" s="14"/>
      <c r="F635" s="14"/>
      <c r="G635" s="14"/>
    </row>
    <row r="636">
      <c r="B636" s="14"/>
      <c r="C636" s="14"/>
      <c r="D636" s="14"/>
      <c r="E636" s="14"/>
      <c r="F636" s="14"/>
      <c r="G636" s="14"/>
    </row>
    <row r="637">
      <c r="B637" s="14"/>
      <c r="C637" s="14"/>
      <c r="D637" s="14"/>
      <c r="E637" s="14"/>
      <c r="F637" s="14"/>
      <c r="G637" s="14"/>
    </row>
    <row r="638">
      <c r="B638" s="14"/>
      <c r="C638" s="14"/>
      <c r="D638" s="14"/>
      <c r="E638" s="14"/>
      <c r="F638" s="14"/>
      <c r="G638" s="14"/>
    </row>
    <row r="639">
      <c r="B639" s="14"/>
      <c r="C639" s="14"/>
      <c r="D639" s="14"/>
      <c r="E639" s="14"/>
      <c r="F639" s="14"/>
      <c r="G639" s="14"/>
    </row>
    <row r="640">
      <c r="B640" s="14"/>
      <c r="C640" s="14"/>
      <c r="D640" s="14"/>
      <c r="E640" s="14"/>
      <c r="F640" s="14"/>
      <c r="G640" s="14"/>
    </row>
    <row r="641">
      <c r="B641" s="14"/>
      <c r="C641" s="14"/>
      <c r="D641" s="14"/>
      <c r="E641" s="14"/>
      <c r="F641" s="14"/>
      <c r="G641" s="14"/>
    </row>
    <row r="642">
      <c r="B642" s="14"/>
      <c r="C642" s="14"/>
      <c r="D642" s="14"/>
      <c r="E642" s="14"/>
      <c r="F642" s="14"/>
      <c r="G642" s="14"/>
    </row>
    <row r="643">
      <c r="B643" s="14"/>
      <c r="C643" s="14"/>
      <c r="D643" s="14"/>
      <c r="E643" s="14"/>
      <c r="F643" s="14"/>
      <c r="G643" s="14"/>
    </row>
    <row r="644">
      <c r="B644" s="14"/>
      <c r="C644" s="14"/>
      <c r="D644" s="14"/>
      <c r="E644" s="14"/>
      <c r="F644" s="14"/>
      <c r="G644" s="14"/>
    </row>
    <row r="645">
      <c r="B645" s="14"/>
      <c r="C645" s="14"/>
      <c r="D645" s="14"/>
      <c r="E645" s="14"/>
      <c r="F645" s="14"/>
      <c r="G645" s="14"/>
    </row>
    <row r="646">
      <c r="B646" s="14"/>
      <c r="C646" s="14"/>
      <c r="D646" s="14"/>
      <c r="E646" s="14"/>
      <c r="F646" s="14"/>
      <c r="G646" s="14"/>
    </row>
    <row r="647">
      <c r="B647" s="14"/>
      <c r="C647" s="14"/>
      <c r="D647" s="14"/>
      <c r="E647" s="14"/>
      <c r="F647" s="14"/>
      <c r="G647" s="14"/>
    </row>
    <row r="648">
      <c r="B648" s="14"/>
      <c r="C648" s="14"/>
      <c r="D648" s="14"/>
      <c r="E648" s="14"/>
      <c r="F648" s="14"/>
      <c r="G648" s="14"/>
    </row>
    <row r="649">
      <c r="B649" s="14"/>
      <c r="C649" s="14"/>
      <c r="D649" s="14"/>
      <c r="E649" s="14"/>
      <c r="F649" s="14"/>
      <c r="G649" s="14"/>
    </row>
    <row r="650">
      <c r="B650" s="14"/>
      <c r="C650" s="14"/>
      <c r="D650" s="14"/>
      <c r="E650" s="14"/>
      <c r="F650" s="14"/>
      <c r="G650" s="14"/>
    </row>
    <row r="651">
      <c r="B651" s="14"/>
      <c r="C651" s="14"/>
      <c r="D651" s="14"/>
      <c r="E651" s="14"/>
      <c r="F651" s="14"/>
      <c r="G651" s="14"/>
    </row>
    <row r="652">
      <c r="B652" s="14"/>
      <c r="C652" s="14"/>
      <c r="D652" s="14"/>
      <c r="E652" s="14"/>
      <c r="F652" s="14"/>
      <c r="G652" s="14"/>
    </row>
    <row r="653">
      <c r="B653" s="14"/>
      <c r="C653" s="14"/>
      <c r="D653" s="14"/>
      <c r="E653" s="14"/>
      <c r="F653" s="14"/>
      <c r="G653" s="14"/>
    </row>
    <row r="654">
      <c r="B654" s="14"/>
      <c r="C654" s="14"/>
      <c r="D654" s="14"/>
      <c r="E654" s="14"/>
      <c r="F654" s="14"/>
      <c r="G654" s="14"/>
    </row>
    <row r="655">
      <c r="B655" s="14"/>
      <c r="C655" s="14"/>
      <c r="D655" s="14"/>
      <c r="E655" s="14"/>
      <c r="F655" s="14"/>
      <c r="G655" s="14"/>
    </row>
    <row r="656">
      <c r="B656" s="14"/>
      <c r="C656" s="14"/>
      <c r="D656" s="14"/>
      <c r="E656" s="14"/>
      <c r="F656" s="14"/>
      <c r="G656" s="14"/>
    </row>
    <row r="657">
      <c r="B657" s="14"/>
      <c r="C657" s="14"/>
      <c r="D657" s="14"/>
      <c r="E657" s="14"/>
      <c r="F657" s="14"/>
      <c r="G657" s="14"/>
    </row>
    <row r="658">
      <c r="B658" s="14"/>
      <c r="C658" s="14"/>
      <c r="D658" s="14"/>
      <c r="E658" s="14"/>
      <c r="F658" s="14"/>
      <c r="G658" s="14"/>
    </row>
    <row r="659">
      <c r="B659" s="14"/>
      <c r="C659" s="14"/>
      <c r="D659" s="14"/>
      <c r="E659" s="14"/>
      <c r="F659" s="14"/>
      <c r="G659" s="14"/>
    </row>
    <row r="660">
      <c r="B660" s="14"/>
      <c r="C660" s="14"/>
      <c r="D660" s="14"/>
      <c r="E660" s="14"/>
      <c r="F660" s="14"/>
      <c r="G660" s="14"/>
    </row>
    <row r="661">
      <c r="B661" s="14"/>
      <c r="C661" s="14"/>
      <c r="D661" s="14"/>
      <c r="E661" s="14"/>
      <c r="F661" s="14"/>
      <c r="G661" s="14"/>
    </row>
    <row r="662">
      <c r="B662" s="14"/>
      <c r="C662" s="14"/>
      <c r="D662" s="14"/>
      <c r="E662" s="14"/>
      <c r="F662" s="14"/>
      <c r="G662" s="14"/>
    </row>
    <row r="663">
      <c r="B663" s="14"/>
      <c r="C663" s="14"/>
      <c r="D663" s="14"/>
      <c r="E663" s="14"/>
      <c r="F663" s="14"/>
      <c r="G663" s="14"/>
    </row>
    <row r="664">
      <c r="B664" s="14"/>
      <c r="C664" s="14"/>
      <c r="D664" s="14"/>
      <c r="E664" s="14"/>
      <c r="F664" s="14"/>
      <c r="G664" s="14"/>
    </row>
    <row r="665">
      <c r="B665" s="14"/>
      <c r="C665" s="14"/>
      <c r="D665" s="14"/>
      <c r="E665" s="14"/>
      <c r="F665" s="14"/>
      <c r="G665" s="14"/>
    </row>
    <row r="666">
      <c r="B666" s="14"/>
      <c r="C666" s="14"/>
      <c r="D666" s="14"/>
      <c r="E666" s="14"/>
      <c r="F666" s="14"/>
      <c r="G666" s="14"/>
    </row>
    <row r="667">
      <c r="B667" s="14"/>
      <c r="C667" s="14"/>
      <c r="D667" s="14"/>
      <c r="E667" s="14"/>
      <c r="F667" s="14"/>
      <c r="G667" s="14"/>
    </row>
    <row r="668">
      <c r="B668" s="14"/>
      <c r="C668" s="14"/>
      <c r="D668" s="14"/>
      <c r="E668" s="14"/>
      <c r="F668" s="14"/>
      <c r="G668" s="14"/>
    </row>
    <row r="669">
      <c r="B669" s="14"/>
      <c r="C669" s="14"/>
      <c r="D669" s="14"/>
      <c r="E669" s="14"/>
      <c r="F669" s="14"/>
      <c r="G669" s="14"/>
    </row>
    <row r="670">
      <c r="B670" s="14"/>
      <c r="C670" s="14"/>
      <c r="D670" s="14"/>
      <c r="E670" s="14"/>
      <c r="F670" s="14"/>
      <c r="G670" s="14"/>
    </row>
    <row r="671">
      <c r="B671" s="14"/>
      <c r="C671" s="14"/>
      <c r="D671" s="14"/>
      <c r="E671" s="14"/>
      <c r="F671" s="14"/>
      <c r="G671" s="14"/>
    </row>
    <row r="672">
      <c r="B672" s="14"/>
      <c r="C672" s="14"/>
      <c r="D672" s="14"/>
      <c r="E672" s="14"/>
      <c r="F672" s="14"/>
      <c r="G672" s="14"/>
    </row>
    <row r="673">
      <c r="B673" s="14"/>
      <c r="C673" s="14"/>
      <c r="D673" s="14"/>
      <c r="E673" s="14"/>
      <c r="F673" s="14"/>
      <c r="G673" s="14"/>
    </row>
    <row r="674">
      <c r="B674" s="14"/>
      <c r="C674" s="14"/>
      <c r="D674" s="14"/>
      <c r="E674" s="14"/>
      <c r="F674" s="14"/>
      <c r="G674" s="14"/>
    </row>
    <row r="675">
      <c r="B675" s="14"/>
      <c r="C675" s="14"/>
      <c r="D675" s="14"/>
      <c r="E675" s="14"/>
      <c r="F675" s="14"/>
      <c r="G675" s="14"/>
    </row>
    <row r="676">
      <c r="B676" s="14"/>
      <c r="C676" s="14"/>
      <c r="D676" s="14"/>
      <c r="E676" s="14"/>
      <c r="F676" s="14"/>
      <c r="G676" s="14"/>
    </row>
    <row r="677">
      <c r="B677" s="14"/>
      <c r="C677" s="14"/>
      <c r="D677" s="14"/>
      <c r="E677" s="14"/>
      <c r="F677" s="14"/>
      <c r="G677" s="14"/>
    </row>
    <row r="678">
      <c r="B678" s="14"/>
      <c r="C678" s="14"/>
      <c r="D678" s="14"/>
      <c r="E678" s="14"/>
      <c r="F678" s="14"/>
      <c r="G678" s="14"/>
    </row>
    <row r="679">
      <c r="B679" s="14"/>
      <c r="C679" s="14"/>
      <c r="D679" s="14"/>
      <c r="E679" s="14"/>
      <c r="F679" s="14"/>
      <c r="G679" s="14"/>
    </row>
    <row r="680">
      <c r="B680" s="14"/>
      <c r="C680" s="14"/>
      <c r="D680" s="14"/>
      <c r="E680" s="14"/>
      <c r="F680" s="14"/>
      <c r="G680" s="14"/>
    </row>
    <row r="681">
      <c r="B681" s="14"/>
      <c r="C681" s="14"/>
      <c r="D681" s="14"/>
      <c r="E681" s="14"/>
      <c r="F681" s="14"/>
      <c r="G681" s="14"/>
    </row>
    <row r="682">
      <c r="B682" s="14"/>
      <c r="C682" s="14"/>
      <c r="D682" s="14"/>
      <c r="E682" s="14"/>
      <c r="F682" s="14"/>
      <c r="G682" s="14"/>
    </row>
    <row r="683">
      <c r="B683" s="14"/>
      <c r="C683" s="14"/>
      <c r="D683" s="14"/>
      <c r="E683" s="14"/>
      <c r="F683" s="14"/>
      <c r="G683" s="14"/>
    </row>
    <row r="684">
      <c r="B684" s="14"/>
      <c r="C684" s="14"/>
      <c r="D684" s="14"/>
      <c r="E684" s="14"/>
      <c r="F684" s="14"/>
      <c r="G684" s="14"/>
    </row>
    <row r="685">
      <c r="B685" s="14"/>
      <c r="C685" s="14"/>
      <c r="D685" s="14"/>
      <c r="E685" s="14"/>
      <c r="F685" s="14"/>
      <c r="G685" s="14"/>
    </row>
    <row r="686">
      <c r="B686" s="14"/>
      <c r="C686" s="14"/>
      <c r="D686" s="14"/>
      <c r="E686" s="14"/>
      <c r="F686" s="14"/>
      <c r="G686" s="14"/>
    </row>
    <row r="687">
      <c r="B687" s="14"/>
      <c r="C687" s="14"/>
      <c r="D687" s="14"/>
      <c r="E687" s="14"/>
      <c r="F687" s="14"/>
      <c r="G687" s="14"/>
    </row>
    <row r="688">
      <c r="B688" s="14"/>
      <c r="C688" s="14"/>
      <c r="D688" s="14"/>
      <c r="E688" s="14"/>
      <c r="F688" s="14"/>
      <c r="G688" s="14"/>
    </row>
    <row r="689">
      <c r="B689" s="14"/>
      <c r="C689" s="14"/>
      <c r="D689" s="14"/>
      <c r="E689" s="14"/>
      <c r="F689" s="14"/>
      <c r="G689" s="14"/>
    </row>
    <row r="690">
      <c r="B690" s="14"/>
      <c r="C690" s="14"/>
      <c r="D690" s="14"/>
      <c r="E690" s="14"/>
      <c r="F690" s="14"/>
      <c r="G690" s="14"/>
    </row>
    <row r="691">
      <c r="B691" s="14"/>
      <c r="C691" s="14"/>
      <c r="D691" s="14"/>
      <c r="E691" s="14"/>
      <c r="F691" s="14"/>
      <c r="G691" s="14"/>
    </row>
    <row r="692">
      <c r="B692" s="14"/>
      <c r="C692" s="14"/>
      <c r="D692" s="14"/>
      <c r="E692" s="14"/>
      <c r="F692" s="14"/>
      <c r="G692" s="14"/>
    </row>
    <row r="693">
      <c r="B693" s="14"/>
      <c r="C693" s="14"/>
      <c r="D693" s="14"/>
      <c r="E693" s="14"/>
      <c r="F693" s="14"/>
      <c r="G693" s="14"/>
    </row>
    <row r="694">
      <c r="B694" s="14"/>
      <c r="C694" s="14"/>
      <c r="D694" s="14"/>
      <c r="E694" s="14"/>
      <c r="F694" s="14"/>
      <c r="G694" s="14"/>
    </row>
    <row r="695">
      <c r="B695" s="14"/>
      <c r="C695" s="14"/>
      <c r="D695" s="14"/>
      <c r="E695" s="14"/>
      <c r="F695" s="14"/>
      <c r="G695" s="14"/>
    </row>
    <row r="696">
      <c r="B696" s="14"/>
      <c r="C696" s="14"/>
      <c r="D696" s="14"/>
      <c r="E696" s="14"/>
      <c r="F696" s="14"/>
      <c r="G696" s="14"/>
    </row>
    <row r="697">
      <c r="B697" s="14"/>
      <c r="C697" s="14"/>
      <c r="D697" s="14"/>
      <c r="E697" s="14"/>
      <c r="F697" s="14"/>
      <c r="G697" s="14"/>
    </row>
    <row r="698">
      <c r="B698" s="14"/>
      <c r="C698" s="14"/>
      <c r="D698" s="14"/>
      <c r="E698" s="14"/>
      <c r="F698" s="14"/>
      <c r="G698" s="14"/>
    </row>
    <row r="699">
      <c r="B699" s="14"/>
      <c r="C699" s="14"/>
      <c r="D699" s="14"/>
      <c r="E699" s="14"/>
      <c r="F699" s="14"/>
      <c r="G699" s="14"/>
    </row>
    <row r="700">
      <c r="B700" s="14"/>
      <c r="C700" s="14"/>
      <c r="D700" s="14"/>
      <c r="E700" s="14"/>
      <c r="F700" s="14"/>
      <c r="G700" s="14"/>
    </row>
    <row r="701">
      <c r="B701" s="14"/>
      <c r="C701" s="14"/>
      <c r="D701" s="14"/>
      <c r="E701" s="14"/>
      <c r="F701" s="14"/>
      <c r="G701" s="14"/>
    </row>
    <row r="702">
      <c r="B702" s="14"/>
      <c r="C702" s="14"/>
      <c r="D702" s="14"/>
      <c r="E702" s="14"/>
      <c r="F702" s="14"/>
      <c r="G702" s="14"/>
    </row>
    <row r="703">
      <c r="B703" s="14"/>
      <c r="C703" s="14"/>
      <c r="D703" s="14"/>
      <c r="E703" s="14"/>
      <c r="F703" s="14"/>
      <c r="G703" s="14"/>
    </row>
    <row r="704">
      <c r="B704" s="14"/>
      <c r="C704" s="14"/>
      <c r="D704" s="14"/>
      <c r="E704" s="14"/>
      <c r="F704" s="14"/>
      <c r="G704" s="14"/>
    </row>
    <row r="705">
      <c r="B705" s="14"/>
      <c r="C705" s="14"/>
      <c r="D705" s="14"/>
      <c r="E705" s="14"/>
      <c r="F705" s="14"/>
      <c r="G705" s="14"/>
    </row>
    <row r="706">
      <c r="B706" s="14"/>
      <c r="C706" s="14"/>
      <c r="D706" s="14"/>
      <c r="E706" s="14"/>
      <c r="F706" s="14"/>
      <c r="G706" s="14"/>
    </row>
    <row r="707">
      <c r="B707" s="14"/>
      <c r="C707" s="14"/>
      <c r="D707" s="14"/>
      <c r="E707" s="14"/>
      <c r="F707" s="14"/>
      <c r="G707" s="14"/>
    </row>
    <row r="708">
      <c r="B708" s="14"/>
      <c r="C708" s="14"/>
      <c r="D708" s="14"/>
      <c r="E708" s="14"/>
      <c r="F708" s="14"/>
      <c r="G708" s="14"/>
    </row>
    <row r="709">
      <c r="B709" s="14"/>
      <c r="C709" s="14"/>
      <c r="D709" s="14"/>
      <c r="E709" s="14"/>
      <c r="F709" s="14"/>
      <c r="G709" s="14"/>
    </row>
    <row r="710">
      <c r="B710" s="14"/>
      <c r="C710" s="14"/>
      <c r="D710" s="14"/>
      <c r="E710" s="14"/>
      <c r="F710" s="14"/>
      <c r="G710" s="14"/>
    </row>
    <row r="711">
      <c r="B711" s="14"/>
      <c r="C711" s="14"/>
      <c r="D711" s="14"/>
      <c r="E711" s="14"/>
      <c r="F711" s="14"/>
      <c r="G711" s="14"/>
    </row>
    <row r="712">
      <c r="B712" s="14"/>
      <c r="C712" s="14"/>
      <c r="D712" s="14"/>
      <c r="E712" s="14"/>
      <c r="F712" s="14"/>
      <c r="G712" s="14"/>
    </row>
    <row r="713">
      <c r="B713" s="14"/>
      <c r="C713" s="14"/>
      <c r="D713" s="14"/>
      <c r="E713" s="14"/>
      <c r="F713" s="14"/>
      <c r="G713" s="14"/>
    </row>
    <row r="714">
      <c r="B714" s="14"/>
      <c r="C714" s="14"/>
      <c r="D714" s="14"/>
      <c r="E714" s="14"/>
      <c r="F714" s="14"/>
      <c r="G714" s="14"/>
    </row>
    <row r="715">
      <c r="B715" s="14"/>
      <c r="C715" s="14"/>
      <c r="D715" s="14"/>
      <c r="E715" s="14"/>
      <c r="F715" s="14"/>
      <c r="G715" s="14"/>
    </row>
    <row r="716">
      <c r="B716" s="14"/>
      <c r="C716" s="14"/>
      <c r="D716" s="14"/>
      <c r="E716" s="14"/>
      <c r="F716" s="14"/>
      <c r="G716" s="14"/>
    </row>
    <row r="717">
      <c r="B717" s="14"/>
      <c r="C717" s="14"/>
      <c r="D717" s="14"/>
      <c r="E717" s="14"/>
      <c r="F717" s="14"/>
      <c r="G717" s="14"/>
    </row>
    <row r="718">
      <c r="B718" s="14"/>
      <c r="C718" s="14"/>
      <c r="D718" s="14"/>
      <c r="E718" s="14"/>
      <c r="F718" s="14"/>
      <c r="G718" s="14"/>
    </row>
    <row r="719">
      <c r="B719" s="14"/>
      <c r="C719" s="14"/>
      <c r="D719" s="14"/>
      <c r="E719" s="14"/>
      <c r="F719" s="14"/>
      <c r="G719" s="14"/>
    </row>
    <row r="720">
      <c r="B720" s="14"/>
      <c r="C720" s="14"/>
      <c r="D720" s="14"/>
      <c r="E720" s="14"/>
      <c r="F720" s="14"/>
      <c r="G720" s="14"/>
    </row>
    <row r="721">
      <c r="B721" s="14"/>
      <c r="C721" s="14"/>
      <c r="D721" s="14"/>
      <c r="E721" s="14"/>
      <c r="F721" s="14"/>
      <c r="G721" s="14"/>
    </row>
    <row r="722">
      <c r="B722" s="14"/>
      <c r="C722" s="14"/>
      <c r="D722" s="14"/>
      <c r="E722" s="14"/>
      <c r="F722" s="14"/>
      <c r="G722" s="14"/>
    </row>
    <row r="723">
      <c r="B723" s="14"/>
      <c r="C723" s="14"/>
      <c r="D723" s="14"/>
      <c r="E723" s="14"/>
      <c r="F723" s="14"/>
      <c r="G723" s="14"/>
    </row>
    <row r="724">
      <c r="B724" s="14"/>
      <c r="C724" s="14"/>
      <c r="D724" s="14"/>
      <c r="E724" s="14"/>
      <c r="F724" s="14"/>
      <c r="G724" s="14"/>
    </row>
    <row r="725">
      <c r="B725" s="14"/>
      <c r="C725" s="14"/>
      <c r="D725" s="14"/>
      <c r="E725" s="14"/>
      <c r="F725" s="14"/>
      <c r="G725" s="14"/>
    </row>
    <row r="726">
      <c r="B726" s="14"/>
      <c r="C726" s="14"/>
      <c r="D726" s="14"/>
      <c r="E726" s="14"/>
      <c r="F726" s="14"/>
      <c r="G726" s="14"/>
    </row>
    <row r="727">
      <c r="B727" s="14"/>
      <c r="C727" s="14"/>
      <c r="D727" s="14"/>
      <c r="E727" s="14"/>
      <c r="F727" s="14"/>
      <c r="G727" s="14"/>
    </row>
    <row r="728">
      <c r="B728" s="14"/>
      <c r="C728" s="14"/>
      <c r="D728" s="14"/>
      <c r="E728" s="14"/>
      <c r="F728" s="14"/>
      <c r="G728" s="14"/>
    </row>
    <row r="729">
      <c r="B729" s="14"/>
      <c r="C729" s="14"/>
      <c r="D729" s="14"/>
      <c r="E729" s="14"/>
      <c r="F729" s="14"/>
      <c r="G729" s="14"/>
    </row>
    <row r="730">
      <c r="B730" s="14"/>
      <c r="C730" s="14"/>
      <c r="D730" s="14"/>
      <c r="E730" s="14"/>
      <c r="F730" s="14"/>
      <c r="G730" s="14"/>
    </row>
    <row r="731">
      <c r="B731" s="14"/>
      <c r="C731" s="14"/>
      <c r="D731" s="14"/>
      <c r="E731" s="14"/>
      <c r="F731" s="14"/>
      <c r="G731" s="14"/>
    </row>
    <row r="732">
      <c r="B732" s="14"/>
      <c r="C732" s="14"/>
      <c r="D732" s="14"/>
      <c r="E732" s="14"/>
      <c r="F732" s="14"/>
      <c r="G732" s="14"/>
    </row>
    <row r="733">
      <c r="B733" s="14"/>
      <c r="C733" s="14"/>
      <c r="D733" s="14"/>
      <c r="E733" s="14"/>
      <c r="F733" s="14"/>
      <c r="G733" s="14"/>
    </row>
    <row r="734">
      <c r="B734" s="14"/>
      <c r="C734" s="14"/>
      <c r="D734" s="14"/>
      <c r="E734" s="14"/>
      <c r="F734" s="14"/>
      <c r="G734" s="14"/>
    </row>
    <row r="735">
      <c r="B735" s="14"/>
      <c r="C735" s="14"/>
      <c r="D735" s="14"/>
      <c r="E735" s="14"/>
      <c r="F735" s="14"/>
      <c r="G735" s="14"/>
    </row>
    <row r="736">
      <c r="B736" s="14"/>
      <c r="C736" s="14"/>
      <c r="D736" s="14"/>
      <c r="E736" s="14"/>
      <c r="F736" s="14"/>
      <c r="G736" s="14"/>
    </row>
    <row r="737">
      <c r="B737" s="14"/>
      <c r="C737" s="14"/>
      <c r="D737" s="14"/>
      <c r="E737" s="14"/>
      <c r="F737" s="14"/>
      <c r="G737" s="14"/>
    </row>
    <row r="738">
      <c r="B738" s="14"/>
      <c r="C738" s="14"/>
      <c r="D738" s="14"/>
      <c r="E738" s="14"/>
      <c r="F738" s="14"/>
      <c r="G738" s="14"/>
    </row>
    <row r="739">
      <c r="B739" s="14"/>
      <c r="C739" s="14"/>
      <c r="D739" s="14"/>
      <c r="E739" s="14"/>
      <c r="F739" s="14"/>
      <c r="G739" s="14"/>
    </row>
    <row r="740">
      <c r="B740" s="14"/>
      <c r="C740" s="14"/>
      <c r="D740" s="14"/>
      <c r="E740" s="14"/>
      <c r="F740" s="14"/>
      <c r="G740" s="14"/>
    </row>
    <row r="741">
      <c r="B741" s="14"/>
      <c r="C741" s="14"/>
      <c r="D741" s="14"/>
      <c r="E741" s="14"/>
      <c r="F741" s="14"/>
      <c r="G741" s="14"/>
    </row>
    <row r="742">
      <c r="B742" s="14"/>
      <c r="C742" s="14"/>
      <c r="D742" s="14"/>
      <c r="E742" s="14"/>
      <c r="F742" s="14"/>
      <c r="G742" s="14"/>
    </row>
    <row r="743">
      <c r="B743" s="14"/>
      <c r="C743" s="14"/>
      <c r="D743" s="14"/>
      <c r="E743" s="14"/>
      <c r="F743" s="14"/>
      <c r="G743" s="14"/>
    </row>
    <row r="744">
      <c r="B744" s="14"/>
      <c r="C744" s="14"/>
      <c r="D744" s="14"/>
      <c r="E744" s="14"/>
      <c r="F744" s="14"/>
      <c r="G744" s="14"/>
    </row>
    <row r="745">
      <c r="B745" s="14"/>
      <c r="C745" s="14"/>
      <c r="D745" s="14"/>
      <c r="E745" s="14"/>
      <c r="F745" s="14"/>
      <c r="G745" s="14"/>
    </row>
    <row r="746">
      <c r="B746" s="14"/>
      <c r="C746" s="14"/>
      <c r="D746" s="14"/>
      <c r="E746" s="14"/>
      <c r="F746" s="14"/>
      <c r="G746" s="14"/>
    </row>
    <row r="747">
      <c r="B747" s="14"/>
      <c r="C747" s="14"/>
      <c r="D747" s="14"/>
      <c r="E747" s="14"/>
      <c r="F747" s="14"/>
      <c r="G747" s="14"/>
    </row>
    <row r="748">
      <c r="B748" s="14"/>
      <c r="C748" s="14"/>
      <c r="D748" s="14"/>
      <c r="E748" s="14"/>
      <c r="F748" s="14"/>
      <c r="G748" s="14"/>
    </row>
    <row r="749">
      <c r="B749" s="14"/>
      <c r="C749" s="14"/>
      <c r="D749" s="14"/>
      <c r="E749" s="14"/>
      <c r="F749" s="14"/>
      <c r="G749" s="14"/>
    </row>
    <row r="750">
      <c r="B750" s="14"/>
      <c r="C750" s="14"/>
      <c r="D750" s="14"/>
      <c r="E750" s="14"/>
      <c r="F750" s="14"/>
      <c r="G750" s="14"/>
    </row>
    <row r="751">
      <c r="B751" s="14"/>
      <c r="C751" s="14"/>
      <c r="D751" s="14"/>
      <c r="E751" s="14"/>
      <c r="F751" s="14"/>
      <c r="G751" s="14"/>
    </row>
    <row r="752">
      <c r="B752" s="14"/>
      <c r="C752" s="14"/>
      <c r="D752" s="14"/>
      <c r="E752" s="14"/>
      <c r="F752" s="14"/>
      <c r="G752" s="14"/>
    </row>
    <row r="753">
      <c r="B753" s="14"/>
      <c r="C753" s="14"/>
      <c r="D753" s="14"/>
      <c r="E753" s="14"/>
      <c r="F753" s="14"/>
      <c r="G753" s="14"/>
    </row>
    <row r="754">
      <c r="B754" s="14"/>
      <c r="C754" s="14"/>
      <c r="D754" s="14"/>
      <c r="E754" s="14"/>
      <c r="F754" s="14"/>
      <c r="G754" s="14"/>
    </row>
    <row r="755">
      <c r="B755" s="14"/>
      <c r="C755" s="14"/>
      <c r="D755" s="14"/>
      <c r="E755" s="14"/>
      <c r="F755" s="14"/>
      <c r="G755" s="14"/>
    </row>
    <row r="756">
      <c r="B756" s="14"/>
      <c r="C756" s="14"/>
      <c r="D756" s="14"/>
      <c r="E756" s="14"/>
      <c r="F756" s="14"/>
      <c r="G756" s="14"/>
    </row>
    <row r="757">
      <c r="B757" s="14"/>
      <c r="C757" s="14"/>
      <c r="D757" s="14"/>
      <c r="E757" s="14"/>
      <c r="F757" s="14"/>
      <c r="G757" s="14"/>
    </row>
    <row r="758">
      <c r="B758" s="14"/>
      <c r="C758" s="14"/>
      <c r="D758" s="14"/>
      <c r="E758" s="14"/>
      <c r="F758" s="14"/>
      <c r="G758" s="14"/>
    </row>
    <row r="759">
      <c r="B759" s="14"/>
      <c r="C759" s="14"/>
      <c r="D759" s="14"/>
      <c r="E759" s="14"/>
      <c r="F759" s="14"/>
      <c r="G759" s="14"/>
    </row>
    <row r="760">
      <c r="B760" s="14"/>
      <c r="C760" s="14"/>
      <c r="D760" s="14"/>
      <c r="E760" s="14"/>
      <c r="F760" s="14"/>
      <c r="G760" s="14"/>
    </row>
    <row r="761">
      <c r="B761" s="14"/>
      <c r="C761" s="14"/>
      <c r="D761" s="14"/>
      <c r="E761" s="14"/>
      <c r="F761" s="14"/>
      <c r="G761" s="14"/>
    </row>
    <row r="762">
      <c r="B762" s="14"/>
      <c r="C762" s="14"/>
      <c r="D762" s="14"/>
      <c r="E762" s="14"/>
      <c r="F762" s="14"/>
      <c r="G762" s="14"/>
    </row>
    <row r="763">
      <c r="B763" s="14"/>
      <c r="C763" s="14"/>
      <c r="D763" s="14"/>
      <c r="E763" s="14"/>
      <c r="F763" s="14"/>
      <c r="G763" s="14"/>
    </row>
    <row r="764">
      <c r="B764" s="14"/>
      <c r="C764" s="14"/>
      <c r="D764" s="14"/>
      <c r="E764" s="14"/>
      <c r="F764" s="14"/>
      <c r="G764" s="14"/>
    </row>
    <row r="765">
      <c r="B765" s="14"/>
      <c r="C765" s="14"/>
      <c r="D765" s="14"/>
      <c r="E765" s="14"/>
      <c r="F765" s="14"/>
      <c r="G765" s="14"/>
    </row>
    <row r="766">
      <c r="B766" s="14"/>
      <c r="C766" s="14"/>
      <c r="D766" s="14"/>
      <c r="E766" s="14"/>
      <c r="F766" s="14"/>
      <c r="G766" s="14"/>
    </row>
    <row r="767">
      <c r="B767" s="14"/>
      <c r="C767" s="14"/>
      <c r="D767" s="14"/>
      <c r="E767" s="14"/>
      <c r="F767" s="14"/>
      <c r="G767" s="14"/>
    </row>
    <row r="768">
      <c r="B768" s="14"/>
      <c r="C768" s="14"/>
      <c r="D768" s="14"/>
      <c r="E768" s="14"/>
      <c r="F768" s="14"/>
      <c r="G768" s="14"/>
    </row>
    <row r="769">
      <c r="B769" s="14"/>
      <c r="C769" s="14"/>
      <c r="D769" s="14"/>
      <c r="E769" s="14"/>
      <c r="F769" s="14"/>
      <c r="G769" s="14"/>
    </row>
    <row r="770">
      <c r="B770" s="14"/>
      <c r="C770" s="14"/>
      <c r="D770" s="14"/>
      <c r="E770" s="14"/>
      <c r="F770" s="14"/>
      <c r="G770" s="14"/>
    </row>
    <row r="771">
      <c r="B771" s="14"/>
      <c r="C771" s="14"/>
      <c r="D771" s="14"/>
      <c r="E771" s="14"/>
      <c r="F771" s="14"/>
      <c r="G771" s="14"/>
    </row>
    <row r="772">
      <c r="B772" s="14"/>
      <c r="C772" s="14"/>
      <c r="D772" s="14"/>
      <c r="E772" s="14"/>
      <c r="F772" s="14"/>
      <c r="G772" s="14"/>
    </row>
    <row r="773">
      <c r="B773" s="14"/>
      <c r="C773" s="14"/>
      <c r="D773" s="14"/>
      <c r="E773" s="14"/>
      <c r="F773" s="14"/>
      <c r="G773" s="14"/>
    </row>
    <row r="774">
      <c r="B774" s="14"/>
      <c r="C774" s="14"/>
      <c r="D774" s="14"/>
      <c r="E774" s="14"/>
      <c r="F774" s="14"/>
      <c r="G774" s="14"/>
    </row>
    <row r="775">
      <c r="B775" s="14"/>
      <c r="C775" s="14"/>
      <c r="D775" s="14"/>
      <c r="E775" s="14"/>
      <c r="F775" s="14"/>
      <c r="G775" s="14"/>
    </row>
    <row r="776">
      <c r="B776" s="14"/>
      <c r="C776" s="14"/>
      <c r="D776" s="14"/>
      <c r="E776" s="14"/>
      <c r="F776" s="14"/>
      <c r="G776" s="14"/>
    </row>
    <row r="777">
      <c r="B777" s="14"/>
      <c r="C777" s="14"/>
      <c r="D777" s="14"/>
      <c r="E777" s="14"/>
      <c r="F777" s="14"/>
      <c r="G777" s="14"/>
    </row>
    <row r="778">
      <c r="B778" s="14"/>
      <c r="C778" s="14"/>
      <c r="D778" s="14"/>
      <c r="E778" s="14"/>
      <c r="F778" s="14"/>
      <c r="G778" s="14"/>
    </row>
    <row r="779">
      <c r="B779" s="14"/>
      <c r="C779" s="14"/>
      <c r="D779" s="14"/>
      <c r="E779" s="14"/>
      <c r="F779" s="14"/>
      <c r="G779" s="14"/>
    </row>
    <row r="780">
      <c r="B780" s="14"/>
      <c r="C780" s="14"/>
      <c r="D780" s="14"/>
      <c r="E780" s="14"/>
      <c r="F780" s="14"/>
      <c r="G780" s="14"/>
    </row>
    <row r="781">
      <c r="B781" s="14"/>
      <c r="C781" s="14"/>
      <c r="D781" s="14"/>
      <c r="E781" s="14"/>
      <c r="F781" s="14"/>
      <c r="G781" s="14"/>
    </row>
    <row r="782">
      <c r="B782" s="14"/>
      <c r="C782" s="14"/>
      <c r="D782" s="14"/>
      <c r="E782" s="14"/>
      <c r="F782" s="14"/>
      <c r="G782" s="14"/>
    </row>
    <row r="783">
      <c r="B783" s="14"/>
      <c r="C783" s="14"/>
      <c r="D783" s="14"/>
      <c r="E783" s="14"/>
      <c r="F783" s="14"/>
      <c r="G783" s="14"/>
    </row>
    <row r="784">
      <c r="B784" s="14"/>
      <c r="C784" s="14"/>
      <c r="D784" s="14"/>
      <c r="E784" s="14"/>
      <c r="F784" s="14"/>
      <c r="G784" s="14"/>
    </row>
    <row r="785">
      <c r="B785" s="14"/>
      <c r="C785" s="14"/>
      <c r="D785" s="14"/>
      <c r="E785" s="14"/>
      <c r="F785" s="14"/>
      <c r="G785" s="14"/>
    </row>
    <row r="786">
      <c r="B786" s="14"/>
      <c r="C786" s="14"/>
      <c r="D786" s="14"/>
      <c r="E786" s="14"/>
      <c r="F786" s="14"/>
      <c r="G786" s="14"/>
    </row>
    <row r="787">
      <c r="B787" s="14"/>
      <c r="C787" s="14"/>
      <c r="D787" s="14"/>
      <c r="E787" s="14"/>
      <c r="F787" s="14"/>
      <c r="G787" s="14"/>
    </row>
    <row r="788">
      <c r="B788" s="14"/>
      <c r="C788" s="14"/>
      <c r="D788" s="14"/>
      <c r="E788" s="14"/>
      <c r="F788" s="14"/>
      <c r="G788" s="14"/>
    </row>
    <row r="789">
      <c r="B789" s="14"/>
      <c r="C789" s="14"/>
      <c r="D789" s="14"/>
      <c r="E789" s="14"/>
      <c r="F789" s="14"/>
      <c r="G789" s="14"/>
    </row>
    <row r="790">
      <c r="B790" s="14"/>
      <c r="C790" s="14"/>
      <c r="D790" s="14"/>
      <c r="E790" s="14"/>
      <c r="F790" s="14"/>
      <c r="G790" s="14"/>
    </row>
    <row r="791">
      <c r="B791" s="14"/>
      <c r="C791" s="14"/>
      <c r="D791" s="14"/>
      <c r="E791" s="14"/>
      <c r="F791" s="14"/>
      <c r="G791" s="14"/>
    </row>
    <row r="792">
      <c r="B792" s="14"/>
      <c r="C792" s="14"/>
      <c r="D792" s="14"/>
      <c r="E792" s="14"/>
      <c r="F792" s="14"/>
      <c r="G792" s="14"/>
    </row>
    <row r="793">
      <c r="B793" s="14"/>
      <c r="C793" s="14"/>
      <c r="D793" s="14"/>
      <c r="E793" s="14"/>
      <c r="F793" s="14"/>
      <c r="G793" s="14"/>
    </row>
    <row r="794">
      <c r="B794" s="14"/>
      <c r="C794" s="14"/>
      <c r="D794" s="14"/>
      <c r="E794" s="14"/>
      <c r="F794" s="14"/>
      <c r="G794" s="14"/>
    </row>
    <row r="795">
      <c r="B795" s="14"/>
      <c r="C795" s="14"/>
      <c r="D795" s="14"/>
      <c r="E795" s="14"/>
      <c r="F795" s="14"/>
      <c r="G795" s="14"/>
    </row>
    <row r="796">
      <c r="B796" s="14"/>
      <c r="C796" s="14"/>
      <c r="D796" s="14"/>
      <c r="E796" s="14"/>
      <c r="F796" s="14"/>
      <c r="G796" s="14"/>
    </row>
    <row r="797">
      <c r="B797" s="14"/>
      <c r="C797" s="14"/>
      <c r="D797" s="14"/>
      <c r="E797" s="14"/>
      <c r="F797" s="14"/>
      <c r="G797" s="14"/>
    </row>
    <row r="798">
      <c r="B798" s="14"/>
      <c r="C798" s="14"/>
      <c r="D798" s="14"/>
      <c r="E798" s="14"/>
      <c r="F798" s="14"/>
      <c r="G798" s="14"/>
    </row>
    <row r="799">
      <c r="B799" s="14"/>
      <c r="C799" s="14"/>
      <c r="D799" s="14"/>
      <c r="E799" s="14"/>
      <c r="F799" s="14"/>
      <c r="G799" s="14"/>
    </row>
    <row r="800">
      <c r="B800" s="14"/>
      <c r="C800" s="14"/>
      <c r="D800" s="14"/>
      <c r="E800" s="14"/>
      <c r="F800" s="14"/>
      <c r="G800" s="14"/>
    </row>
    <row r="801">
      <c r="B801" s="14"/>
      <c r="C801" s="14"/>
      <c r="D801" s="14"/>
      <c r="E801" s="14"/>
      <c r="F801" s="14"/>
      <c r="G801" s="14"/>
    </row>
    <row r="802">
      <c r="B802" s="14"/>
      <c r="C802" s="14"/>
      <c r="D802" s="14"/>
      <c r="E802" s="14"/>
      <c r="F802" s="14"/>
      <c r="G802" s="14"/>
    </row>
    <row r="803">
      <c r="B803" s="14"/>
      <c r="C803" s="14"/>
      <c r="D803" s="14"/>
      <c r="E803" s="14"/>
      <c r="F803" s="14"/>
      <c r="G803" s="14"/>
    </row>
    <row r="804">
      <c r="B804" s="14"/>
      <c r="C804" s="14"/>
      <c r="D804" s="14"/>
      <c r="E804" s="14"/>
      <c r="F804" s="14"/>
      <c r="G804" s="14"/>
    </row>
    <row r="805">
      <c r="B805" s="14"/>
      <c r="C805" s="14"/>
      <c r="D805" s="14"/>
      <c r="E805" s="14"/>
      <c r="F805" s="14"/>
      <c r="G805" s="14"/>
    </row>
    <row r="806">
      <c r="B806" s="14"/>
      <c r="C806" s="14"/>
      <c r="D806" s="14"/>
      <c r="E806" s="14"/>
      <c r="F806" s="14"/>
      <c r="G806" s="14"/>
    </row>
    <row r="807">
      <c r="B807" s="14"/>
      <c r="C807" s="14"/>
      <c r="D807" s="14"/>
      <c r="E807" s="14"/>
      <c r="F807" s="14"/>
      <c r="G807" s="14"/>
    </row>
    <row r="808">
      <c r="B808" s="14"/>
      <c r="C808" s="14"/>
      <c r="D808" s="14"/>
      <c r="E808" s="14"/>
      <c r="F808" s="14"/>
      <c r="G808" s="14"/>
    </row>
    <row r="809">
      <c r="B809" s="14"/>
      <c r="C809" s="14"/>
      <c r="D809" s="14"/>
      <c r="E809" s="14"/>
      <c r="F809" s="14"/>
      <c r="G809" s="14"/>
    </row>
    <row r="810">
      <c r="B810" s="14"/>
      <c r="C810" s="14"/>
      <c r="D810" s="14"/>
      <c r="E810" s="14"/>
      <c r="F810" s="14"/>
      <c r="G810" s="14"/>
    </row>
    <row r="811">
      <c r="B811" s="14"/>
      <c r="C811" s="14"/>
      <c r="D811" s="14"/>
      <c r="E811" s="14"/>
      <c r="F811" s="14"/>
      <c r="G811" s="14"/>
    </row>
    <row r="812">
      <c r="B812" s="14"/>
      <c r="C812" s="14"/>
      <c r="D812" s="14"/>
      <c r="E812" s="14"/>
      <c r="F812" s="14"/>
      <c r="G812" s="14"/>
    </row>
    <row r="813">
      <c r="B813" s="14"/>
      <c r="C813" s="14"/>
      <c r="D813" s="14"/>
      <c r="E813" s="14"/>
      <c r="F813" s="14"/>
      <c r="G813" s="14"/>
    </row>
    <row r="814">
      <c r="B814" s="14"/>
      <c r="C814" s="14"/>
      <c r="D814" s="14"/>
      <c r="E814" s="14"/>
      <c r="F814" s="14"/>
      <c r="G814" s="14"/>
    </row>
    <row r="815">
      <c r="B815" s="14"/>
      <c r="C815" s="14"/>
      <c r="D815" s="14"/>
      <c r="E815" s="14"/>
      <c r="F815" s="14"/>
      <c r="G815" s="14"/>
    </row>
    <row r="816">
      <c r="B816" s="14"/>
      <c r="C816" s="14"/>
      <c r="D816" s="14"/>
      <c r="E816" s="14"/>
      <c r="F816" s="14"/>
      <c r="G816" s="14"/>
    </row>
    <row r="817">
      <c r="B817" s="14"/>
      <c r="C817" s="14"/>
      <c r="D817" s="14"/>
      <c r="E817" s="14"/>
      <c r="F817" s="14"/>
      <c r="G817" s="14"/>
    </row>
    <row r="818">
      <c r="B818" s="14"/>
      <c r="C818" s="14"/>
      <c r="D818" s="14"/>
      <c r="E818" s="14"/>
      <c r="F818" s="14"/>
      <c r="G818" s="14"/>
    </row>
    <row r="819">
      <c r="B819" s="14"/>
      <c r="C819" s="14"/>
      <c r="D819" s="14"/>
      <c r="E819" s="14"/>
      <c r="F819" s="14"/>
      <c r="G819" s="14"/>
    </row>
    <row r="820">
      <c r="B820" s="14"/>
      <c r="C820" s="14"/>
      <c r="D820" s="14"/>
      <c r="E820" s="14"/>
      <c r="F820" s="14"/>
      <c r="G820" s="14"/>
    </row>
    <row r="821">
      <c r="B821" s="14"/>
      <c r="C821" s="14"/>
      <c r="D821" s="14"/>
      <c r="E821" s="14"/>
      <c r="F821" s="14"/>
      <c r="G821" s="14"/>
    </row>
    <row r="822">
      <c r="B822" s="14"/>
      <c r="C822" s="14"/>
      <c r="D822" s="14"/>
      <c r="E822" s="14"/>
      <c r="F822" s="14"/>
      <c r="G822" s="14"/>
    </row>
    <row r="823">
      <c r="B823" s="14"/>
      <c r="C823" s="14"/>
      <c r="D823" s="14"/>
      <c r="E823" s="14"/>
      <c r="F823" s="14"/>
      <c r="G823" s="14"/>
    </row>
    <row r="824">
      <c r="B824" s="14"/>
      <c r="C824" s="14"/>
      <c r="D824" s="14"/>
      <c r="E824" s="14"/>
      <c r="F824" s="14"/>
      <c r="G824" s="14"/>
    </row>
    <row r="825">
      <c r="B825" s="14"/>
      <c r="C825" s="14"/>
      <c r="D825" s="14"/>
      <c r="E825" s="14"/>
      <c r="F825" s="14"/>
      <c r="G825" s="14"/>
    </row>
    <row r="826">
      <c r="B826" s="14"/>
      <c r="C826" s="14"/>
      <c r="D826" s="14"/>
      <c r="E826" s="14"/>
      <c r="F826" s="14"/>
      <c r="G826" s="14"/>
    </row>
    <row r="827">
      <c r="B827" s="14"/>
      <c r="C827" s="14"/>
      <c r="D827" s="14"/>
      <c r="E827" s="14"/>
      <c r="F827" s="14"/>
      <c r="G827" s="14"/>
    </row>
    <row r="828">
      <c r="B828" s="14"/>
      <c r="C828" s="14"/>
      <c r="D828" s="14"/>
      <c r="E828" s="14"/>
      <c r="F828" s="14"/>
      <c r="G828" s="14"/>
    </row>
    <row r="829">
      <c r="B829" s="14"/>
      <c r="C829" s="14"/>
      <c r="D829" s="14"/>
      <c r="E829" s="14"/>
      <c r="F829" s="14"/>
      <c r="G829" s="14"/>
    </row>
    <row r="830">
      <c r="B830" s="14"/>
      <c r="C830" s="14"/>
      <c r="D830" s="14"/>
      <c r="E830" s="14"/>
      <c r="F830" s="14"/>
      <c r="G830" s="14"/>
    </row>
    <row r="831">
      <c r="B831" s="14"/>
      <c r="C831" s="14"/>
      <c r="D831" s="14"/>
      <c r="E831" s="14"/>
      <c r="F831" s="14"/>
      <c r="G831" s="14"/>
    </row>
    <row r="832">
      <c r="B832" s="14"/>
      <c r="C832" s="14"/>
      <c r="D832" s="14"/>
      <c r="E832" s="14"/>
      <c r="F832" s="14"/>
      <c r="G832" s="14"/>
    </row>
    <row r="833">
      <c r="B833" s="14"/>
      <c r="C833" s="14"/>
      <c r="D833" s="14"/>
      <c r="E833" s="14"/>
      <c r="F833" s="14"/>
      <c r="G833" s="14"/>
    </row>
    <row r="834">
      <c r="B834" s="14"/>
      <c r="C834" s="14"/>
      <c r="D834" s="14"/>
      <c r="E834" s="14"/>
      <c r="F834" s="14"/>
      <c r="G834" s="14"/>
    </row>
    <row r="835">
      <c r="B835" s="14"/>
      <c r="C835" s="14"/>
      <c r="D835" s="14"/>
      <c r="E835" s="14"/>
      <c r="F835" s="14"/>
      <c r="G835" s="14"/>
    </row>
    <row r="836">
      <c r="B836" s="14"/>
      <c r="C836" s="14"/>
      <c r="D836" s="14"/>
      <c r="E836" s="14"/>
      <c r="F836" s="14"/>
      <c r="G836" s="14"/>
    </row>
    <row r="837">
      <c r="B837" s="14"/>
      <c r="C837" s="14"/>
      <c r="D837" s="14"/>
      <c r="E837" s="14"/>
      <c r="F837" s="14"/>
      <c r="G837" s="14"/>
    </row>
    <row r="838">
      <c r="B838" s="14"/>
      <c r="C838" s="14"/>
      <c r="D838" s="14"/>
      <c r="E838" s="14"/>
      <c r="F838" s="14"/>
      <c r="G838" s="14"/>
    </row>
    <row r="839">
      <c r="B839" s="14"/>
      <c r="C839" s="14"/>
      <c r="D839" s="14"/>
      <c r="E839" s="14"/>
      <c r="F839" s="14"/>
      <c r="G839" s="14"/>
    </row>
    <row r="840">
      <c r="B840" s="14"/>
      <c r="C840" s="14"/>
      <c r="D840" s="14"/>
      <c r="E840" s="14"/>
      <c r="F840" s="14"/>
      <c r="G840" s="14"/>
    </row>
    <row r="841">
      <c r="B841" s="14"/>
      <c r="C841" s="14"/>
      <c r="D841" s="14"/>
      <c r="E841" s="14"/>
      <c r="F841" s="14"/>
      <c r="G841" s="14"/>
    </row>
    <row r="842">
      <c r="B842" s="14"/>
      <c r="C842" s="14"/>
      <c r="D842" s="14"/>
      <c r="E842" s="14"/>
      <c r="F842" s="14"/>
      <c r="G842" s="14"/>
    </row>
    <row r="843">
      <c r="B843" s="14"/>
      <c r="C843" s="14"/>
      <c r="D843" s="14"/>
      <c r="E843" s="14"/>
      <c r="F843" s="14"/>
      <c r="G843" s="14"/>
    </row>
    <row r="844">
      <c r="B844" s="14"/>
      <c r="C844" s="14"/>
      <c r="D844" s="14"/>
      <c r="E844" s="14"/>
      <c r="F844" s="14"/>
      <c r="G844" s="14"/>
    </row>
    <row r="845">
      <c r="B845" s="14"/>
      <c r="C845" s="14"/>
      <c r="D845" s="14"/>
      <c r="E845" s="14"/>
      <c r="F845" s="14"/>
      <c r="G845" s="14"/>
    </row>
    <row r="846">
      <c r="B846" s="14"/>
      <c r="C846" s="14"/>
      <c r="D846" s="14"/>
      <c r="E846" s="14"/>
      <c r="F846" s="14"/>
      <c r="G846" s="14"/>
    </row>
    <row r="847">
      <c r="B847" s="14"/>
      <c r="C847" s="14"/>
      <c r="D847" s="14"/>
      <c r="E847" s="14"/>
      <c r="F847" s="14"/>
      <c r="G847" s="14"/>
    </row>
    <row r="848">
      <c r="B848" s="14"/>
      <c r="C848" s="14"/>
      <c r="D848" s="14"/>
      <c r="E848" s="14"/>
      <c r="F848" s="14"/>
      <c r="G848" s="14"/>
    </row>
    <row r="849">
      <c r="B849" s="14"/>
      <c r="C849" s="14"/>
      <c r="D849" s="14"/>
      <c r="E849" s="14"/>
      <c r="F849" s="14"/>
      <c r="G849" s="14"/>
    </row>
    <row r="850">
      <c r="B850" s="14"/>
      <c r="C850" s="14"/>
      <c r="D850" s="14"/>
      <c r="E850" s="14"/>
      <c r="F850" s="14"/>
      <c r="G850" s="14"/>
    </row>
    <row r="851">
      <c r="B851" s="14"/>
      <c r="C851" s="14"/>
      <c r="D851" s="14"/>
      <c r="E851" s="14"/>
      <c r="F851" s="14"/>
      <c r="G851" s="14"/>
    </row>
    <row r="852">
      <c r="B852" s="14"/>
      <c r="C852" s="14"/>
      <c r="D852" s="14"/>
      <c r="E852" s="14"/>
      <c r="F852" s="14"/>
      <c r="G852" s="14"/>
    </row>
    <row r="853">
      <c r="B853" s="14"/>
      <c r="C853" s="14"/>
      <c r="D853" s="14"/>
      <c r="E853" s="14"/>
      <c r="F853" s="14"/>
      <c r="G853" s="14"/>
    </row>
    <row r="854">
      <c r="B854" s="14"/>
      <c r="C854" s="14"/>
      <c r="D854" s="14"/>
      <c r="E854" s="14"/>
      <c r="F854" s="14"/>
      <c r="G854" s="14"/>
    </row>
    <row r="855">
      <c r="B855" s="14"/>
      <c r="C855" s="14"/>
      <c r="D855" s="14"/>
      <c r="E855" s="14"/>
      <c r="F855" s="14"/>
      <c r="G855" s="14"/>
    </row>
    <row r="856">
      <c r="B856" s="14"/>
      <c r="C856" s="14"/>
      <c r="D856" s="14"/>
      <c r="E856" s="14"/>
      <c r="F856" s="14"/>
      <c r="G856" s="14"/>
    </row>
    <row r="857">
      <c r="B857" s="14"/>
      <c r="C857" s="14"/>
      <c r="D857" s="14"/>
      <c r="E857" s="14"/>
      <c r="F857" s="14"/>
      <c r="G857" s="14"/>
    </row>
    <row r="858">
      <c r="B858" s="14"/>
      <c r="C858" s="14"/>
      <c r="D858" s="14"/>
      <c r="E858" s="14"/>
      <c r="F858" s="14"/>
      <c r="G858" s="14"/>
    </row>
    <row r="859">
      <c r="B859" s="14"/>
      <c r="C859" s="14"/>
      <c r="D859" s="14"/>
      <c r="E859" s="14"/>
      <c r="F859" s="14"/>
      <c r="G859" s="14"/>
    </row>
    <row r="860">
      <c r="B860" s="14"/>
      <c r="C860" s="14"/>
      <c r="D860" s="14"/>
      <c r="E860" s="14"/>
      <c r="F860" s="14"/>
      <c r="G860" s="14"/>
    </row>
    <row r="861">
      <c r="B861" s="14"/>
      <c r="C861" s="14"/>
      <c r="D861" s="14"/>
      <c r="E861" s="14"/>
      <c r="F861" s="14"/>
      <c r="G861" s="14"/>
    </row>
    <row r="862">
      <c r="B862" s="14"/>
      <c r="C862" s="14"/>
      <c r="D862" s="14"/>
      <c r="E862" s="14"/>
      <c r="F862" s="14"/>
      <c r="G862" s="14"/>
    </row>
    <row r="863">
      <c r="B863" s="14"/>
      <c r="C863" s="14"/>
      <c r="D863" s="14"/>
      <c r="E863" s="14"/>
      <c r="F863" s="14"/>
      <c r="G863" s="14"/>
    </row>
    <row r="864">
      <c r="B864" s="14"/>
      <c r="C864" s="14"/>
      <c r="D864" s="14"/>
      <c r="E864" s="14"/>
      <c r="F864" s="14"/>
      <c r="G864" s="14"/>
    </row>
    <row r="865">
      <c r="B865" s="14"/>
      <c r="C865" s="14"/>
      <c r="D865" s="14"/>
      <c r="E865" s="14"/>
      <c r="F865" s="14"/>
      <c r="G865" s="14"/>
    </row>
    <row r="866">
      <c r="B866" s="14"/>
      <c r="C866" s="14"/>
      <c r="D866" s="14"/>
      <c r="E866" s="14"/>
      <c r="F866" s="14"/>
      <c r="G866" s="14"/>
    </row>
    <row r="867">
      <c r="B867" s="14"/>
      <c r="C867" s="14"/>
      <c r="D867" s="14"/>
      <c r="E867" s="14"/>
      <c r="F867" s="14"/>
      <c r="G867" s="14"/>
    </row>
    <row r="868">
      <c r="B868" s="14"/>
      <c r="C868" s="14"/>
      <c r="D868" s="14"/>
      <c r="E868" s="14"/>
      <c r="F868" s="14"/>
      <c r="G868" s="14"/>
    </row>
    <row r="869">
      <c r="B869" s="14"/>
      <c r="C869" s="14"/>
      <c r="D869" s="14"/>
      <c r="E869" s="14"/>
      <c r="F869" s="14"/>
      <c r="G869" s="14"/>
    </row>
    <row r="870">
      <c r="B870" s="14"/>
      <c r="C870" s="14"/>
      <c r="D870" s="14"/>
      <c r="E870" s="14"/>
      <c r="F870" s="14"/>
      <c r="G870" s="14"/>
    </row>
    <row r="871">
      <c r="B871" s="14"/>
      <c r="C871" s="14"/>
      <c r="D871" s="14"/>
      <c r="E871" s="14"/>
      <c r="F871" s="14"/>
      <c r="G871" s="14"/>
    </row>
    <row r="872">
      <c r="B872" s="14"/>
      <c r="C872" s="14"/>
      <c r="D872" s="14"/>
      <c r="E872" s="14"/>
      <c r="F872" s="14"/>
      <c r="G872" s="14"/>
    </row>
    <row r="873">
      <c r="B873" s="14"/>
      <c r="C873" s="14"/>
      <c r="D873" s="14"/>
      <c r="E873" s="14"/>
      <c r="F873" s="14"/>
      <c r="G873" s="14"/>
    </row>
    <row r="874">
      <c r="B874" s="14"/>
      <c r="C874" s="14"/>
      <c r="D874" s="14"/>
      <c r="E874" s="14"/>
      <c r="F874" s="14"/>
      <c r="G874" s="14"/>
    </row>
    <row r="875">
      <c r="B875" s="14"/>
      <c r="C875" s="14"/>
      <c r="D875" s="14"/>
      <c r="E875" s="14"/>
      <c r="F875" s="14"/>
      <c r="G875" s="14"/>
    </row>
    <row r="876">
      <c r="B876" s="14"/>
      <c r="C876" s="14"/>
      <c r="D876" s="14"/>
      <c r="E876" s="14"/>
      <c r="F876" s="14"/>
      <c r="G876" s="14"/>
    </row>
    <row r="877">
      <c r="B877" s="14"/>
      <c r="C877" s="14"/>
      <c r="D877" s="14"/>
      <c r="E877" s="14"/>
      <c r="F877" s="14"/>
      <c r="G877" s="14"/>
    </row>
    <row r="878">
      <c r="B878" s="14"/>
      <c r="C878" s="14"/>
      <c r="D878" s="14"/>
      <c r="E878" s="14"/>
      <c r="F878" s="14"/>
      <c r="G878" s="14"/>
    </row>
    <row r="879">
      <c r="B879" s="14"/>
      <c r="C879" s="14"/>
      <c r="D879" s="14"/>
      <c r="E879" s="14"/>
      <c r="F879" s="14"/>
      <c r="G879" s="14"/>
    </row>
    <row r="880">
      <c r="B880" s="14"/>
      <c r="C880" s="14"/>
      <c r="D880" s="14"/>
      <c r="E880" s="14"/>
      <c r="F880" s="14"/>
      <c r="G880" s="14"/>
    </row>
    <row r="881">
      <c r="B881" s="14"/>
      <c r="C881" s="14"/>
      <c r="D881" s="14"/>
      <c r="E881" s="14"/>
      <c r="F881" s="14"/>
      <c r="G881" s="14"/>
    </row>
    <row r="882">
      <c r="B882" s="14"/>
      <c r="C882" s="14"/>
      <c r="D882" s="14"/>
      <c r="E882" s="14"/>
      <c r="F882" s="14"/>
      <c r="G882" s="14"/>
    </row>
    <row r="883">
      <c r="B883" s="14"/>
      <c r="C883" s="14"/>
      <c r="D883" s="14"/>
      <c r="E883" s="14"/>
      <c r="F883" s="14"/>
      <c r="G883" s="14"/>
    </row>
    <row r="884">
      <c r="B884" s="14"/>
      <c r="C884" s="14"/>
      <c r="D884" s="14"/>
      <c r="E884" s="14"/>
      <c r="F884" s="14"/>
      <c r="G884" s="14"/>
    </row>
    <row r="885">
      <c r="B885" s="14"/>
      <c r="C885" s="14"/>
      <c r="D885" s="14"/>
      <c r="E885" s="14"/>
      <c r="F885" s="14"/>
      <c r="G885" s="14"/>
    </row>
    <row r="886">
      <c r="B886" s="14"/>
      <c r="C886" s="14"/>
      <c r="D886" s="14"/>
      <c r="E886" s="14"/>
      <c r="F886" s="14"/>
      <c r="G886" s="14"/>
    </row>
    <row r="887">
      <c r="B887" s="14"/>
      <c r="C887" s="14"/>
      <c r="D887" s="14"/>
      <c r="E887" s="14"/>
      <c r="F887" s="14"/>
      <c r="G887" s="14"/>
    </row>
    <row r="888">
      <c r="B888" s="14"/>
      <c r="C888" s="14"/>
      <c r="D888" s="14"/>
      <c r="E888" s="14"/>
      <c r="F888" s="14"/>
      <c r="G888" s="14"/>
    </row>
    <row r="889">
      <c r="B889" s="14"/>
      <c r="C889" s="14"/>
      <c r="D889" s="14"/>
      <c r="E889" s="14"/>
      <c r="F889" s="14"/>
      <c r="G889" s="14"/>
    </row>
    <row r="890">
      <c r="B890" s="14"/>
      <c r="C890" s="14"/>
      <c r="D890" s="14"/>
      <c r="E890" s="14"/>
      <c r="F890" s="14"/>
      <c r="G890" s="14"/>
    </row>
    <row r="891">
      <c r="B891" s="14"/>
      <c r="C891" s="14"/>
      <c r="D891" s="14"/>
      <c r="E891" s="14"/>
      <c r="F891" s="14"/>
      <c r="G891" s="14"/>
    </row>
    <row r="892">
      <c r="B892" s="14"/>
      <c r="C892" s="14"/>
      <c r="D892" s="14"/>
      <c r="E892" s="14"/>
      <c r="F892" s="14"/>
      <c r="G892" s="14"/>
    </row>
    <row r="893">
      <c r="B893" s="14"/>
      <c r="C893" s="14"/>
      <c r="D893" s="14"/>
      <c r="E893" s="14"/>
      <c r="F893" s="14"/>
      <c r="G893" s="14"/>
    </row>
    <row r="894">
      <c r="B894" s="14"/>
      <c r="C894" s="14"/>
      <c r="D894" s="14"/>
      <c r="E894" s="14"/>
      <c r="F894" s="14"/>
      <c r="G894" s="14"/>
    </row>
    <row r="895">
      <c r="B895" s="14"/>
      <c r="C895" s="14"/>
      <c r="D895" s="14"/>
      <c r="E895" s="14"/>
      <c r="F895" s="14"/>
      <c r="G895" s="14"/>
    </row>
    <row r="896">
      <c r="B896" s="14"/>
      <c r="C896" s="14"/>
      <c r="D896" s="14"/>
      <c r="E896" s="14"/>
      <c r="F896" s="14"/>
      <c r="G896" s="14"/>
    </row>
    <row r="897">
      <c r="B897" s="14"/>
      <c r="C897" s="14"/>
      <c r="D897" s="14"/>
      <c r="E897" s="14"/>
      <c r="F897" s="14"/>
      <c r="G897" s="14"/>
    </row>
    <row r="898">
      <c r="B898" s="14"/>
      <c r="C898" s="14"/>
      <c r="D898" s="14"/>
      <c r="E898" s="14"/>
      <c r="F898" s="14"/>
      <c r="G898" s="14"/>
    </row>
    <row r="899">
      <c r="B899" s="14"/>
      <c r="C899" s="14"/>
      <c r="D899" s="14"/>
      <c r="E899" s="14"/>
      <c r="F899" s="14"/>
      <c r="G899" s="14"/>
    </row>
    <row r="900">
      <c r="B900" s="14"/>
      <c r="C900" s="14"/>
      <c r="D900" s="14"/>
      <c r="E900" s="14"/>
      <c r="F900" s="14"/>
      <c r="G900" s="14"/>
    </row>
    <row r="901">
      <c r="B901" s="14"/>
      <c r="C901" s="14"/>
      <c r="D901" s="14"/>
      <c r="E901" s="14"/>
      <c r="F901" s="14"/>
      <c r="G901" s="14"/>
    </row>
    <row r="902">
      <c r="B902" s="14"/>
      <c r="C902" s="14"/>
      <c r="D902" s="14"/>
      <c r="E902" s="14"/>
      <c r="F902" s="14"/>
      <c r="G902" s="14"/>
    </row>
    <row r="903">
      <c r="B903" s="14"/>
      <c r="C903" s="14"/>
      <c r="D903" s="14"/>
      <c r="E903" s="14"/>
      <c r="F903" s="14"/>
      <c r="G903" s="14"/>
    </row>
    <row r="904">
      <c r="B904" s="14"/>
      <c r="C904" s="14"/>
      <c r="D904" s="14"/>
      <c r="E904" s="14"/>
      <c r="F904" s="14"/>
      <c r="G904" s="14"/>
    </row>
    <row r="905">
      <c r="B905" s="14"/>
      <c r="C905" s="14"/>
      <c r="D905" s="14"/>
      <c r="E905" s="14"/>
      <c r="F905" s="14"/>
      <c r="G905" s="14"/>
    </row>
    <row r="906">
      <c r="B906" s="14"/>
      <c r="C906" s="14"/>
      <c r="D906" s="14"/>
      <c r="E906" s="14"/>
      <c r="F906" s="14"/>
      <c r="G906" s="14"/>
    </row>
    <row r="907">
      <c r="B907" s="14"/>
      <c r="C907" s="14"/>
      <c r="D907" s="14"/>
      <c r="E907" s="14"/>
      <c r="F907" s="14"/>
      <c r="G907" s="14"/>
    </row>
    <row r="908">
      <c r="B908" s="14"/>
      <c r="C908" s="14"/>
      <c r="D908" s="14"/>
      <c r="E908" s="14"/>
      <c r="F908" s="14"/>
      <c r="G908" s="14"/>
    </row>
    <row r="909">
      <c r="B909" s="14"/>
      <c r="C909" s="14"/>
      <c r="D909" s="14"/>
      <c r="E909" s="14"/>
      <c r="F909" s="14"/>
      <c r="G909" s="14"/>
    </row>
    <row r="910">
      <c r="B910" s="14"/>
      <c r="C910" s="14"/>
      <c r="D910" s="14"/>
      <c r="E910" s="14"/>
      <c r="F910" s="14"/>
      <c r="G910" s="14"/>
    </row>
    <row r="911">
      <c r="B911" s="14"/>
      <c r="C911" s="14"/>
      <c r="D911" s="14"/>
      <c r="E911" s="14"/>
      <c r="F911" s="14"/>
      <c r="G911" s="14"/>
    </row>
    <row r="912">
      <c r="B912" s="14"/>
      <c r="C912" s="14"/>
      <c r="D912" s="14"/>
      <c r="E912" s="14"/>
      <c r="F912" s="14"/>
      <c r="G912" s="14"/>
    </row>
    <row r="913">
      <c r="B913" s="14"/>
      <c r="C913" s="14"/>
      <c r="D913" s="14"/>
      <c r="E913" s="14"/>
      <c r="F913" s="14"/>
      <c r="G913" s="14"/>
    </row>
    <row r="914">
      <c r="B914" s="14"/>
      <c r="C914" s="14"/>
      <c r="D914" s="14"/>
      <c r="E914" s="14"/>
      <c r="F914" s="14"/>
      <c r="G914" s="14"/>
    </row>
    <row r="915">
      <c r="B915" s="14"/>
      <c r="C915" s="14"/>
      <c r="D915" s="14"/>
      <c r="E915" s="14"/>
      <c r="F915" s="14"/>
      <c r="G915" s="14"/>
    </row>
    <row r="916">
      <c r="B916" s="14"/>
      <c r="C916" s="14"/>
      <c r="D916" s="14"/>
      <c r="E916" s="14"/>
      <c r="F916" s="14"/>
      <c r="G916" s="14"/>
    </row>
    <row r="917">
      <c r="B917" s="14"/>
      <c r="C917" s="14"/>
      <c r="D917" s="14"/>
      <c r="E917" s="14"/>
      <c r="F917" s="14"/>
      <c r="G917" s="14"/>
    </row>
    <row r="918">
      <c r="B918" s="14"/>
      <c r="C918" s="14"/>
      <c r="D918" s="14"/>
      <c r="E918" s="14"/>
      <c r="F918" s="14"/>
      <c r="G918" s="14"/>
    </row>
    <row r="919">
      <c r="B919" s="14"/>
      <c r="C919" s="14"/>
      <c r="D919" s="14"/>
      <c r="E919" s="14"/>
      <c r="F919" s="14"/>
      <c r="G919" s="14"/>
    </row>
    <row r="920">
      <c r="B920" s="14"/>
      <c r="C920" s="14"/>
      <c r="D920" s="14"/>
      <c r="E920" s="14"/>
      <c r="F920" s="14"/>
      <c r="G920" s="14"/>
    </row>
    <row r="921">
      <c r="B921" s="14"/>
      <c r="C921" s="14"/>
      <c r="D921" s="14"/>
      <c r="E921" s="14"/>
      <c r="F921" s="14"/>
      <c r="G921" s="14"/>
    </row>
    <row r="922">
      <c r="B922" s="14"/>
      <c r="C922" s="14"/>
      <c r="D922" s="14"/>
      <c r="E922" s="14"/>
      <c r="F922" s="14"/>
      <c r="G922" s="14"/>
    </row>
    <row r="923">
      <c r="B923" s="14"/>
      <c r="C923" s="14"/>
      <c r="D923" s="14"/>
      <c r="E923" s="14"/>
      <c r="F923" s="14"/>
      <c r="G923" s="14"/>
    </row>
    <row r="924">
      <c r="B924" s="14"/>
      <c r="C924" s="14"/>
      <c r="D924" s="14"/>
      <c r="E924" s="14"/>
      <c r="F924" s="14"/>
      <c r="G924" s="14"/>
    </row>
    <row r="925">
      <c r="B925" s="14"/>
      <c r="C925" s="14"/>
      <c r="D925" s="14"/>
      <c r="E925" s="14"/>
      <c r="F925" s="14"/>
      <c r="G925" s="14"/>
    </row>
    <row r="926">
      <c r="B926" s="14"/>
      <c r="C926" s="14"/>
      <c r="D926" s="14"/>
      <c r="E926" s="14"/>
      <c r="F926" s="14"/>
      <c r="G926" s="14"/>
    </row>
    <row r="927">
      <c r="B927" s="14"/>
      <c r="C927" s="14"/>
      <c r="D927" s="14"/>
      <c r="E927" s="14"/>
      <c r="F927" s="14"/>
      <c r="G927" s="14"/>
    </row>
    <row r="928">
      <c r="B928" s="14"/>
      <c r="C928" s="14"/>
      <c r="D928" s="14"/>
      <c r="E928" s="14"/>
      <c r="F928" s="14"/>
      <c r="G928" s="14"/>
    </row>
    <row r="929">
      <c r="B929" s="14"/>
      <c r="C929" s="14"/>
      <c r="D929" s="14"/>
      <c r="E929" s="14"/>
      <c r="F929" s="14"/>
      <c r="G929" s="14"/>
    </row>
    <row r="930">
      <c r="B930" s="14"/>
      <c r="C930" s="14"/>
      <c r="D930" s="14"/>
      <c r="E930" s="14"/>
      <c r="F930" s="14"/>
      <c r="G930" s="14"/>
    </row>
    <row r="931">
      <c r="B931" s="14"/>
      <c r="C931" s="14"/>
      <c r="D931" s="14"/>
      <c r="E931" s="14"/>
      <c r="F931" s="14"/>
      <c r="G931" s="14"/>
    </row>
    <row r="932">
      <c r="B932" s="14"/>
      <c r="C932" s="14"/>
      <c r="D932" s="14"/>
      <c r="E932" s="14"/>
      <c r="F932" s="14"/>
      <c r="G932" s="14"/>
    </row>
    <row r="933">
      <c r="B933" s="14"/>
      <c r="C933" s="14"/>
      <c r="D933" s="14"/>
      <c r="E933" s="14"/>
      <c r="F933" s="14"/>
      <c r="G933" s="14"/>
    </row>
    <row r="934">
      <c r="B934" s="14"/>
      <c r="C934" s="14"/>
      <c r="D934" s="14"/>
      <c r="E934" s="14"/>
      <c r="F934" s="14"/>
      <c r="G934" s="14"/>
    </row>
    <row r="935">
      <c r="B935" s="14"/>
      <c r="C935" s="14"/>
      <c r="D935" s="14"/>
      <c r="E935" s="14"/>
      <c r="F935" s="14"/>
      <c r="G935" s="14"/>
    </row>
    <row r="936">
      <c r="B936" s="14"/>
      <c r="C936" s="14"/>
      <c r="D936" s="14"/>
      <c r="E936" s="14"/>
      <c r="F936" s="14"/>
      <c r="G936" s="14"/>
    </row>
    <row r="937">
      <c r="B937" s="14"/>
      <c r="C937" s="14"/>
      <c r="D937" s="14"/>
      <c r="E937" s="14"/>
      <c r="F937" s="14"/>
      <c r="G937" s="14"/>
    </row>
    <row r="938">
      <c r="B938" s="14"/>
      <c r="C938" s="14"/>
      <c r="D938" s="14"/>
      <c r="E938" s="14"/>
      <c r="F938" s="14"/>
      <c r="G938" s="14"/>
    </row>
    <row r="939">
      <c r="B939" s="14"/>
      <c r="C939" s="14"/>
      <c r="D939" s="14"/>
      <c r="E939" s="14"/>
      <c r="F939" s="14"/>
      <c r="G939" s="14"/>
    </row>
    <row r="940">
      <c r="B940" s="14"/>
      <c r="C940" s="14"/>
      <c r="D940" s="14"/>
      <c r="E940" s="14"/>
      <c r="F940" s="14"/>
      <c r="G940" s="14"/>
    </row>
    <row r="941">
      <c r="B941" s="14"/>
      <c r="C941" s="14"/>
      <c r="D941" s="14"/>
      <c r="E941" s="14"/>
      <c r="F941" s="14"/>
      <c r="G941" s="14"/>
    </row>
    <row r="942">
      <c r="B942" s="14"/>
      <c r="C942" s="14"/>
      <c r="D942" s="14"/>
      <c r="E942" s="14"/>
      <c r="F942" s="14"/>
      <c r="G942" s="14"/>
    </row>
    <row r="943">
      <c r="B943" s="14"/>
      <c r="C943" s="14"/>
      <c r="D943" s="14"/>
      <c r="E943" s="14"/>
      <c r="F943" s="14"/>
      <c r="G943" s="14"/>
    </row>
    <row r="944">
      <c r="B944" s="14"/>
      <c r="C944" s="14"/>
      <c r="D944" s="14"/>
      <c r="E944" s="14"/>
      <c r="F944" s="14"/>
      <c r="G944" s="14"/>
    </row>
    <row r="945">
      <c r="B945" s="14"/>
      <c r="C945" s="14"/>
      <c r="D945" s="14"/>
      <c r="E945" s="14"/>
      <c r="F945" s="14"/>
      <c r="G945" s="14"/>
    </row>
    <row r="946">
      <c r="B946" s="14"/>
      <c r="C946" s="14"/>
      <c r="D946" s="14"/>
      <c r="E946" s="14"/>
      <c r="F946" s="14"/>
      <c r="G946" s="14"/>
    </row>
    <row r="947">
      <c r="B947" s="14"/>
      <c r="C947" s="14"/>
      <c r="D947" s="14"/>
      <c r="E947" s="14"/>
      <c r="F947" s="14"/>
      <c r="G947" s="14"/>
    </row>
    <row r="948">
      <c r="B948" s="14"/>
      <c r="C948" s="14"/>
      <c r="D948" s="14"/>
      <c r="E948" s="14"/>
      <c r="F948" s="14"/>
      <c r="G948" s="14"/>
    </row>
    <row r="949">
      <c r="B949" s="14"/>
      <c r="C949" s="14"/>
      <c r="D949" s="14"/>
      <c r="E949" s="14"/>
      <c r="F949" s="14"/>
      <c r="G949" s="14"/>
    </row>
    <row r="950">
      <c r="B950" s="14"/>
      <c r="C950" s="14"/>
      <c r="D950" s="14"/>
      <c r="E950" s="14"/>
      <c r="F950" s="14"/>
      <c r="G950" s="14"/>
    </row>
    <row r="951">
      <c r="B951" s="14"/>
      <c r="C951" s="14"/>
      <c r="D951" s="14"/>
      <c r="E951" s="14"/>
      <c r="F951" s="14"/>
      <c r="G951" s="14"/>
    </row>
    <row r="952">
      <c r="B952" s="14"/>
      <c r="C952" s="14"/>
      <c r="D952" s="14"/>
      <c r="E952" s="14"/>
      <c r="F952" s="14"/>
      <c r="G952" s="14"/>
    </row>
    <row r="953">
      <c r="B953" s="14"/>
      <c r="C953" s="14"/>
      <c r="D953" s="14"/>
      <c r="E953" s="14"/>
      <c r="F953" s="14"/>
      <c r="G953" s="14"/>
    </row>
    <row r="954">
      <c r="B954" s="14"/>
      <c r="C954" s="14"/>
      <c r="D954" s="14"/>
      <c r="E954" s="14"/>
      <c r="F954" s="14"/>
      <c r="G954" s="14"/>
    </row>
    <row r="955">
      <c r="B955" s="14"/>
      <c r="C955" s="14"/>
      <c r="D955" s="14"/>
      <c r="E955" s="14"/>
      <c r="F955" s="14"/>
      <c r="G955" s="14"/>
    </row>
    <row r="956">
      <c r="B956" s="14"/>
      <c r="C956" s="14"/>
      <c r="D956" s="14"/>
      <c r="E956" s="14"/>
      <c r="F956" s="14"/>
      <c r="G956" s="14"/>
    </row>
    <row r="957">
      <c r="B957" s="14"/>
      <c r="C957" s="14"/>
      <c r="D957" s="14"/>
      <c r="E957" s="14"/>
      <c r="F957" s="14"/>
      <c r="G957" s="14"/>
    </row>
    <row r="958">
      <c r="B958" s="14"/>
      <c r="C958" s="14"/>
      <c r="D958" s="14"/>
      <c r="E958" s="14"/>
      <c r="F958" s="14"/>
      <c r="G958" s="14"/>
    </row>
    <row r="959">
      <c r="B959" s="14"/>
      <c r="C959" s="14"/>
      <c r="D959" s="14"/>
      <c r="E959" s="14"/>
      <c r="F959" s="14"/>
      <c r="G959" s="14"/>
    </row>
    <row r="960">
      <c r="B960" s="14"/>
      <c r="C960" s="14"/>
      <c r="D960" s="14"/>
      <c r="E960" s="14"/>
      <c r="F960" s="14"/>
      <c r="G960" s="14"/>
    </row>
    <row r="961">
      <c r="B961" s="14"/>
      <c r="C961" s="14"/>
      <c r="D961" s="14"/>
      <c r="E961" s="14"/>
      <c r="F961" s="14"/>
      <c r="G961" s="14"/>
    </row>
    <row r="962">
      <c r="B962" s="14"/>
      <c r="C962" s="14"/>
      <c r="D962" s="14"/>
      <c r="E962" s="14"/>
      <c r="F962" s="14"/>
      <c r="G962" s="14"/>
    </row>
    <row r="963">
      <c r="B963" s="14"/>
      <c r="C963" s="14"/>
      <c r="D963" s="14"/>
      <c r="E963" s="14"/>
      <c r="F963" s="14"/>
      <c r="G963" s="14"/>
    </row>
    <row r="964">
      <c r="B964" s="14"/>
      <c r="C964" s="14"/>
      <c r="D964" s="14"/>
      <c r="E964" s="14"/>
      <c r="F964" s="14"/>
      <c r="G964" s="14"/>
    </row>
    <row r="965">
      <c r="B965" s="14"/>
      <c r="C965" s="14"/>
      <c r="D965" s="14"/>
      <c r="E965" s="14"/>
      <c r="F965" s="14"/>
      <c r="G965" s="14"/>
    </row>
    <row r="966">
      <c r="B966" s="14"/>
      <c r="C966" s="14"/>
      <c r="D966" s="14"/>
      <c r="E966" s="14"/>
      <c r="F966" s="14"/>
      <c r="G966" s="14"/>
    </row>
    <row r="967">
      <c r="B967" s="14"/>
      <c r="C967" s="14"/>
      <c r="D967" s="14"/>
      <c r="E967" s="14"/>
      <c r="F967" s="14"/>
      <c r="G967" s="14"/>
    </row>
    <row r="968">
      <c r="B968" s="14"/>
      <c r="C968" s="14"/>
      <c r="D968" s="14"/>
      <c r="E968" s="14"/>
      <c r="F968" s="14"/>
      <c r="G968" s="14"/>
    </row>
    <row r="969">
      <c r="B969" s="14"/>
      <c r="C969" s="14"/>
      <c r="D969" s="14"/>
      <c r="E969" s="14"/>
      <c r="F969" s="14"/>
      <c r="G969" s="14"/>
    </row>
    <row r="970">
      <c r="B970" s="14"/>
      <c r="C970" s="14"/>
      <c r="D970" s="14"/>
      <c r="E970" s="14"/>
      <c r="F970" s="14"/>
      <c r="G970" s="14"/>
    </row>
    <row r="971">
      <c r="B971" s="14"/>
      <c r="C971" s="14"/>
      <c r="D971" s="14"/>
      <c r="E971" s="14"/>
      <c r="F971" s="14"/>
      <c r="G971" s="14"/>
    </row>
    <row r="972">
      <c r="B972" s="14"/>
      <c r="C972" s="14"/>
      <c r="D972" s="14"/>
      <c r="E972" s="14"/>
      <c r="F972" s="14"/>
      <c r="G972" s="14"/>
    </row>
    <row r="973">
      <c r="B973" s="14"/>
      <c r="C973" s="14"/>
      <c r="D973" s="14"/>
      <c r="E973" s="14"/>
      <c r="F973" s="14"/>
      <c r="G973" s="14"/>
    </row>
    <row r="974">
      <c r="B974" s="14"/>
      <c r="C974" s="14"/>
      <c r="D974" s="14"/>
      <c r="E974" s="14"/>
      <c r="F974" s="14"/>
      <c r="G974" s="14"/>
    </row>
    <row r="975">
      <c r="B975" s="14"/>
      <c r="C975" s="14"/>
      <c r="D975" s="14"/>
      <c r="E975" s="14"/>
      <c r="F975" s="14"/>
      <c r="G975" s="14"/>
    </row>
    <row r="976">
      <c r="B976" s="14"/>
      <c r="C976" s="14"/>
      <c r="D976" s="14"/>
      <c r="E976" s="14"/>
      <c r="F976" s="14"/>
      <c r="G976" s="14"/>
    </row>
    <row r="977">
      <c r="B977" s="14"/>
      <c r="C977" s="14"/>
      <c r="D977" s="14"/>
      <c r="E977" s="14"/>
      <c r="F977" s="14"/>
      <c r="G977" s="14"/>
    </row>
    <row r="978">
      <c r="B978" s="14"/>
      <c r="C978" s="14"/>
      <c r="D978" s="14"/>
      <c r="E978" s="14"/>
      <c r="F978" s="14"/>
      <c r="G978" s="14"/>
    </row>
    <row r="979">
      <c r="B979" s="14"/>
      <c r="C979" s="14"/>
      <c r="D979" s="14"/>
      <c r="E979" s="14"/>
      <c r="F979" s="14"/>
      <c r="G979" s="14"/>
    </row>
    <row r="980">
      <c r="B980" s="14"/>
      <c r="C980" s="14"/>
      <c r="D980" s="14"/>
      <c r="E980" s="14"/>
      <c r="F980" s="14"/>
      <c r="G980" s="14"/>
    </row>
    <row r="981">
      <c r="B981" s="14"/>
      <c r="C981" s="14"/>
      <c r="D981" s="14"/>
      <c r="E981" s="14"/>
      <c r="F981" s="14"/>
      <c r="G981" s="14"/>
    </row>
    <row r="982">
      <c r="B982" s="14"/>
      <c r="C982" s="14"/>
      <c r="D982" s="14"/>
      <c r="E982" s="14"/>
      <c r="F982" s="14"/>
      <c r="G982" s="14"/>
    </row>
    <row r="983">
      <c r="B983" s="14"/>
      <c r="C983" s="14"/>
      <c r="D983" s="14"/>
      <c r="E983" s="14"/>
      <c r="F983" s="14"/>
      <c r="G983" s="14"/>
    </row>
    <row r="984">
      <c r="B984" s="14"/>
      <c r="C984" s="14"/>
      <c r="D984" s="14"/>
      <c r="E984" s="14"/>
      <c r="F984" s="14"/>
      <c r="G984" s="14"/>
    </row>
    <row r="985">
      <c r="B985" s="14"/>
      <c r="C985" s="14"/>
      <c r="D985" s="14"/>
      <c r="E985" s="14"/>
      <c r="F985" s="14"/>
      <c r="G985" s="14"/>
    </row>
    <row r="986">
      <c r="B986" s="14"/>
      <c r="C986" s="14"/>
      <c r="D986" s="14"/>
      <c r="E986" s="14"/>
      <c r="F986" s="14"/>
      <c r="G986" s="14"/>
    </row>
    <row r="987">
      <c r="B987" s="14"/>
      <c r="C987" s="14"/>
      <c r="D987" s="14"/>
      <c r="E987" s="14"/>
      <c r="F987" s="14"/>
      <c r="G987" s="14"/>
    </row>
    <row r="988">
      <c r="B988" s="14"/>
      <c r="C988" s="14"/>
      <c r="D988" s="14"/>
      <c r="E988" s="14"/>
      <c r="F988" s="14"/>
      <c r="G988" s="14"/>
    </row>
    <row r="989">
      <c r="B989" s="14"/>
      <c r="C989" s="14"/>
      <c r="D989" s="14"/>
      <c r="E989" s="14"/>
      <c r="F989" s="14"/>
      <c r="G989" s="14"/>
    </row>
    <row r="990">
      <c r="B990" s="14"/>
      <c r="C990" s="14"/>
      <c r="D990" s="14"/>
      <c r="E990" s="14"/>
      <c r="F990" s="14"/>
      <c r="G990" s="14"/>
    </row>
    <row r="991">
      <c r="B991" s="14"/>
      <c r="C991" s="14"/>
      <c r="D991" s="14"/>
      <c r="E991" s="14"/>
      <c r="F991" s="14"/>
      <c r="G991" s="14"/>
    </row>
    <row r="992">
      <c r="B992" s="14"/>
      <c r="C992" s="14"/>
      <c r="D992" s="14"/>
      <c r="E992" s="14"/>
      <c r="F992" s="14"/>
      <c r="G992" s="14"/>
    </row>
    <row r="993">
      <c r="B993" s="14"/>
      <c r="C993" s="14"/>
      <c r="D993" s="14"/>
      <c r="E993" s="14"/>
      <c r="F993" s="14"/>
      <c r="G993" s="14"/>
    </row>
    <row r="994">
      <c r="B994" s="14"/>
      <c r="C994" s="14"/>
      <c r="D994" s="14"/>
      <c r="E994" s="14"/>
      <c r="F994" s="14"/>
      <c r="G994" s="14"/>
    </row>
  </sheetData>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2" max="5" width="10.88"/>
    <col customWidth="1" min="20" max="20" width="14.0"/>
    <col hidden="1" min="24" max="27" width="12.63"/>
  </cols>
  <sheetData>
    <row r="1">
      <c r="B1" s="14"/>
      <c r="C1" s="14"/>
      <c r="D1" s="14"/>
      <c r="E1" s="14"/>
      <c r="F1" s="14"/>
      <c r="G1" s="14"/>
    </row>
    <row r="2">
      <c r="A2" s="11"/>
      <c r="B2" s="219" t="s">
        <v>110</v>
      </c>
      <c r="C2" s="14"/>
      <c r="D2" s="14"/>
      <c r="E2" s="14"/>
      <c r="F2" s="14"/>
      <c r="G2" s="14"/>
      <c r="O2" s="233" t="s">
        <v>111</v>
      </c>
      <c r="V2" s="233"/>
      <c r="X2" s="234" t="s">
        <v>112</v>
      </c>
    </row>
    <row r="3">
      <c r="B3" s="14"/>
      <c r="C3" s="14"/>
      <c r="D3" s="14"/>
      <c r="E3" s="14"/>
      <c r="F3" s="14"/>
      <c r="G3" s="14"/>
      <c r="V3" s="233"/>
    </row>
    <row r="4">
      <c r="F4" s="14"/>
      <c r="G4" s="14"/>
      <c r="V4" s="233"/>
    </row>
    <row r="5">
      <c r="F5" s="14"/>
      <c r="G5" s="14"/>
      <c r="V5" s="233"/>
    </row>
    <row r="6">
      <c r="F6" s="14"/>
      <c r="G6" s="14"/>
      <c r="V6" s="233"/>
    </row>
    <row r="7">
      <c r="F7" s="14"/>
      <c r="G7" s="14"/>
      <c r="V7" s="233"/>
    </row>
    <row r="8">
      <c r="F8" s="14"/>
      <c r="G8" s="14"/>
      <c r="V8" s="233"/>
    </row>
    <row r="9">
      <c r="F9" s="14"/>
      <c r="G9" s="14"/>
      <c r="V9" s="233"/>
    </row>
    <row r="10">
      <c r="F10" s="14"/>
      <c r="G10" s="14"/>
      <c r="V10" s="233"/>
    </row>
    <row r="11">
      <c r="F11" s="14"/>
      <c r="G11" s="14"/>
      <c r="V11" s="233"/>
    </row>
    <row r="12">
      <c r="F12" s="14"/>
      <c r="G12" s="14"/>
      <c r="V12" s="233"/>
    </row>
    <row r="13">
      <c r="F13" s="14"/>
      <c r="G13" s="14"/>
      <c r="V13" s="233"/>
    </row>
    <row r="14">
      <c r="B14" s="14"/>
      <c r="C14" s="14"/>
      <c r="D14" s="14"/>
      <c r="E14" s="14"/>
      <c r="F14" s="14"/>
      <c r="G14" s="14"/>
      <c r="V14" s="233"/>
    </row>
    <row r="15">
      <c r="B15" s="14"/>
      <c r="C15" s="14"/>
      <c r="D15" s="14"/>
      <c r="E15" s="14"/>
      <c r="F15" s="14"/>
      <c r="G15" s="14"/>
      <c r="V15" s="233"/>
    </row>
    <row r="16">
      <c r="B16" s="14"/>
      <c r="C16" s="14"/>
      <c r="D16" s="14"/>
      <c r="E16" s="14"/>
      <c r="F16" s="14"/>
      <c r="G16" s="14"/>
      <c r="V16" s="233"/>
    </row>
    <row r="17">
      <c r="B17" s="14"/>
      <c r="C17" s="14"/>
      <c r="D17" s="14"/>
      <c r="E17" s="14"/>
      <c r="F17" s="14"/>
      <c r="G17" s="14"/>
      <c r="V17" s="233"/>
    </row>
    <row r="18">
      <c r="B18" s="14"/>
      <c r="C18" s="14"/>
      <c r="D18" s="14"/>
      <c r="E18" s="14"/>
      <c r="F18" s="14"/>
      <c r="G18" s="14"/>
      <c r="V18" s="233"/>
    </row>
    <row r="20">
      <c r="M20" s="235"/>
    </row>
    <row r="21">
      <c r="M21" s="235"/>
    </row>
    <row r="22">
      <c r="M22" s="235"/>
    </row>
    <row r="24">
      <c r="O24" s="233" t="s">
        <v>113</v>
      </c>
      <c r="V24" s="233" t="s">
        <v>114</v>
      </c>
    </row>
    <row r="25">
      <c r="V25" s="233"/>
    </row>
    <row r="26">
      <c r="V26" s="233"/>
    </row>
    <row r="27">
      <c r="V27" s="233"/>
    </row>
    <row r="28">
      <c r="V28" s="233"/>
    </row>
    <row r="29">
      <c r="V29" s="233"/>
    </row>
    <row r="30">
      <c r="V30" s="233"/>
    </row>
    <row r="31">
      <c r="V31" s="233"/>
    </row>
    <row r="32">
      <c r="V32" s="233"/>
    </row>
    <row r="33">
      <c r="V33" s="233"/>
    </row>
    <row r="34">
      <c r="V34" s="233"/>
    </row>
    <row r="35">
      <c r="V35" s="233"/>
    </row>
    <row r="36">
      <c r="V36" s="233"/>
    </row>
    <row r="37">
      <c r="V37" s="233"/>
    </row>
    <row r="38">
      <c r="V38" s="233"/>
    </row>
    <row r="39">
      <c r="V39" s="233"/>
    </row>
    <row r="40">
      <c r="V40" s="233"/>
    </row>
    <row r="41">
      <c r="V41" s="233"/>
    </row>
    <row r="42">
      <c r="V42" s="233"/>
    </row>
    <row r="43">
      <c r="V43" s="233"/>
    </row>
    <row r="44">
      <c r="O44" s="233"/>
      <c r="P44" s="233"/>
      <c r="Q44" s="233"/>
      <c r="R44" s="233"/>
      <c r="S44" s="233"/>
      <c r="T44" s="233"/>
      <c r="V44" s="233"/>
    </row>
    <row r="51">
      <c r="B51" s="14"/>
      <c r="C51" s="14"/>
      <c r="D51" s="14"/>
      <c r="E51" s="14"/>
    </row>
    <row r="52">
      <c r="A52" s="14"/>
      <c r="B52" s="14"/>
      <c r="C52" s="14"/>
      <c r="D52" s="14"/>
      <c r="E52" s="14"/>
      <c r="F52" s="14"/>
      <c r="G52" s="14"/>
      <c r="H52" s="14"/>
      <c r="I52" s="14"/>
    </row>
    <row r="53">
      <c r="A53" s="14"/>
      <c r="B53" s="14"/>
      <c r="C53" s="14"/>
      <c r="D53" s="14"/>
      <c r="E53" s="14"/>
      <c r="F53" s="14"/>
      <c r="G53" s="14"/>
      <c r="H53" s="14"/>
      <c r="I53" s="14"/>
    </row>
    <row r="54">
      <c r="A54" s="14"/>
      <c r="B54" s="14"/>
      <c r="C54" s="14"/>
      <c r="D54" s="14"/>
      <c r="E54" s="14"/>
      <c r="F54" s="14"/>
      <c r="G54" s="14"/>
      <c r="H54" s="14"/>
      <c r="I54" s="14"/>
    </row>
    <row r="55">
      <c r="A55" s="14"/>
      <c r="B55" s="14"/>
      <c r="C55" s="14"/>
      <c r="D55" s="14"/>
      <c r="E55" s="14"/>
      <c r="F55" s="14"/>
      <c r="G55" s="14"/>
      <c r="H55" s="14"/>
      <c r="I55" s="14"/>
    </row>
    <row r="56">
      <c r="A56" s="14"/>
      <c r="B56" s="14"/>
      <c r="C56" s="14"/>
      <c r="D56" s="14"/>
      <c r="E56" s="14"/>
      <c r="F56" s="14"/>
      <c r="G56" s="14"/>
      <c r="H56" s="14"/>
      <c r="I56" s="14"/>
    </row>
    <row r="57">
      <c r="A57" s="14"/>
      <c r="B57" s="14"/>
      <c r="C57" s="14"/>
      <c r="D57" s="14"/>
      <c r="E57" s="14"/>
      <c r="F57" s="14"/>
      <c r="G57" s="14"/>
      <c r="H57" s="14"/>
      <c r="I57" s="14"/>
    </row>
    <row r="58">
      <c r="A58" s="14"/>
      <c r="B58" s="14"/>
      <c r="C58" s="14"/>
      <c r="D58" s="14"/>
      <c r="E58" s="14"/>
      <c r="F58" s="14"/>
      <c r="G58" s="14"/>
      <c r="H58" s="14"/>
      <c r="I58" s="14"/>
    </row>
    <row r="59">
      <c r="A59" s="14"/>
      <c r="B59" s="14"/>
      <c r="C59" s="14"/>
      <c r="D59" s="14"/>
      <c r="E59" s="14"/>
      <c r="F59" s="14"/>
      <c r="G59" s="14"/>
      <c r="H59" s="14"/>
      <c r="I59" s="14"/>
    </row>
    <row r="60">
      <c r="A60" s="14"/>
      <c r="B60" s="14"/>
      <c r="C60" s="14"/>
      <c r="D60" s="14"/>
      <c r="E60" s="14"/>
      <c r="F60" s="14"/>
      <c r="G60" s="14"/>
      <c r="H60" s="14"/>
      <c r="I60" s="14"/>
    </row>
    <row r="61">
      <c r="A61" s="14"/>
      <c r="B61" s="14"/>
      <c r="C61" s="14"/>
      <c r="D61" s="14"/>
      <c r="E61" s="14"/>
      <c r="F61" s="14"/>
      <c r="G61" s="14"/>
      <c r="H61" s="14"/>
      <c r="I61" s="14"/>
    </row>
    <row r="62">
      <c r="A62" s="14"/>
      <c r="B62" s="14"/>
      <c r="C62" s="14"/>
      <c r="D62" s="14"/>
      <c r="E62" s="14"/>
      <c r="F62" s="14"/>
      <c r="G62" s="14"/>
      <c r="H62" s="14"/>
      <c r="I62" s="14"/>
    </row>
    <row r="63">
      <c r="A63" s="14"/>
      <c r="B63" s="14"/>
      <c r="C63" s="14"/>
      <c r="D63" s="14"/>
      <c r="E63" s="14"/>
      <c r="F63" s="14"/>
      <c r="G63" s="14"/>
      <c r="H63" s="14"/>
      <c r="I63" s="14"/>
    </row>
    <row r="64">
      <c r="A64" s="14"/>
      <c r="B64" s="14"/>
      <c r="C64" s="14"/>
      <c r="D64" s="14"/>
      <c r="E64" s="14"/>
      <c r="F64" s="14"/>
      <c r="G64" s="14"/>
      <c r="H64" s="14"/>
      <c r="I64" s="14"/>
    </row>
    <row r="65">
      <c r="A65" s="14"/>
      <c r="B65" s="14"/>
      <c r="C65" s="14"/>
      <c r="D65" s="14"/>
      <c r="E65" s="14"/>
      <c r="F65" s="14"/>
      <c r="G65" s="14"/>
      <c r="H65" s="14"/>
      <c r="I65" s="14"/>
    </row>
    <row r="66">
      <c r="A66" s="236"/>
      <c r="H66" s="236"/>
    </row>
    <row r="67">
      <c r="A67" s="236"/>
      <c r="H67" s="237"/>
    </row>
    <row r="68">
      <c r="A68" s="237"/>
      <c r="H68" s="236"/>
    </row>
    <row r="69">
      <c r="A69" s="236"/>
      <c r="H69" s="237"/>
    </row>
    <row r="70">
      <c r="A70" s="237"/>
      <c r="H70" s="236"/>
    </row>
    <row r="71">
      <c r="A71" s="236"/>
      <c r="H71" s="237"/>
    </row>
    <row r="72">
      <c r="A72" s="237"/>
      <c r="H72" s="236"/>
    </row>
    <row r="73">
      <c r="A73" s="236"/>
      <c r="H73" s="237"/>
    </row>
    <row r="74">
      <c r="A74" s="237"/>
      <c r="H74" s="236"/>
    </row>
    <row r="75">
      <c r="A75" s="236"/>
      <c r="H75" s="237"/>
    </row>
    <row r="76">
      <c r="A76" s="237"/>
      <c r="H76" s="236"/>
    </row>
    <row r="77">
      <c r="A77" s="236"/>
      <c r="H77" s="237"/>
    </row>
    <row r="78">
      <c r="A78" s="237"/>
      <c r="H78" s="236"/>
    </row>
    <row r="79">
      <c r="A79" s="236"/>
      <c r="H79" s="237"/>
    </row>
    <row r="80">
      <c r="A80" s="237"/>
      <c r="H80" s="236"/>
    </row>
    <row r="81">
      <c r="A81" s="236"/>
      <c r="H81" s="237"/>
    </row>
    <row r="82">
      <c r="A82" s="237"/>
      <c r="H82" s="236"/>
    </row>
    <row r="83">
      <c r="A83" s="236"/>
      <c r="H83" s="237"/>
    </row>
    <row r="84">
      <c r="A84" s="237"/>
      <c r="H84" s="236"/>
    </row>
    <row r="85">
      <c r="A85" s="236"/>
      <c r="H85" s="237"/>
    </row>
    <row r="86">
      <c r="A86" s="237"/>
      <c r="H86" s="236"/>
    </row>
    <row r="87">
      <c r="A87" s="236"/>
      <c r="H87" s="237"/>
    </row>
    <row r="88">
      <c r="A88" s="237"/>
      <c r="H88" s="236"/>
    </row>
    <row r="89">
      <c r="A89" s="236"/>
      <c r="H89" s="237"/>
    </row>
    <row r="90">
      <c r="A90" s="236"/>
      <c r="H90" s="236"/>
    </row>
    <row r="91">
      <c r="A91" s="237"/>
      <c r="H91" s="237"/>
    </row>
    <row r="92">
      <c r="A92" s="236"/>
      <c r="H92" s="236"/>
    </row>
    <row r="93">
      <c r="A93" s="237"/>
      <c r="H93" s="237"/>
    </row>
    <row r="94">
      <c r="A94" s="236"/>
      <c r="H94" s="236"/>
    </row>
    <row r="95">
      <c r="A95" s="237"/>
      <c r="H95" s="237"/>
    </row>
    <row r="96">
      <c r="A96" s="236"/>
      <c r="H96" s="236"/>
    </row>
    <row r="97">
      <c r="A97" s="237"/>
      <c r="H97" s="237"/>
    </row>
    <row r="98">
      <c r="A98" s="236"/>
      <c r="H98" s="236"/>
    </row>
    <row r="99">
      <c r="A99" s="236"/>
      <c r="H99" s="237"/>
    </row>
    <row r="100">
      <c r="A100" s="237"/>
      <c r="H100" s="236"/>
    </row>
    <row r="101">
      <c r="A101" s="236"/>
      <c r="H101" s="237"/>
    </row>
    <row r="102">
      <c r="A102" s="237"/>
      <c r="H102" s="236"/>
    </row>
    <row r="103">
      <c r="A103" s="236"/>
      <c r="H103" s="237"/>
    </row>
    <row r="104">
      <c r="A104" s="237"/>
      <c r="H104" s="236"/>
    </row>
    <row r="105">
      <c r="A105" s="236"/>
      <c r="H105" s="237"/>
    </row>
    <row r="106">
      <c r="A106" s="237"/>
      <c r="H106" s="236"/>
    </row>
    <row r="107">
      <c r="A107" s="236"/>
      <c r="H107" s="237"/>
    </row>
    <row r="108">
      <c r="A108" s="237"/>
      <c r="H108" s="236"/>
    </row>
    <row r="109">
      <c r="A109" s="236"/>
      <c r="H109" s="237"/>
    </row>
    <row r="110">
      <c r="A110" s="237"/>
      <c r="H110" s="236"/>
    </row>
    <row r="111">
      <c r="A111" s="236"/>
      <c r="H111" s="236"/>
    </row>
    <row r="112">
      <c r="A112" s="237"/>
      <c r="H112" s="237"/>
    </row>
    <row r="113">
      <c r="A113" s="236"/>
      <c r="H113" s="236"/>
    </row>
    <row r="114">
      <c r="A114" s="237"/>
      <c r="H114" s="237"/>
    </row>
    <row r="115">
      <c r="A115" s="236"/>
      <c r="H115" s="236"/>
    </row>
    <row r="116">
      <c r="A116" s="237"/>
      <c r="H116" s="237"/>
    </row>
    <row r="117">
      <c r="A117" s="236"/>
      <c r="H117" s="236"/>
    </row>
    <row r="118">
      <c r="A118" s="237"/>
      <c r="H118" s="237"/>
    </row>
    <row r="119">
      <c r="A119" s="236"/>
      <c r="H119" s="236"/>
    </row>
    <row r="120">
      <c r="A120" s="237"/>
      <c r="H120" s="237"/>
    </row>
    <row r="121">
      <c r="A121" s="236"/>
      <c r="H121" s="236"/>
    </row>
    <row r="122">
      <c r="A122" s="237"/>
      <c r="H122" s="237"/>
    </row>
    <row r="123">
      <c r="A123" s="236"/>
      <c r="H123" s="236"/>
    </row>
    <row r="124">
      <c r="A124" s="237"/>
      <c r="H124" s="237"/>
    </row>
    <row r="125">
      <c r="A125" s="236"/>
      <c r="H125" s="236"/>
    </row>
    <row r="126">
      <c r="A126" s="237"/>
      <c r="H126" s="236"/>
    </row>
    <row r="127">
      <c r="A127" s="236"/>
      <c r="H127" s="237"/>
    </row>
    <row r="128">
      <c r="A128" s="237"/>
      <c r="H128" s="236"/>
    </row>
    <row r="129">
      <c r="A129" s="236"/>
      <c r="H129" s="237"/>
    </row>
    <row r="130">
      <c r="A130" s="237"/>
      <c r="H130" s="236"/>
    </row>
    <row r="131">
      <c r="A131" s="236"/>
      <c r="H131" s="237"/>
    </row>
    <row r="132">
      <c r="A132" s="237"/>
      <c r="H132" s="236"/>
    </row>
    <row r="133">
      <c r="A133" s="236"/>
      <c r="H133" s="237"/>
    </row>
    <row r="134">
      <c r="A134" s="237"/>
      <c r="H134" s="236"/>
    </row>
    <row r="135">
      <c r="A135" s="236"/>
      <c r="H135" s="237"/>
    </row>
    <row r="136">
      <c r="A136" s="237"/>
      <c r="H136" s="236"/>
    </row>
    <row r="137">
      <c r="A137" s="236"/>
      <c r="H137" s="236"/>
    </row>
    <row r="138">
      <c r="A138" s="237"/>
      <c r="H138" s="237"/>
    </row>
    <row r="139">
      <c r="A139" s="236"/>
      <c r="H139" s="236"/>
    </row>
    <row r="140">
      <c r="A140" s="237"/>
    </row>
    <row r="141">
      <c r="A141" s="236"/>
    </row>
    <row r="142">
      <c r="A142" s="237"/>
    </row>
    <row r="143">
      <c r="A143" s="236"/>
    </row>
    <row r="144">
      <c r="A144" s="237"/>
    </row>
    <row r="145">
      <c r="A145" s="236"/>
    </row>
    <row r="146">
      <c r="A146" s="237"/>
    </row>
    <row r="147">
      <c r="A147" s="236"/>
    </row>
    <row r="148">
      <c r="A148" s="236"/>
    </row>
    <row r="149">
      <c r="A149" s="237"/>
    </row>
    <row r="150">
      <c r="A150" s="236"/>
    </row>
    <row r="151">
      <c r="A151" s="237"/>
    </row>
    <row r="152">
      <c r="A152" s="236"/>
    </row>
    <row r="153">
      <c r="A153" s="237"/>
    </row>
    <row r="154">
      <c r="A154" s="236"/>
    </row>
    <row r="155">
      <c r="A155" s="237"/>
    </row>
    <row r="156">
      <c r="A156" s="236"/>
    </row>
    <row r="157">
      <c r="A157" s="237"/>
    </row>
    <row r="158">
      <c r="A158" s="236"/>
    </row>
  </sheetData>
  <mergeCells count="3">
    <mergeCell ref="O2:T18"/>
    <mergeCell ref="X2:AA44"/>
    <mergeCell ref="O24:T43"/>
  </mergeCell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24.25"/>
    <col customWidth="1" min="2" max="2" width="14.25"/>
  </cols>
  <sheetData>
    <row r="2">
      <c r="A2" s="238" t="s">
        <v>92</v>
      </c>
      <c r="B2" s="238" t="s">
        <v>5</v>
      </c>
      <c r="C2" s="238"/>
      <c r="D2" s="238"/>
      <c r="N2" s="233" t="s">
        <v>115</v>
      </c>
    </row>
    <row r="3">
      <c r="A3" s="239" t="s">
        <v>41</v>
      </c>
      <c r="B3" s="238" t="s">
        <v>15</v>
      </c>
      <c r="C3" s="238" t="s">
        <v>11</v>
      </c>
      <c r="D3" s="238" t="s">
        <v>66</v>
      </c>
    </row>
    <row r="4">
      <c r="A4" s="240" t="s">
        <v>12</v>
      </c>
      <c r="B4" s="241">
        <v>0.038314176245210725</v>
      </c>
      <c r="C4" s="241">
        <v>0.06896551724137931</v>
      </c>
      <c r="D4" s="241">
        <v>0.10727969348659004</v>
      </c>
    </row>
    <row r="5">
      <c r="A5" s="240" t="s">
        <v>27</v>
      </c>
      <c r="B5" s="241">
        <v>0.034482758620689655</v>
      </c>
      <c r="C5" s="241">
        <v>0.07279693486590039</v>
      </c>
      <c r="D5" s="241">
        <v>0.10727969348659004</v>
      </c>
    </row>
    <row r="6">
      <c r="A6" s="240" t="s">
        <v>28</v>
      </c>
      <c r="B6" s="241">
        <v>0.038314176245210725</v>
      </c>
      <c r="C6" s="241">
        <v>0.08045977011494253</v>
      </c>
      <c r="D6" s="241">
        <v>0.11877394636015326</v>
      </c>
    </row>
    <row r="7">
      <c r="A7" s="240" t="s">
        <v>29</v>
      </c>
      <c r="B7" s="241">
        <v>0.038314176245210725</v>
      </c>
      <c r="C7" s="241">
        <v>0.07662835249042145</v>
      </c>
      <c r="D7" s="241">
        <v>0.11494252873563218</v>
      </c>
    </row>
    <row r="8">
      <c r="A8" s="240" t="s">
        <v>30</v>
      </c>
      <c r="B8" s="241">
        <v>0.0421455938697318</v>
      </c>
      <c r="C8" s="241">
        <v>0.07662835249042145</v>
      </c>
      <c r="D8" s="241">
        <v>0.11877394636015326</v>
      </c>
    </row>
    <row r="9">
      <c r="A9" s="240" t="s">
        <v>31</v>
      </c>
      <c r="B9" s="241">
        <v>0.019157088122605363</v>
      </c>
      <c r="C9" s="241">
        <v>0.04597701149425287</v>
      </c>
      <c r="D9" s="241">
        <v>0.06513409961685823</v>
      </c>
    </row>
    <row r="10">
      <c r="A10" s="240" t="s">
        <v>32</v>
      </c>
      <c r="B10" s="241">
        <v>0.019157088122605363</v>
      </c>
      <c r="C10" s="241">
        <v>0.034482758620689655</v>
      </c>
      <c r="D10" s="241">
        <v>0.05363984674329502</v>
      </c>
    </row>
    <row r="11">
      <c r="A11" s="240" t="s">
        <v>34</v>
      </c>
      <c r="B11" s="241">
        <v>0.01532567049808429</v>
      </c>
      <c r="C11" s="241">
        <v>0.034482758620689655</v>
      </c>
      <c r="D11" s="241">
        <v>0.04980842911877394</v>
      </c>
    </row>
    <row r="12">
      <c r="A12" s="240" t="s">
        <v>35</v>
      </c>
      <c r="B12" s="241">
        <v>0.022988505747126436</v>
      </c>
      <c r="C12" s="241">
        <v>0.0421455938697318</v>
      </c>
      <c r="D12" s="241">
        <v>0.06513409961685823</v>
      </c>
    </row>
    <row r="13">
      <c r="A13" s="240" t="s">
        <v>36</v>
      </c>
      <c r="B13" s="241">
        <v>0.022988505747126436</v>
      </c>
      <c r="C13" s="241">
        <v>0.04597701149425287</v>
      </c>
      <c r="D13" s="241">
        <v>0.06896551724137931</v>
      </c>
    </row>
    <row r="14">
      <c r="A14" s="240" t="s">
        <v>37</v>
      </c>
      <c r="B14" s="241">
        <v>0.022988505747126436</v>
      </c>
      <c r="C14" s="241">
        <v>0.0421455938697318</v>
      </c>
      <c r="D14" s="241">
        <v>0.06513409961685823</v>
      </c>
    </row>
    <row r="15">
      <c r="A15" s="240" t="s">
        <v>38</v>
      </c>
      <c r="B15" s="241">
        <v>0.022988505747126436</v>
      </c>
      <c r="C15" s="241">
        <v>0.0421455938697318</v>
      </c>
      <c r="D15" s="241">
        <v>0.06513409961685823</v>
      </c>
    </row>
    <row r="16">
      <c r="A16" s="238" t="s">
        <v>66</v>
      </c>
      <c r="B16" s="242">
        <v>0.3371647509578544</v>
      </c>
      <c r="C16" s="242">
        <v>0.6628352490421456</v>
      </c>
      <c r="D16" s="242">
        <v>1.0</v>
      </c>
    </row>
    <row r="27">
      <c r="F27" s="243"/>
      <c r="G27" s="243"/>
      <c r="H27" s="243"/>
      <c r="I27" s="243"/>
      <c r="J27" s="243"/>
      <c r="K27" s="243"/>
      <c r="L27" s="243"/>
    </row>
    <row r="28">
      <c r="F28" s="243"/>
      <c r="G28" s="243"/>
      <c r="H28" s="243"/>
      <c r="I28" s="243"/>
      <c r="J28" s="243"/>
      <c r="K28" s="243"/>
      <c r="L28" s="243"/>
    </row>
    <row r="29">
      <c r="F29" s="243"/>
      <c r="G29" s="243"/>
      <c r="H29" s="243"/>
      <c r="I29" s="243"/>
      <c r="J29" s="243"/>
      <c r="K29" s="243"/>
      <c r="L29" s="243"/>
    </row>
    <row r="30">
      <c r="F30" s="243"/>
      <c r="G30" s="243"/>
      <c r="H30" s="243"/>
      <c r="I30" s="243"/>
      <c r="J30" s="243"/>
      <c r="K30" s="243"/>
      <c r="L30" s="243"/>
    </row>
    <row r="31">
      <c r="F31" s="243"/>
      <c r="G31" s="243"/>
      <c r="H31" s="243"/>
      <c r="I31" s="243"/>
      <c r="J31" s="243"/>
      <c r="K31" s="243"/>
      <c r="L31" s="243"/>
    </row>
    <row r="32">
      <c r="F32" s="243"/>
      <c r="G32" s="243"/>
      <c r="H32" s="243"/>
      <c r="I32" s="243"/>
      <c r="J32" s="243"/>
      <c r="K32" s="243"/>
      <c r="L32" s="243"/>
    </row>
    <row r="33">
      <c r="F33" s="243"/>
      <c r="G33" s="243"/>
      <c r="H33" s="243"/>
      <c r="I33" s="243"/>
      <c r="J33" s="243"/>
      <c r="K33" s="243"/>
      <c r="L33" s="243"/>
    </row>
    <row r="34">
      <c r="F34" s="243"/>
      <c r="G34" s="243"/>
      <c r="H34" s="243"/>
      <c r="I34" s="243"/>
      <c r="J34" s="243"/>
      <c r="K34" s="243"/>
      <c r="L34" s="243"/>
    </row>
    <row r="35">
      <c r="F35" s="243"/>
      <c r="G35" s="243"/>
      <c r="H35" s="243"/>
      <c r="I35" s="243"/>
      <c r="J35" s="243"/>
      <c r="K35" s="243"/>
      <c r="L35" s="243"/>
    </row>
    <row r="36">
      <c r="F36" s="243"/>
      <c r="G36" s="243"/>
      <c r="H36" s="243"/>
      <c r="I36" s="243"/>
      <c r="J36" s="243"/>
      <c r="K36" s="243"/>
      <c r="L36" s="243"/>
    </row>
    <row r="37">
      <c r="F37" s="243"/>
      <c r="G37" s="243"/>
      <c r="H37" s="243"/>
      <c r="I37" s="243"/>
      <c r="J37" s="243"/>
      <c r="K37" s="243"/>
      <c r="L37" s="243"/>
    </row>
    <row r="38">
      <c r="F38" s="243"/>
      <c r="G38" s="243"/>
      <c r="H38" s="243"/>
      <c r="I38" s="243"/>
      <c r="J38" s="243"/>
      <c r="K38" s="243"/>
      <c r="L38" s="243"/>
    </row>
    <row r="39">
      <c r="F39" s="243"/>
      <c r="G39" s="243"/>
      <c r="H39" s="243"/>
      <c r="I39" s="243"/>
      <c r="J39" s="243"/>
      <c r="K39" s="243"/>
      <c r="L39" s="243"/>
    </row>
    <row r="40">
      <c r="F40" s="243"/>
      <c r="G40" s="243"/>
      <c r="H40" s="243"/>
      <c r="I40" s="243"/>
      <c r="J40" s="243"/>
      <c r="K40" s="243"/>
      <c r="L40" s="243"/>
    </row>
    <row r="41">
      <c r="F41" s="243"/>
      <c r="G41" s="243"/>
      <c r="H41" s="243"/>
      <c r="I41" s="243"/>
      <c r="J41" s="243"/>
      <c r="K41" s="243"/>
      <c r="L41" s="243"/>
    </row>
    <row r="42">
      <c r="F42" s="243"/>
      <c r="G42" s="243"/>
      <c r="H42" s="243"/>
      <c r="I42" s="243"/>
      <c r="J42" s="243"/>
      <c r="K42" s="243"/>
      <c r="L42" s="243"/>
    </row>
    <row r="43">
      <c r="F43" s="243"/>
      <c r="G43" s="243"/>
      <c r="H43" s="243"/>
      <c r="I43" s="243"/>
      <c r="J43" s="243"/>
      <c r="K43" s="243"/>
      <c r="L43" s="243"/>
    </row>
    <row r="44">
      <c r="F44" s="243"/>
      <c r="G44" s="243"/>
      <c r="H44" s="243"/>
      <c r="I44" s="243"/>
      <c r="J44" s="243"/>
      <c r="K44" s="243"/>
      <c r="L44" s="243"/>
    </row>
  </sheetData>
  <mergeCells count="1">
    <mergeCell ref="N2:U3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24.75"/>
    <col customWidth="1" min="2" max="2" width="12.38"/>
    <col customWidth="1" min="3" max="3" width="17.75"/>
    <col customWidth="1" min="6" max="6" width="8.75"/>
    <col customWidth="1" min="7" max="7" width="8.88"/>
    <col customWidth="1" min="8" max="8" width="13.63"/>
    <col customWidth="1" min="9" max="10" width="9.38"/>
    <col customWidth="1" min="16" max="16" width="10.25"/>
  </cols>
  <sheetData>
    <row r="1">
      <c r="A1" s="14"/>
      <c r="B1" s="219"/>
      <c r="C1" s="14"/>
      <c r="D1" s="14"/>
      <c r="E1" s="14"/>
    </row>
    <row r="2">
      <c r="A2" s="14"/>
      <c r="B2" s="14"/>
      <c r="C2" s="14"/>
      <c r="D2" s="14"/>
      <c r="E2" s="14"/>
      <c r="T2" s="233" t="s">
        <v>116</v>
      </c>
    </row>
    <row r="3"/>
    <row r="4"/>
    <row r="5"/>
    <row r="6"/>
    <row r="7"/>
    <row r="8"/>
    <row r="9"/>
    <row r="10"/>
    <row r="11"/>
    <row r="12"/>
    <row r="13"/>
    <row r="14"/>
    <row r="15">
      <c r="I15" s="14"/>
    </row>
    <row r="16"/>
    <row r="17"/>
    <row r="18">
      <c r="A18" s="14"/>
      <c r="B18" s="14"/>
      <c r="C18" s="14"/>
      <c r="D18" s="14"/>
      <c r="E18" s="14"/>
    </row>
    <row r="19">
      <c r="A19" s="14"/>
      <c r="B19" s="14"/>
      <c r="C19" s="14"/>
      <c r="D19" s="14"/>
      <c r="E19" s="14"/>
    </row>
    <row r="32"/>
    <row r="33"/>
    <row r="34"/>
    <row r="35"/>
    <row r="36"/>
    <row r="37"/>
    <row r="38"/>
    <row r="39"/>
    <row r="40"/>
    <row r="41"/>
    <row r="42"/>
    <row r="43"/>
    <row r="44"/>
    <row r="45"/>
    <row r="46"/>
    <row r="47">
      <c r="A47" s="14"/>
      <c r="B47" s="14"/>
      <c r="C47" s="14"/>
      <c r="D47" s="14"/>
      <c r="E47" s="14"/>
    </row>
    <row r="55">
      <c r="T55" s="233"/>
      <c r="U55" s="233"/>
      <c r="V55" s="233"/>
      <c r="W55" s="233"/>
      <c r="X55" s="233"/>
      <c r="Y55" s="233"/>
      <c r="Z55" s="233"/>
    </row>
    <row r="56">
      <c r="T56" s="233"/>
      <c r="U56" s="233"/>
      <c r="V56" s="233"/>
      <c r="W56" s="233"/>
      <c r="X56" s="233"/>
      <c r="Y56" s="233"/>
      <c r="Z56" s="233"/>
    </row>
    <row r="57">
      <c r="T57" s="233" t="s">
        <v>117</v>
      </c>
      <c r="AA57" s="245"/>
    </row>
    <row r="58">
      <c r="AA58" s="245"/>
    </row>
    <row r="59">
      <c r="AA59" s="245"/>
    </row>
    <row r="60">
      <c r="AA60" s="245"/>
    </row>
    <row r="61">
      <c r="AA61" s="245"/>
    </row>
    <row r="62">
      <c r="AA62" s="245"/>
    </row>
    <row r="63">
      <c r="AA63" s="245"/>
    </row>
    <row r="64">
      <c r="AA64" s="245"/>
    </row>
    <row r="65">
      <c r="AA65" s="245"/>
    </row>
    <row r="66">
      <c r="AA66" s="245"/>
    </row>
    <row r="67">
      <c r="AA67" s="245"/>
    </row>
    <row r="68">
      <c r="A68" s="14"/>
      <c r="C68" s="14"/>
      <c r="D68" s="14"/>
      <c r="E68" s="14"/>
      <c r="AA68" s="245"/>
    </row>
    <row r="69">
      <c r="A69" s="14"/>
      <c r="B69" s="14"/>
      <c r="C69" s="14"/>
      <c r="D69" s="14"/>
      <c r="E69" s="14"/>
      <c r="AA69" s="245"/>
    </row>
    <row r="70">
      <c r="A70" s="14"/>
      <c r="B70" s="14"/>
      <c r="C70" s="14"/>
      <c r="D70" s="14"/>
      <c r="E70" s="14"/>
      <c r="AA70" s="245"/>
    </row>
    <row r="71">
      <c r="A71" s="14"/>
      <c r="B71" s="14"/>
      <c r="C71" s="14"/>
      <c r="D71" s="14"/>
      <c r="E71" s="14"/>
      <c r="AA71" s="245"/>
    </row>
    <row r="72">
      <c r="A72" s="14"/>
      <c r="B72" s="14"/>
      <c r="C72" s="14"/>
      <c r="D72" s="14"/>
      <c r="E72" s="14"/>
      <c r="AA72" s="245"/>
    </row>
    <row r="73">
      <c r="A73" s="14"/>
      <c r="B73" s="14"/>
      <c r="C73" s="14"/>
      <c r="D73" s="14"/>
      <c r="E73" s="14"/>
      <c r="AA73" s="245"/>
    </row>
    <row r="74">
      <c r="A74" s="14"/>
      <c r="B74" s="14"/>
      <c r="C74" s="14"/>
      <c r="D74" s="14"/>
      <c r="E74" s="14"/>
      <c r="AA74" s="245"/>
    </row>
    <row r="75">
      <c r="A75" s="14"/>
      <c r="B75" s="14"/>
      <c r="C75" s="14"/>
      <c r="D75" s="14"/>
      <c r="E75" s="14"/>
      <c r="AA75" s="245"/>
    </row>
    <row r="76">
      <c r="A76" s="14"/>
      <c r="B76" s="14"/>
      <c r="C76" s="14"/>
      <c r="D76" s="14"/>
      <c r="E76" s="14"/>
      <c r="AA76" s="245"/>
    </row>
    <row r="77">
      <c r="A77" s="14"/>
      <c r="B77" s="14"/>
      <c r="C77" s="14"/>
      <c r="AA77" s="245"/>
    </row>
    <row r="78">
      <c r="A78" s="14"/>
      <c r="B78" s="14"/>
      <c r="C78" s="14"/>
    </row>
    <row r="79">
      <c r="A79" s="14"/>
      <c r="B79" s="14"/>
      <c r="C79" s="14"/>
    </row>
    <row r="80">
      <c r="A80" s="14"/>
      <c r="B80" s="14"/>
      <c r="C80" s="14"/>
    </row>
    <row r="81">
      <c r="A81" s="246"/>
      <c r="B81" s="14"/>
      <c r="C81" s="14"/>
    </row>
    <row r="82">
      <c r="A82" s="247"/>
      <c r="B82" s="14"/>
      <c r="C82" s="14"/>
    </row>
    <row r="83">
      <c r="A83" s="246"/>
      <c r="B83" s="14"/>
      <c r="C83" s="14"/>
      <c r="T83" s="233"/>
      <c r="U83" s="233"/>
      <c r="V83" s="233"/>
      <c r="W83" s="233"/>
      <c r="X83" s="233"/>
      <c r="Y83" s="233"/>
      <c r="Z83" s="233"/>
    </row>
    <row r="84">
      <c r="A84" s="247"/>
      <c r="B84" s="14"/>
      <c r="C84" s="14"/>
      <c r="T84" s="233"/>
      <c r="U84" s="233"/>
      <c r="V84" s="233"/>
      <c r="W84" s="233"/>
      <c r="X84" s="233"/>
      <c r="Y84" s="233"/>
      <c r="Z84" s="233"/>
    </row>
    <row r="85">
      <c r="A85" s="246"/>
      <c r="B85" s="14"/>
      <c r="C85" s="14"/>
      <c r="T85" s="233"/>
      <c r="U85" s="233"/>
      <c r="V85" s="233"/>
      <c r="W85" s="233"/>
      <c r="X85" s="233"/>
      <c r="Y85" s="233"/>
      <c r="Z85" s="233"/>
    </row>
    <row r="86">
      <c r="A86" s="246"/>
      <c r="B86" s="14"/>
      <c r="C86" s="14"/>
      <c r="T86" s="233"/>
      <c r="U86" s="233"/>
      <c r="V86" s="233"/>
      <c r="W86" s="233"/>
      <c r="X86" s="233"/>
      <c r="Y86" s="233"/>
      <c r="Z86" s="233"/>
    </row>
    <row r="87">
      <c r="A87" s="246"/>
      <c r="B87" s="14"/>
      <c r="C87" s="14"/>
      <c r="D87" s="14"/>
      <c r="E87" s="14"/>
      <c r="T87" s="233"/>
      <c r="U87" s="233"/>
      <c r="V87" s="233"/>
      <c r="W87" s="233"/>
      <c r="X87" s="233"/>
      <c r="Y87" s="233"/>
      <c r="Z87" s="233"/>
    </row>
    <row r="88">
      <c r="A88" s="246"/>
      <c r="B88" s="14"/>
      <c r="C88" s="14"/>
      <c r="D88" s="14"/>
      <c r="E88" s="14"/>
      <c r="T88" s="233"/>
      <c r="U88" s="233"/>
      <c r="V88" s="233"/>
      <c r="W88" s="233"/>
      <c r="X88" s="233"/>
      <c r="Y88" s="233"/>
      <c r="Z88" s="233"/>
    </row>
    <row r="89">
      <c r="A89" s="248"/>
      <c r="B89" s="14"/>
      <c r="C89" s="14"/>
      <c r="D89" s="14"/>
      <c r="E89" s="14"/>
      <c r="T89" s="233"/>
      <c r="U89" s="233"/>
      <c r="V89" s="233"/>
      <c r="W89" s="233"/>
      <c r="X89" s="233"/>
      <c r="Y89" s="233"/>
      <c r="Z89" s="233"/>
    </row>
    <row r="90">
      <c r="A90" s="249"/>
      <c r="B90" s="14"/>
      <c r="C90" s="14"/>
      <c r="D90" s="14"/>
      <c r="E90" s="14"/>
      <c r="T90" s="233"/>
      <c r="U90" s="233"/>
      <c r="V90" s="233"/>
      <c r="W90" s="233"/>
      <c r="X90" s="233"/>
      <c r="Y90" s="233"/>
      <c r="Z90" s="233"/>
    </row>
    <row r="91">
      <c r="A91" s="246"/>
      <c r="B91" s="14"/>
      <c r="C91" s="14"/>
      <c r="D91" s="14"/>
      <c r="E91" s="14"/>
      <c r="T91" s="233"/>
      <c r="U91" s="233"/>
      <c r="V91" s="233"/>
      <c r="W91" s="233"/>
      <c r="X91" s="233"/>
      <c r="Y91" s="233"/>
      <c r="Z91" s="233"/>
    </row>
    <row r="92">
      <c r="A92" s="247"/>
      <c r="B92" s="14"/>
      <c r="C92" s="14"/>
      <c r="D92" s="14"/>
      <c r="E92" s="14"/>
      <c r="T92" s="233"/>
      <c r="U92" s="233"/>
      <c r="V92" s="233"/>
      <c r="W92" s="233"/>
      <c r="X92" s="233"/>
      <c r="Y92" s="233"/>
      <c r="Z92" s="233"/>
    </row>
    <row r="93">
      <c r="A93" s="246"/>
      <c r="B93" s="14"/>
      <c r="C93" s="14"/>
      <c r="D93" s="14"/>
      <c r="E93" s="14"/>
      <c r="T93" s="233"/>
      <c r="U93" s="233"/>
      <c r="V93" s="233"/>
      <c r="W93" s="233"/>
      <c r="X93" s="233"/>
      <c r="Y93" s="233"/>
      <c r="Z93" s="233"/>
    </row>
    <row r="94">
      <c r="A94" s="247"/>
      <c r="B94" s="14"/>
      <c r="C94" s="14"/>
      <c r="D94" s="14"/>
      <c r="E94" s="14"/>
      <c r="T94" s="233"/>
      <c r="U94" s="233"/>
      <c r="V94" s="233"/>
      <c r="W94" s="233"/>
      <c r="X94" s="233"/>
      <c r="Y94" s="233"/>
      <c r="Z94" s="233"/>
    </row>
    <row r="95">
      <c r="A95" s="246"/>
      <c r="B95" s="14"/>
      <c r="C95" s="14"/>
      <c r="D95" s="14"/>
      <c r="E95" s="14"/>
      <c r="T95" s="233"/>
      <c r="U95" s="233"/>
      <c r="V95" s="233"/>
      <c r="W95" s="233"/>
      <c r="X95" s="233"/>
      <c r="Y95" s="233"/>
      <c r="Z95" s="233"/>
    </row>
    <row r="96">
      <c r="A96" s="247"/>
      <c r="B96" s="14"/>
      <c r="C96" s="14"/>
      <c r="D96" s="14"/>
      <c r="E96" s="14"/>
      <c r="T96" s="233"/>
      <c r="U96" s="233"/>
      <c r="V96" s="233"/>
      <c r="W96" s="233"/>
      <c r="X96" s="233"/>
      <c r="Y96" s="233"/>
      <c r="Z96" s="233"/>
    </row>
    <row r="97">
      <c r="A97" s="246"/>
      <c r="B97" s="14"/>
      <c r="C97" s="14"/>
      <c r="D97" s="14"/>
      <c r="E97" s="14"/>
      <c r="T97" s="233"/>
      <c r="U97" s="233"/>
      <c r="V97" s="233"/>
      <c r="W97" s="233"/>
      <c r="X97" s="233"/>
      <c r="Y97" s="233"/>
      <c r="Z97" s="233"/>
    </row>
    <row r="98">
      <c r="A98" s="246"/>
      <c r="B98" s="14"/>
      <c r="C98" s="14"/>
      <c r="D98" s="14"/>
      <c r="E98" s="14"/>
      <c r="T98" s="233"/>
      <c r="U98" s="233"/>
      <c r="V98" s="233"/>
      <c r="W98" s="233"/>
      <c r="X98" s="233"/>
      <c r="Y98" s="233"/>
      <c r="Z98" s="233"/>
    </row>
    <row r="99">
      <c r="A99" s="246"/>
      <c r="B99" s="14"/>
      <c r="C99" s="14"/>
      <c r="D99" s="14"/>
      <c r="E99" s="14"/>
      <c r="T99" s="233"/>
      <c r="U99" s="233"/>
      <c r="V99" s="233"/>
      <c r="W99" s="233"/>
      <c r="X99" s="233"/>
      <c r="Y99" s="233"/>
      <c r="Z99" s="233"/>
    </row>
    <row r="100">
      <c r="A100" s="247"/>
      <c r="B100" s="14"/>
      <c r="C100" s="14"/>
      <c r="D100" s="14"/>
      <c r="E100" s="14"/>
      <c r="T100" s="233"/>
      <c r="U100" s="233"/>
      <c r="V100" s="233"/>
      <c r="W100" s="233"/>
      <c r="X100" s="233"/>
      <c r="Y100" s="233"/>
      <c r="Z100" s="233"/>
    </row>
    <row r="101">
      <c r="A101" s="246"/>
      <c r="B101" s="14"/>
      <c r="C101" s="14"/>
      <c r="D101" s="14"/>
      <c r="E101" s="14"/>
      <c r="T101" s="233"/>
      <c r="U101" s="233"/>
      <c r="V101" s="233"/>
      <c r="W101" s="233"/>
      <c r="X101" s="233"/>
      <c r="Y101" s="233"/>
      <c r="Z101" s="233"/>
    </row>
    <row r="102">
      <c r="A102" s="247"/>
      <c r="B102" s="14"/>
      <c r="C102" s="14"/>
      <c r="D102" s="14"/>
      <c r="E102" s="14"/>
      <c r="T102" s="233"/>
      <c r="U102" s="233"/>
      <c r="V102" s="233"/>
      <c r="W102" s="233"/>
      <c r="X102" s="233"/>
      <c r="Y102" s="233"/>
      <c r="Z102" s="233"/>
    </row>
    <row r="103">
      <c r="A103" s="246"/>
      <c r="B103" s="14"/>
      <c r="C103" s="14"/>
      <c r="D103" s="14"/>
      <c r="E103" s="14"/>
      <c r="T103" s="233"/>
      <c r="U103" s="233"/>
      <c r="V103" s="233"/>
      <c r="W103" s="233"/>
      <c r="X103" s="233"/>
      <c r="Y103" s="233"/>
      <c r="Z103" s="233"/>
    </row>
    <row r="104">
      <c r="A104" s="247"/>
      <c r="B104" s="14"/>
      <c r="C104" s="14"/>
      <c r="D104" s="14"/>
      <c r="E104" s="14"/>
      <c r="T104" s="233"/>
      <c r="U104" s="233"/>
      <c r="V104" s="233"/>
      <c r="W104" s="233"/>
      <c r="X104" s="233"/>
      <c r="Y104" s="233"/>
      <c r="Z104" s="233"/>
    </row>
    <row r="105">
      <c r="A105" s="246"/>
      <c r="B105" s="14"/>
      <c r="C105" s="14"/>
      <c r="D105" s="14"/>
      <c r="E105" s="14"/>
      <c r="T105" s="233"/>
      <c r="U105" s="233"/>
      <c r="V105" s="233"/>
      <c r="W105" s="233"/>
      <c r="X105" s="233"/>
      <c r="Y105" s="233"/>
      <c r="Z105" s="233"/>
    </row>
    <row r="106">
      <c r="A106" s="246"/>
      <c r="B106" s="14"/>
      <c r="C106" s="14"/>
      <c r="D106" s="14"/>
      <c r="E106" s="14"/>
      <c r="T106" s="233"/>
      <c r="U106" s="233"/>
      <c r="V106" s="233"/>
      <c r="W106" s="233"/>
      <c r="X106" s="233"/>
      <c r="Y106" s="233"/>
      <c r="Z106" s="233"/>
    </row>
    <row r="107">
      <c r="A107" s="246"/>
      <c r="B107" s="14"/>
      <c r="C107" s="14"/>
      <c r="D107" s="14"/>
      <c r="E107" s="14"/>
      <c r="T107" s="233"/>
      <c r="U107" s="233"/>
      <c r="V107" s="233"/>
      <c r="W107" s="233"/>
      <c r="X107" s="233"/>
      <c r="Y107" s="233"/>
      <c r="Z107" s="233"/>
    </row>
    <row r="108">
      <c r="A108" s="247"/>
      <c r="B108" s="14"/>
      <c r="C108" s="14"/>
      <c r="D108" s="14"/>
      <c r="E108" s="14"/>
      <c r="T108" s="233"/>
      <c r="U108" s="233"/>
      <c r="V108" s="233"/>
      <c r="W108" s="233"/>
      <c r="X108" s="233"/>
      <c r="Y108" s="233"/>
      <c r="Z108" s="233"/>
    </row>
    <row r="109">
      <c r="A109" s="246"/>
      <c r="B109" s="14"/>
      <c r="C109" s="14"/>
      <c r="D109" s="14"/>
      <c r="E109" s="14"/>
      <c r="T109" s="233"/>
      <c r="U109" s="233"/>
      <c r="V109" s="233"/>
      <c r="W109" s="233"/>
      <c r="X109" s="233"/>
      <c r="Y109" s="233"/>
      <c r="Z109" s="233"/>
    </row>
    <row r="110">
      <c r="A110" s="247"/>
      <c r="B110" s="14"/>
      <c r="C110" s="14"/>
      <c r="D110" s="14"/>
      <c r="E110" s="14"/>
      <c r="T110" s="233"/>
      <c r="U110" s="233"/>
      <c r="V110" s="233"/>
      <c r="W110" s="233"/>
      <c r="X110" s="233"/>
      <c r="Y110" s="233"/>
      <c r="Z110" s="233"/>
    </row>
    <row r="111">
      <c r="A111" s="246"/>
      <c r="B111" s="14"/>
      <c r="C111" s="14"/>
      <c r="D111" s="14"/>
      <c r="E111" s="14"/>
      <c r="T111" s="233"/>
      <c r="U111" s="233"/>
      <c r="V111" s="233"/>
      <c r="W111" s="233"/>
      <c r="X111" s="233"/>
      <c r="Y111" s="233"/>
      <c r="Z111" s="233"/>
    </row>
    <row r="112">
      <c r="A112" s="246"/>
      <c r="B112" s="14"/>
      <c r="C112" s="14"/>
      <c r="D112" s="14"/>
      <c r="E112" s="14"/>
      <c r="T112" s="233"/>
      <c r="U112" s="233"/>
      <c r="V112" s="233"/>
      <c r="W112" s="233"/>
      <c r="X112" s="233"/>
      <c r="Y112" s="233"/>
      <c r="Z112" s="233"/>
    </row>
    <row r="113">
      <c r="A113" s="246"/>
      <c r="B113" s="14"/>
      <c r="C113" s="14"/>
      <c r="D113" s="14"/>
      <c r="E113" s="14"/>
      <c r="T113" s="233"/>
      <c r="U113" s="233"/>
      <c r="V113" s="233"/>
      <c r="W113" s="233"/>
      <c r="X113" s="233"/>
      <c r="Y113" s="233"/>
      <c r="Z113" s="233"/>
    </row>
    <row r="114">
      <c r="A114" s="247"/>
      <c r="B114" s="14"/>
      <c r="C114" s="14"/>
      <c r="D114" s="14"/>
      <c r="E114" s="14"/>
      <c r="T114" s="233"/>
      <c r="U114" s="233"/>
      <c r="V114" s="233"/>
      <c r="W114" s="233"/>
      <c r="X114" s="233"/>
      <c r="Y114" s="233"/>
      <c r="Z114" s="233"/>
    </row>
    <row r="115">
      <c r="A115" s="246"/>
      <c r="B115" s="14"/>
      <c r="C115" s="14"/>
      <c r="D115" s="14"/>
      <c r="E115" s="14"/>
      <c r="T115" s="233"/>
      <c r="U115" s="233"/>
      <c r="V115" s="233"/>
      <c r="W115" s="233"/>
      <c r="X115" s="233"/>
      <c r="Y115" s="233"/>
      <c r="Z115" s="233"/>
    </row>
    <row r="116">
      <c r="A116" s="246"/>
      <c r="B116" s="14"/>
      <c r="C116" s="14"/>
      <c r="D116" s="14"/>
      <c r="E116" s="14"/>
      <c r="T116" s="233"/>
      <c r="U116" s="233"/>
      <c r="V116" s="233"/>
      <c r="W116" s="233"/>
      <c r="X116" s="233"/>
      <c r="Y116" s="233"/>
      <c r="Z116" s="233"/>
    </row>
    <row r="117">
      <c r="A117" s="247"/>
      <c r="B117" s="14"/>
      <c r="C117" s="14"/>
      <c r="D117" s="14"/>
      <c r="E117" s="14"/>
      <c r="T117" s="233"/>
      <c r="U117" s="233"/>
      <c r="V117" s="233"/>
      <c r="W117" s="233"/>
      <c r="X117" s="233"/>
      <c r="Y117" s="233"/>
      <c r="Z117" s="233"/>
    </row>
    <row r="118">
      <c r="A118" s="246"/>
      <c r="B118" s="14"/>
      <c r="C118" s="14"/>
      <c r="D118" s="14"/>
      <c r="E118" s="14"/>
      <c r="T118" s="233"/>
      <c r="U118" s="233"/>
      <c r="V118" s="233"/>
      <c r="W118" s="233"/>
      <c r="X118" s="233"/>
      <c r="Y118" s="233"/>
      <c r="Z118" s="233"/>
    </row>
    <row r="119">
      <c r="A119" s="246"/>
      <c r="B119" s="14"/>
      <c r="C119" s="14"/>
      <c r="D119" s="14"/>
      <c r="E119" s="14"/>
      <c r="T119" s="233"/>
      <c r="U119" s="233"/>
      <c r="V119" s="233"/>
      <c r="W119" s="233"/>
      <c r="X119" s="233"/>
      <c r="Y119" s="233"/>
      <c r="Z119" s="233"/>
    </row>
    <row r="120">
      <c r="A120" s="247"/>
      <c r="B120" s="14"/>
      <c r="C120" s="14"/>
      <c r="D120" s="14"/>
      <c r="E120" s="14"/>
      <c r="T120" s="233"/>
      <c r="U120" s="233"/>
      <c r="V120" s="233"/>
      <c r="W120" s="233"/>
      <c r="X120" s="233"/>
      <c r="Y120" s="233"/>
      <c r="Z120" s="233"/>
    </row>
    <row r="121">
      <c r="A121" s="249"/>
      <c r="B121" s="14"/>
      <c r="C121" s="14"/>
      <c r="D121" s="14"/>
      <c r="E121" s="14"/>
      <c r="T121" s="233"/>
      <c r="U121" s="233"/>
      <c r="V121" s="233"/>
      <c r="W121" s="233"/>
      <c r="X121" s="233"/>
      <c r="Y121" s="233"/>
      <c r="Z121" s="233"/>
    </row>
    <row r="122">
      <c r="A122" s="246"/>
      <c r="B122" s="14"/>
      <c r="C122" s="14"/>
      <c r="D122" s="14"/>
      <c r="E122" s="14"/>
      <c r="T122" s="233"/>
      <c r="U122" s="233"/>
      <c r="V122" s="233"/>
      <c r="W122" s="233"/>
      <c r="X122" s="233"/>
      <c r="Y122" s="233"/>
      <c r="Z122" s="233"/>
    </row>
    <row r="123">
      <c r="A123" s="247"/>
      <c r="B123" s="14"/>
      <c r="C123" s="14"/>
      <c r="D123" s="14"/>
      <c r="E123" s="14"/>
      <c r="T123" s="233"/>
      <c r="U123" s="233"/>
      <c r="V123" s="233"/>
      <c r="W123" s="233"/>
      <c r="X123" s="233"/>
      <c r="Y123" s="233"/>
      <c r="Z123" s="233"/>
    </row>
    <row r="124">
      <c r="A124" s="246"/>
      <c r="B124" s="14"/>
      <c r="C124" s="14"/>
      <c r="D124" s="14"/>
      <c r="E124" s="14"/>
      <c r="T124" s="233"/>
      <c r="U124" s="233"/>
      <c r="V124" s="233"/>
      <c r="W124" s="233"/>
      <c r="X124" s="233"/>
      <c r="Y124" s="233"/>
      <c r="Z124" s="233"/>
    </row>
    <row r="125">
      <c r="A125" s="247"/>
      <c r="B125" s="14"/>
      <c r="C125" s="14"/>
      <c r="D125" s="14"/>
      <c r="E125" s="14"/>
      <c r="T125" s="233"/>
      <c r="U125" s="233"/>
      <c r="V125" s="233"/>
      <c r="W125" s="233"/>
      <c r="X125" s="233"/>
      <c r="Y125" s="233"/>
      <c r="Z125" s="233"/>
    </row>
    <row r="126">
      <c r="A126" s="246"/>
      <c r="B126" s="14"/>
      <c r="C126" s="14"/>
      <c r="D126" s="14"/>
      <c r="E126" s="14"/>
      <c r="T126" s="233"/>
      <c r="U126" s="233"/>
      <c r="V126" s="233"/>
      <c r="W126" s="233"/>
      <c r="X126" s="233"/>
      <c r="Y126" s="233"/>
      <c r="Z126" s="233"/>
    </row>
    <row r="127">
      <c r="A127" s="246"/>
      <c r="B127" s="14"/>
      <c r="C127" s="14"/>
      <c r="D127" s="14"/>
      <c r="E127" s="14"/>
      <c r="T127" s="233"/>
      <c r="U127" s="233"/>
      <c r="V127" s="233"/>
      <c r="W127" s="233"/>
      <c r="X127" s="233"/>
      <c r="Y127" s="233"/>
      <c r="Z127" s="233"/>
    </row>
    <row r="128">
      <c r="A128" s="246"/>
      <c r="B128" s="14"/>
      <c r="C128" s="14"/>
      <c r="D128" s="14"/>
      <c r="E128" s="14"/>
      <c r="T128" s="233"/>
      <c r="U128" s="233"/>
      <c r="V128" s="233"/>
      <c r="W128" s="233"/>
      <c r="X128" s="233"/>
      <c r="Y128" s="233"/>
      <c r="Z128" s="233"/>
    </row>
    <row r="129">
      <c r="A129" s="246"/>
      <c r="B129" s="14"/>
      <c r="C129" s="14"/>
      <c r="D129" s="14"/>
      <c r="E129" s="14"/>
      <c r="T129" s="233"/>
      <c r="U129" s="233"/>
      <c r="V129" s="233"/>
      <c r="W129" s="233"/>
      <c r="X129" s="233"/>
      <c r="Y129" s="233"/>
      <c r="Z129" s="233"/>
    </row>
    <row r="130">
      <c r="A130" s="246"/>
      <c r="B130" s="14"/>
      <c r="C130" s="14"/>
      <c r="D130" s="14"/>
      <c r="E130" s="14"/>
      <c r="T130" s="233"/>
      <c r="U130" s="233"/>
      <c r="V130" s="233"/>
      <c r="W130" s="233"/>
      <c r="X130" s="233"/>
      <c r="Y130" s="233"/>
      <c r="Z130" s="233"/>
    </row>
    <row r="131">
      <c r="A131" s="246"/>
      <c r="B131" s="14"/>
      <c r="C131" s="14"/>
      <c r="D131" s="14"/>
      <c r="E131" s="14"/>
      <c r="T131" s="233"/>
      <c r="U131" s="233"/>
      <c r="V131" s="233"/>
      <c r="W131" s="233"/>
      <c r="X131" s="233"/>
      <c r="Y131" s="233"/>
      <c r="Z131" s="233"/>
    </row>
    <row r="132">
      <c r="A132" s="248"/>
      <c r="B132" s="14"/>
      <c r="C132" s="14"/>
      <c r="D132" s="14"/>
      <c r="E132" s="14"/>
      <c r="T132" s="233"/>
      <c r="U132" s="233"/>
      <c r="V132" s="233"/>
      <c r="W132" s="233"/>
      <c r="X132" s="233"/>
      <c r="Y132" s="233"/>
      <c r="Z132" s="233"/>
    </row>
    <row r="133">
      <c r="A133" s="249"/>
      <c r="B133" s="14"/>
      <c r="C133" s="14"/>
      <c r="D133" s="14"/>
      <c r="E133" s="14"/>
      <c r="T133" s="233"/>
      <c r="U133" s="233"/>
      <c r="V133" s="233"/>
      <c r="W133" s="233"/>
      <c r="X133" s="233"/>
      <c r="Y133" s="233"/>
      <c r="Z133" s="233"/>
    </row>
    <row r="134">
      <c r="A134" s="250"/>
      <c r="B134" s="14"/>
      <c r="C134" s="14"/>
      <c r="D134" s="14"/>
      <c r="E134" s="14"/>
      <c r="T134" s="233"/>
      <c r="U134" s="233"/>
      <c r="V134" s="233"/>
      <c r="W134" s="233"/>
      <c r="X134" s="233"/>
      <c r="Y134" s="233"/>
      <c r="Z134" s="233"/>
    </row>
    <row r="135">
      <c r="A135" s="246"/>
      <c r="B135" s="14"/>
      <c r="C135" s="14"/>
      <c r="D135" s="14"/>
      <c r="E135" s="14"/>
      <c r="T135" s="233"/>
      <c r="U135" s="233"/>
      <c r="V135" s="233"/>
      <c r="W135" s="233"/>
      <c r="X135" s="233"/>
      <c r="Y135" s="233"/>
      <c r="Z135" s="233"/>
    </row>
    <row r="136">
      <c r="A136" s="247"/>
      <c r="B136" s="14"/>
      <c r="C136" s="14"/>
      <c r="D136" s="14"/>
      <c r="E136" s="14"/>
    </row>
    <row r="137">
      <c r="A137" s="246"/>
      <c r="B137" s="14"/>
      <c r="C137" s="14"/>
      <c r="D137" s="14"/>
      <c r="E137" s="14"/>
    </row>
    <row r="138">
      <c r="A138" s="247"/>
      <c r="B138" s="14"/>
      <c r="C138" s="14"/>
      <c r="D138" s="14"/>
      <c r="E138" s="14"/>
    </row>
    <row r="139">
      <c r="A139" s="246"/>
      <c r="B139" s="14"/>
      <c r="C139" s="14"/>
      <c r="D139" s="14"/>
      <c r="E139" s="14"/>
    </row>
    <row r="140">
      <c r="A140" s="246"/>
      <c r="B140" s="14"/>
      <c r="C140" s="14"/>
      <c r="D140" s="14"/>
      <c r="E140" s="14"/>
    </row>
    <row r="141">
      <c r="A141" s="246"/>
      <c r="B141" s="14"/>
      <c r="C141" s="14"/>
      <c r="D141" s="14"/>
      <c r="E141" s="14"/>
    </row>
    <row r="142">
      <c r="A142" s="246"/>
      <c r="B142" s="14"/>
      <c r="C142" s="14"/>
      <c r="D142" s="14"/>
      <c r="E142" s="14"/>
    </row>
    <row r="143">
      <c r="A143" s="246"/>
      <c r="B143" s="14"/>
      <c r="C143" s="14"/>
      <c r="D143" s="14"/>
      <c r="E143" s="14"/>
    </row>
    <row r="144">
      <c r="A144" s="14"/>
      <c r="B144" s="14"/>
      <c r="C144" s="14"/>
      <c r="D144" s="14"/>
      <c r="E144" s="14"/>
    </row>
    <row r="145">
      <c r="A145" s="14"/>
      <c r="B145" s="14"/>
      <c r="C145" s="14"/>
      <c r="D145" s="14"/>
      <c r="E145" s="14"/>
    </row>
    <row r="146">
      <c r="A146" s="14"/>
      <c r="B146" s="14"/>
      <c r="C146" s="14"/>
      <c r="D146" s="14"/>
      <c r="E146" s="14"/>
    </row>
    <row r="147">
      <c r="A147" s="14"/>
      <c r="B147" s="14"/>
      <c r="C147" s="14"/>
      <c r="D147" s="14"/>
      <c r="E147" s="14"/>
    </row>
    <row r="148">
      <c r="A148" s="14"/>
      <c r="B148" s="14"/>
      <c r="C148" s="14"/>
      <c r="D148" s="14"/>
      <c r="E148" s="14"/>
    </row>
    <row r="149">
      <c r="A149" s="14"/>
      <c r="B149" s="14"/>
      <c r="C149" s="14"/>
      <c r="D149" s="14"/>
      <c r="E149" s="14"/>
    </row>
    <row r="150">
      <c r="A150" s="14"/>
      <c r="B150" s="14"/>
      <c r="C150" s="14"/>
      <c r="D150" s="14"/>
      <c r="E150" s="14"/>
    </row>
    <row r="151">
      <c r="A151" s="14"/>
      <c r="B151" s="14"/>
      <c r="C151" s="14"/>
      <c r="D151" s="14"/>
      <c r="E151" s="14"/>
    </row>
    <row r="152">
      <c r="A152" s="14"/>
      <c r="B152" s="14"/>
      <c r="C152" s="14"/>
      <c r="D152" s="14"/>
      <c r="E152" s="14"/>
    </row>
    <row r="153">
      <c r="A153" s="14"/>
      <c r="B153" s="14"/>
      <c r="C153" s="14"/>
      <c r="D153" s="14"/>
      <c r="E153" s="14"/>
    </row>
    <row r="154">
      <c r="A154" s="14"/>
      <c r="B154" s="14"/>
      <c r="C154" s="14"/>
      <c r="D154" s="14"/>
      <c r="E154" s="14"/>
    </row>
    <row r="155">
      <c r="A155" s="14"/>
      <c r="B155" s="14"/>
      <c r="C155" s="14"/>
      <c r="D155" s="14"/>
      <c r="E155" s="14"/>
    </row>
    <row r="156">
      <c r="A156" s="14"/>
      <c r="B156" s="14"/>
      <c r="C156" s="14"/>
      <c r="D156" s="14"/>
      <c r="E156" s="14"/>
    </row>
    <row r="157">
      <c r="A157" s="14"/>
      <c r="B157" s="14"/>
      <c r="C157" s="14"/>
      <c r="D157" s="14"/>
      <c r="E157" s="14"/>
    </row>
    <row r="158">
      <c r="A158" s="14"/>
      <c r="B158" s="14"/>
      <c r="C158" s="14"/>
      <c r="D158" s="14"/>
      <c r="E158" s="14"/>
    </row>
    <row r="159">
      <c r="A159" s="14"/>
      <c r="B159" s="14"/>
      <c r="C159" s="14"/>
      <c r="D159" s="14"/>
      <c r="E159" s="14"/>
    </row>
    <row r="160">
      <c r="A160" s="14"/>
      <c r="B160" s="14"/>
      <c r="C160" s="14"/>
      <c r="D160" s="14"/>
      <c r="E160" s="14"/>
    </row>
    <row r="161">
      <c r="A161" s="14"/>
      <c r="B161" s="14"/>
      <c r="C161" s="14"/>
      <c r="D161" s="14"/>
      <c r="E161" s="14"/>
    </row>
    <row r="162">
      <c r="A162" s="14"/>
      <c r="B162" s="14"/>
      <c r="C162" s="14"/>
      <c r="D162" s="14"/>
      <c r="E162" s="14"/>
    </row>
    <row r="163">
      <c r="A163" s="14"/>
      <c r="B163" s="14"/>
      <c r="C163" s="14"/>
      <c r="D163" s="14"/>
      <c r="E163" s="14"/>
    </row>
    <row r="164">
      <c r="A164" s="14"/>
      <c r="B164" s="14"/>
      <c r="C164" s="14"/>
      <c r="D164" s="14"/>
      <c r="E164" s="14"/>
    </row>
    <row r="165">
      <c r="A165" s="14"/>
      <c r="B165" s="14"/>
      <c r="C165" s="14"/>
      <c r="D165" s="14"/>
      <c r="E165" s="14"/>
    </row>
    <row r="166">
      <c r="A166" s="14"/>
      <c r="B166" s="14"/>
      <c r="C166" s="14"/>
      <c r="D166" s="14"/>
      <c r="E166" s="14"/>
    </row>
    <row r="167">
      <c r="A167" s="14"/>
      <c r="B167" s="14"/>
      <c r="C167" s="14"/>
      <c r="D167" s="14"/>
      <c r="E167" s="14"/>
    </row>
    <row r="168">
      <c r="A168" s="14"/>
      <c r="B168" s="14"/>
      <c r="C168" s="14"/>
      <c r="D168" s="14"/>
      <c r="E168" s="14"/>
    </row>
    <row r="169">
      <c r="A169" s="14"/>
      <c r="B169" s="14"/>
      <c r="C169" s="14"/>
      <c r="D169" s="14"/>
      <c r="E169" s="14"/>
    </row>
    <row r="170">
      <c r="A170" s="14"/>
      <c r="B170" s="14"/>
      <c r="C170" s="14"/>
      <c r="D170" s="14"/>
      <c r="E170" s="14"/>
    </row>
    <row r="171">
      <c r="A171" s="14"/>
      <c r="B171" s="14"/>
      <c r="C171" s="14"/>
      <c r="D171" s="14"/>
      <c r="E171" s="14"/>
    </row>
    <row r="172">
      <c r="A172" s="14"/>
      <c r="B172" s="14"/>
      <c r="C172" s="14"/>
      <c r="D172" s="14"/>
      <c r="E172" s="14"/>
    </row>
    <row r="173">
      <c r="A173" s="14"/>
      <c r="B173" s="14"/>
      <c r="C173" s="14"/>
      <c r="D173" s="14"/>
      <c r="E173" s="14"/>
    </row>
    <row r="174">
      <c r="A174" s="14"/>
      <c r="B174" s="14"/>
      <c r="C174" s="14"/>
      <c r="D174" s="14"/>
      <c r="E174" s="14"/>
    </row>
    <row r="175">
      <c r="A175" s="14"/>
      <c r="B175" s="14"/>
      <c r="C175" s="14"/>
      <c r="D175" s="14"/>
      <c r="E175" s="14"/>
    </row>
    <row r="176">
      <c r="A176" s="14"/>
      <c r="B176" s="14"/>
      <c r="C176" s="14"/>
      <c r="D176" s="14"/>
      <c r="E176" s="14"/>
    </row>
    <row r="177">
      <c r="A177" s="14"/>
      <c r="B177" s="14"/>
      <c r="C177" s="14"/>
      <c r="D177" s="14"/>
      <c r="E177" s="14"/>
    </row>
    <row r="178">
      <c r="A178" s="14"/>
      <c r="B178" s="14"/>
      <c r="C178" s="14"/>
      <c r="D178" s="14"/>
      <c r="E178" s="14"/>
    </row>
    <row r="179">
      <c r="A179" s="14"/>
      <c r="B179" s="14"/>
      <c r="C179" s="14"/>
      <c r="D179" s="14"/>
      <c r="E179" s="14"/>
    </row>
    <row r="180">
      <c r="A180" s="14"/>
      <c r="B180" s="14"/>
      <c r="C180" s="14"/>
      <c r="D180" s="14"/>
      <c r="E180" s="14"/>
    </row>
    <row r="181">
      <c r="A181" s="14"/>
      <c r="B181" s="14"/>
      <c r="C181" s="14"/>
      <c r="D181" s="14"/>
      <c r="E181" s="14"/>
    </row>
    <row r="182">
      <c r="A182" s="14"/>
      <c r="B182" s="14"/>
      <c r="C182" s="14"/>
      <c r="D182" s="14"/>
      <c r="E182" s="14"/>
    </row>
    <row r="183">
      <c r="A183" s="14"/>
      <c r="B183" s="14"/>
      <c r="C183" s="14"/>
      <c r="D183" s="14"/>
      <c r="E183" s="14"/>
    </row>
    <row r="184">
      <c r="A184" s="14"/>
      <c r="B184" s="14"/>
      <c r="C184" s="14"/>
      <c r="D184" s="14"/>
      <c r="E184" s="14"/>
    </row>
    <row r="185">
      <c r="A185" s="14"/>
      <c r="B185" s="14"/>
      <c r="C185" s="14"/>
      <c r="D185" s="14"/>
      <c r="E185" s="14"/>
    </row>
    <row r="186">
      <c r="A186" s="14"/>
      <c r="B186" s="14"/>
      <c r="C186" s="14"/>
      <c r="D186" s="14"/>
      <c r="E186" s="14"/>
    </row>
    <row r="187">
      <c r="A187" s="14"/>
      <c r="B187" s="14"/>
      <c r="C187" s="14"/>
      <c r="D187" s="14"/>
      <c r="E187" s="14"/>
    </row>
    <row r="188">
      <c r="A188" s="14"/>
      <c r="B188" s="14"/>
      <c r="C188" s="14"/>
      <c r="D188" s="14"/>
      <c r="E188" s="14"/>
    </row>
    <row r="189">
      <c r="A189" s="14"/>
      <c r="B189" s="14"/>
      <c r="C189" s="14"/>
      <c r="D189" s="14"/>
      <c r="E189" s="14"/>
    </row>
    <row r="190">
      <c r="A190" s="14"/>
      <c r="B190" s="14"/>
      <c r="C190" s="14"/>
      <c r="D190" s="14"/>
      <c r="E190" s="14"/>
    </row>
    <row r="191">
      <c r="A191" s="14"/>
      <c r="B191" s="14"/>
      <c r="C191" s="14"/>
      <c r="D191" s="14"/>
      <c r="E191" s="14"/>
    </row>
    <row r="192">
      <c r="A192" s="14"/>
      <c r="B192" s="14"/>
      <c r="C192" s="14"/>
      <c r="D192" s="14"/>
      <c r="E192" s="14"/>
    </row>
    <row r="193">
      <c r="A193" s="14"/>
      <c r="B193" s="14"/>
      <c r="C193" s="14"/>
      <c r="D193" s="14"/>
      <c r="E193" s="14"/>
    </row>
    <row r="194">
      <c r="A194" s="14"/>
      <c r="B194" s="14"/>
      <c r="C194" s="14"/>
      <c r="D194" s="14"/>
      <c r="E194" s="14"/>
    </row>
    <row r="195">
      <c r="A195" s="14"/>
      <c r="B195" s="14"/>
      <c r="C195" s="14"/>
      <c r="D195" s="14"/>
      <c r="E195" s="14"/>
    </row>
    <row r="196">
      <c r="A196" s="14"/>
      <c r="B196" s="14"/>
      <c r="C196" s="14"/>
      <c r="D196" s="14"/>
      <c r="E196" s="14"/>
    </row>
    <row r="197">
      <c r="A197" s="14"/>
      <c r="B197" s="14"/>
      <c r="C197" s="14"/>
      <c r="D197" s="14"/>
      <c r="E197" s="14"/>
    </row>
    <row r="198">
      <c r="A198" s="14"/>
      <c r="B198" s="14"/>
      <c r="C198" s="14"/>
      <c r="D198" s="14"/>
      <c r="E198" s="14"/>
    </row>
    <row r="199">
      <c r="A199" s="14"/>
      <c r="B199" s="14"/>
      <c r="C199" s="14"/>
      <c r="D199" s="14"/>
      <c r="E199" s="14"/>
    </row>
    <row r="200">
      <c r="A200" s="14"/>
      <c r="B200" s="14"/>
      <c r="C200" s="14"/>
      <c r="D200" s="14"/>
      <c r="E200" s="14"/>
    </row>
    <row r="201">
      <c r="A201" s="14"/>
      <c r="B201" s="14"/>
      <c r="C201" s="14"/>
      <c r="D201" s="14"/>
      <c r="E201" s="14"/>
    </row>
    <row r="202">
      <c r="A202" s="14"/>
      <c r="B202" s="14"/>
      <c r="C202" s="14"/>
      <c r="D202" s="14"/>
      <c r="E202" s="14"/>
    </row>
    <row r="203">
      <c r="A203" s="14"/>
      <c r="B203" s="14"/>
      <c r="C203" s="14"/>
      <c r="D203" s="14"/>
      <c r="E203" s="14"/>
    </row>
    <row r="204">
      <c r="A204" s="14"/>
      <c r="B204" s="14"/>
      <c r="C204" s="14"/>
      <c r="D204" s="14"/>
      <c r="E204" s="14"/>
    </row>
    <row r="205">
      <c r="A205" s="14"/>
      <c r="B205" s="14"/>
      <c r="C205" s="14"/>
      <c r="D205" s="14"/>
      <c r="E205" s="14"/>
    </row>
    <row r="206">
      <c r="A206" s="14"/>
      <c r="B206" s="14"/>
      <c r="C206" s="14"/>
      <c r="D206" s="14"/>
      <c r="E206" s="14"/>
    </row>
    <row r="207">
      <c r="A207" s="14"/>
      <c r="B207" s="14"/>
      <c r="C207" s="14"/>
      <c r="D207" s="14"/>
      <c r="E207" s="14"/>
    </row>
    <row r="208">
      <c r="A208" s="14"/>
      <c r="B208" s="14"/>
      <c r="C208" s="14"/>
      <c r="D208" s="14"/>
      <c r="E208" s="14"/>
    </row>
    <row r="209">
      <c r="A209" s="14"/>
      <c r="B209" s="14"/>
      <c r="C209" s="14"/>
      <c r="D209" s="14"/>
      <c r="E209" s="14"/>
    </row>
    <row r="210">
      <c r="A210" s="14"/>
      <c r="B210" s="14"/>
      <c r="C210" s="14"/>
      <c r="D210" s="14"/>
      <c r="E210" s="14"/>
    </row>
    <row r="211">
      <c r="A211" s="14"/>
      <c r="B211" s="14"/>
      <c r="C211" s="14"/>
      <c r="D211" s="14"/>
      <c r="E211" s="14"/>
    </row>
    <row r="212">
      <c r="A212" s="14"/>
      <c r="B212" s="14"/>
      <c r="C212" s="14"/>
      <c r="D212" s="14"/>
      <c r="E212" s="14"/>
    </row>
    <row r="213">
      <c r="A213" s="14"/>
      <c r="B213" s="14"/>
      <c r="C213" s="14"/>
      <c r="D213" s="14"/>
      <c r="E213" s="14"/>
    </row>
    <row r="214">
      <c r="A214" s="14"/>
      <c r="B214" s="14"/>
      <c r="C214" s="14"/>
      <c r="D214" s="14"/>
      <c r="E214" s="14"/>
    </row>
    <row r="215">
      <c r="A215" s="14"/>
      <c r="B215" s="14"/>
      <c r="C215" s="14"/>
      <c r="D215" s="14"/>
      <c r="E215" s="14"/>
    </row>
    <row r="216">
      <c r="A216" s="14"/>
      <c r="B216" s="14"/>
      <c r="C216" s="14"/>
      <c r="D216" s="14"/>
      <c r="E216" s="14"/>
    </row>
    <row r="217">
      <c r="A217" s="14"/>
      <c r="B217" s="14"/>
      <c r="C217" s="14"/>
      <c r="D217" s="14"/>
      <c r="E217" s="14"/>
    </row>
    <row r="218">
      <c r="A218" s="14"/>
      <c r="B218" s="14"/>
      <c r="C218" s="14"/>
      <c r="D218" s="14"/>
      <c r="E218" s="14"/>
    </row>
    <row r="219">
      <c r="A219" s="14"/>
      <c r="B219" s="14"/>
      <c r="C219" s="14"/>
      <c r="D219" s="14"/>
      <c r="E219" s="14"/>
    </row>
    <row r="220">
      <c r="A220" s="14"/>
      <c r="B220" s="14"/>
      <c r="C220" s="14"/>
      <c r="D220" s="14"/>
      <c r="E220" s="14"/>
    </row>
    <row r="221">
      <c r="A221" s="14"/>
      <c r="B221" s="14"/>
      <c r="C221" s="14"/>
      <c r="D221" s="14"/>
      <c r="E221" s="14"/>
    </row>
    <row r="222">
      <c r="A222" s="14"/>
      <c r="B222" s="14"/>
      <c r="C222" s="14"/>
      <c r="D222" s="14"/>
      <c r="E222" s="14"/>
    </row>
    <row r="223">
      <c r="A223" s="14"/>
      <c r="B223" s="14"/>
      <c r="C223" s="14"/>
      <c r="D223" s="14"/>
      <c r="E223" s="14"/>
    </row>
    <row r="224">
      <c r="A224" s="14"/>
      <c r="B224" s="14"/>
      <c r="C224" s="14"/>
      <c r="D224" s="14"/>
      <c r="E224" s="14"/>
    </row>
    <row r="225">
      <c r="A225" s="14"/>
      <c r="B225" s="14"/>
      <c r="C225" s="14"/>
      <c r="D225" s="14"/>
      <c r="E225" s="14"/>
    </row>
    <row r="226">
      <c r="A226" s="14"/>
      <c r="B226" s="14"/>
      <c r="C226" s="14"/>
      <c r="D226" s="14"/>
      <c r="E226" s="14"/>
    </row>
    <row r="227">
      <c r="A227" s="14"/>
      <c r="B227" s="14"/>
      <c r="C227" s="14"/>
      <c r="D227" s="14"/>
      <c r="E227" s="14"/>
    </row>
    <row r="228">
      <c r="A228" s="14"/>
      <c r="B228" s="14"/>
      <c r="C228" s="14"/>
      <c r="D228" s="14"/>
      <c r="E228" s="14"/>
    </row>
    <row r="229">
      <c r="A229" s="14"/>
      <c r="B229" s="14"/>
      <c r="C229" s="14"/>
      <c r="D229" s="14"/>
      <c r="E229" s="14"/>
    </row>
    <row r="230">
      <c r="A230" s="14"/>
      <c r="B230" s="14"/>
      <c r="C230" s="14"/>
      <c r="D230" s="14"/>
      <c r="E230" s="14"/>
    </row>
    <row r="231">
      <c r="A231" s="14"/>
      <c r="B231" s="14"/>
      <c r="C231" s="14"/>
      <c r="D231" s="14"/>
      <c r="E231" s="14"/>
    </row>
    <row r="232">
      <c r="A232" s="14"/>
      <c r="B232" s="14"/>
      <c r="C232" s="14"/>
      <c r="D232" s="14"/>
      <c r="E232" s="14"/>
    </row>
    <row r="233">
      <c r="A233" s="14"/>
      <c r="B233" s="14"/>
      <c r="C233" s="14"/>
      <c r="D233" s="14"/>
      <c r="E233" s="14"/>
    </row>
    <row r="234">
      <c r="A234" s="14"/>
      <c r="B234" s="14"/>
      <c r="C234" s="14"/>
      <c r="D234" s="14"/>
      <c r="E234" s="14"/>
    </row>
    <row r="235">
      <c r="A235" s="14"/>
      <c r="B235" s="14"/>
      <c r="C235" s="14"/>
      <c r="D235" s="14"/>
      <c r="E235" s="14"/>
    </row>
    <row r="236">
      <c r="A236" s="14"/>
      <c r="B236" s="14"/>
      <c r="C236" s="14"/>
      <c r="D236" s="14"/>
      <c r="E236" s="14"/>
    </row>
    <row r="237">
      <c r="A237" s="14"/>
      <c r="B237" s="14"/>
      <c r="C237" s="14"/>
      <c r="D237" s="14"/>
      <c r="E237" s="14"/>
    </row>
    <row r="238">
      <c r="A238" s="14"/>
      <c r="B238" s="14"/>
      <c r="C238" s="14"/>
      <c r="D238" s="14"/>
      <c r="E238" s="14"/>
    </row>
    <row r="239">
      <c r="A239" s="14"/>
      <c r="B239" s="14"/>
      <c r="C239" s="14"/>
      <c r="D239" s="14"/>
      <c r="E239" s="14"/>
    </row>
    <row r="240">
      <c r="A240" s="14"/>
      <c r="B240" s="14"/>
      <c r="C240" s="14"/>
      <c r="D240" s="14"/>
      <c r="E240" s="14"/>
    </row>
    <row r="241">
      <c r="A241" s="14"/>
      <c r="B241" s="14"/>
      <c r="C241" s="14"/>
      <c r="D241" s="14"/>
      <c r="E241" s="14"/>
    </row>
    <row r="242">
      <c r="A242" s="14"/>
      <c r="B242" s="14"/>
      <c r="C242" s="14"/>
      <c r="D242" s="14"/>
      <c r="E242" s="14"/>
    </row>
    <row r="243">
      <c r="A243" s="14"/>
      <c r="B243" s="14"/>
      <c r="C243" s="14"/>
      <c r="D243" s="14"/>
      <c r="E243" s="14"/>
    </row>
    <row r="244">
      <c r="A244" s="14"/>
      <c r="B244" s="14"/>
      <c r="C244" s="14"/>
      <c r="D244" s="14"/>
      <c r="E244" s="14"/>
    </row>
    <row r="245">
      <c r="A245" s="14"/>
      <c r="B245" s="14"/>
      <c r="C245" s="14"/>
      <c r="D245" s="14"/>
      <c r="E245" s="14"/>
    </row>
    <row r="246">
      <c r="A246" s="14"/>
      <c r="B246" s="14"/>
      <c r="C246" s="14"/>
      <c r="D246" s="14"/>
      <c r="E246" s="14"/>
    </row>
    <row r="247">
      <c r="A247" s="14"/>
      <c r="B247" s="14"/>
      <c r="C247" s="14"/>
      <c r="D247" s="14"/>
      <c r="E247" s="14"/>
    </row>
    <row r="248">
      <c r="A248" s="14"/>
      <c r="B248" s="14"/>
      <c r="C248" s="14"/>
      <c r="D248" s="14"/>
      <c r="E248" s="14"/>
    </row>
    <row r="249">
      <c r="A249" s="14"/>
      <c r="B249" s="14"/>
      <c r="C249" s="14"/>
      <c r="D249" s="14"/>
      <c r="E249" s="14"/>
    </row>
    <row r="250">
      <c r="A250" s="14"/>
      <c r="B250" s="14"/>
      <c r="C250" s="14"/>
      <c r="D250" s="14"/>
      <c r="E250" s="14"/>
    </row>
    <row r="251">
      <c r="A251" s="14"/>
      <c r="B251" s="14"/>
      <c r="C251" s="14"/>
      <c r="D251" s="14"/>
      <c r="E251" s="14"/>
    </row>
    <row r="252">
      <c r="A252" s="14"/>
      <c r="B252" s="14"/>
      <c r="C252" s="14"/>
      <c r="D252" s="14"/>
      <c r="E252" s="14"/>
    </row>
    <row r="253">
      <c r="A253" s="14"/>
      <c r="B253" s="14"/>
      <c r="C253" s="14"/>
      <c r="D253" s="14"/>
      <c r="E253" s="14"/>
    </row>
    <row r="254">
      <c r="A254" s="14"/>
      <c r="B254" s="14"/>
      <c r="C254" s="14"/>
      <c r="D254" s="14"/>
      <c r="E254" s="14"/>
    </row>
    <row r="255">
      <c r="A255" s="14"/>
      <c r="B255" s="14"/>
      <c r="C255" s="14"/>
      <c r="D255" s="14"/>
      <c r="E255" s="14"/>
    </row>
    <row r="256">
      <c r="A256" s="14"/>
      <c r="B256" s="14"/>
      <c r="C256" s="14"/>
      <c r="D256" s="14"/>
      <c r="E256" s="14"/>
    </row>
    <row r="257">
      <c r="A257" s="14"/>
      <c r="B257" s="14"/>
      <c r="C257" s="14"/>
      <c r="D257" s="14"/>
      <c r="E257" s="14"/>
    </row>
    <row r="258">
      <c r="A258" s="14"/>
      <c r="B258" s="14"/>
      <c r="C258" s="14"/>
      <c r="D258" s="14"/>
      <c r="E258" s="14"/>
    </row>
    <row r="259">
      <c r="A259" s="14"/>
      <c r="B259" s="14"/>
      <c r="C259" s="14"/>
      <c r="D259" s="14"/>
      <c r="E259" s="14"/>
    </row>
    <row r="260">
      <c r="A260" s="14"/>
      <c r="B260" s="14"/>
      <c r="C260" s="14"/>
      <c r="D260" s="14"/>
      <c r="E260" s="14"/>
    </row>
    <row r="261">
      <c r="A261" s="14"/>
      <c r="B261" s="14"/>
      <c r="C261" s="14"/>
      <c r="D261" s="14"/>
      <c r="E261" s="14"/>
    </row>
    <row r="262">
      <c r="A262" s="14"/>
      <c r="B262" s="14"/>
      <c r="C262" s="14"/>
      <c r="D262" s="14"/>
      <c r="E262" s="14"/>
    </row>
    <row r="263">
      <c r="A263" s="14"/>
      <c r="B263" s="14"/>
      <c r="C263" s="14"/>
      <c r="D263" s="14"/>
      <c r="E263" s="14"/>
    </row>
    <row r="264">
      <c r="A264" s="14"/>
      <c r="B264" s="14"/>
      <c r="C264" s="14"/>
      <c r="D264" s="14"/>
      <c r="E264" s="14"/>
    </row>
    <row r="265">
      <c r="A265" s="14"/>
      <c r="B265" s="14"/>
      <c r="C265" s="14"/>
      <c r="D265" s="14"/>
      <c r="E265" s="14"/>
    </row>
    <row r="266">
      <c r="A266" s="14"/>
      <c r="B266" s="14"/>
      <c r="C266" s="14"/>
      <c r="D266" s="14"/>
      <c r="E266" s="14"/>
    </row>
    <row r="267">
      <c r="A267" s="14"/>
      <c r="B267" s="14"/>
      <c r="C267" s="14"/>
      <c r="D267" s="14"/>
      <c r="E267" s="14"/>
    </row>
    <row r="268">
      <c r="A268" s="14"/>
      <c r="B268" s="14"/>
      <c r="C268" s="14"/>
      <c r="D268" s="14"/>
      <c r="E268" s="14"/>
    </row>
    <row r="269">
      <c r="A269" s="14"/>
      <c r="B269" s="14"/>
      <c r="C269" s="14"/>
      <c r="D269" s="14"/>
      <c r="E269" s="14"/>
    </row>
    <row r="270">
      <c r="A270" s="14"/>
      <c r="B270" s="14"/>
      <c r="C270" s="14"/>
      <c r="D270" s="14"/>
      <c r="E270" s="14"/>
    </row>
    <row r="271">
      <c r="A271" s="14"/>
      <c r="B271" s="14"/>
      <c r="C271" s="14"/>
      <c r="D271" s="14"/>
      <c r="E271" s="14"/>
    </row>
    <row r="272">
      <c r="A272" s="14"/>
      <c r="B272" s="14"/>
      <c r="C272" s="14"/>
      <c r="D272" s="14"/>
      <c r="E272" s="14"/>
    </row>
    <row r="273">
      <c r="A273" s="14"/>
      <c r="B273" s="14"/>
      <c r="C273" s="14"/>
      <c r="D273" s="14"/>
      <c r="E273" s="14"/>
    </row>
    <row r="274">
      <c r="A274" s="14"/>
      <c r="B274" s="14"/>
      <c r="C274" s="14"/>
      <c r="D274" s="14"/>
      <c r="E274" s="14"/>
    </row>
    <row r="275">
      <c r="A275" s="14"/>
      <c r="B275" s="14"/>
      <c r="C275" s="14"/>
      <c r="D275" s="14"/>
      <c r="E275" s="14"/>
    </row>
    <row r="276">
      <c r="A276" s="14"/>
      <c r="B276" s="14"/>
      <c r="C276" s="14"/>
      <c r="D276" s="14"/>
      <c r="E276" s="14"/>
    </row>
    <row r="277">
      <c r="A277" s="14"/>
      <c r="B277" s="14"/>
      <c r="C277" s="14"/>
      <c r="D277" s="14"/>
      <c r="E277" s="14"/>
    </row>
    <row r="278">
      <c r="A278" s="14"/>
      <c r="B278" s="14"/>
      <c r="C278" s="14"/>
      <c r="D278" s="14"/>
      <c r="E278" s="14"/>
    </row>
    <row r="279">
      <c r="A279" s="14"/>
      <c r="B279" s="14"/>
      <c r="C279" s="14"/>
      <c r="D279" s="14"/>
      <c r="E279" s="14"/>
    </row>
    <row r="280">
      <c r="A280" s="14"/>
      <c r="B280" s="14"/>
      <c r="C280" s="14"/>
      <c r="D280" s="14"/>
      <c r="E280" s="14"/>
    </row>
    <row r="281">
      <c r="A281" s="14"/>
      <c r="B281" s="14"/>
      <c r="C281" s="14"/>
      <c r="D281" s="14"/>
      <c r="E281" s="14"/>
    </row>
    <row r="282">
      <c r="A282" s="14"/>
      <c r="B282" s="14"/>
      <c r="C282" s="14"/>
      <c r="D282" s="14"/>
      <c r="E282" s="14"/>
    </row>
    <row r="283">
      <c r="A283" s="14"/>
      <c r="B283" s="14"/>
      <c r="C283" s="14"/>
      <c r="D283" s="14"/>
      <c r="E283" s="14"/>
    </row>
    <row r="284">
      <c r="A284" s="14"/>
      <c r="B284" s="14"/>
      <c r="C284" s="14"/>
      <c r="D284" s="14"/>
      <c r="E284" s="14"/>
    </row>
    <row r="285">
      <c r="A285" s="14"/>
      <c r="B285" s="14"/>
      <c r="C285" s="14"/>
      <c r="D285" s="14"/>
      <c r="E285" s="14"/>
    </row>
    <row r="286">
      <c r="A286" s="14"/>
      <c r="B286" s="14"/>
      <c r="C286" s="14"/>
      <c r="D286" s="14"/>
      <c r="E286" s="14"/>
    </row>
    <row r="287">
      <c r="A287" s="14"/>
      <c r="B287" s="14"/>
      <c r="C287" s="14"/>
      <c r="D287" s="14"/>
      <c r="E287" s="14"/>
    </row>
    <row r="288">
      <c r="A288" s="14"/>
      <c r="B288" s="14"/>
      <c r="C288" s="14"/>
      <c r="D288" s="14"/>
      <c r="E288" s="14"/>
    </row>
    <row r="289">
      <c r="A289" s="14"/>
      <c r="B289" s="14"/>
      <c r="C289" s="14"/>
      <c r="D289" s="14"/>
      <c r="E289" s="14"/>
    </row>
    <row r="290">
      <c r="A290" s="14"/>
      <c r="B290" s="14"/>
      <c r="C290" s="14"/>
      <c r="D290" s="14"/>
      <c r="E290" s="14"/>
    </row>
    <row r="291">
      <c r="A291" s="14"/>
      <c r="B291" s="14"/>
      <c r="C291" s="14"/>
      <c r="D291" s="14"/>
      <c r="E291" s="14"/>
    </row>
    <row r="292">
      <c r="A292" s="14"/>
      <c r="B292" s="14"/>
      <c r="C292" s="14"/>
      <c r="D292" s="14"/>
      <c r="E292" s="14"/>
    </row>
    <row r="293">
      <c r="A293" s="14"/>
      <c r="B293" s="14"/>
      <c r="C293" s="14"/>
      <c r="D293" s="14"/>
      <c r="E293" s="14"/>
    </row>
    <row r="294">
      <c r="A294" s="14"/>
      <c r="B294" s="14"/>
      <c r="C294" s="14"/>
      <c r="D294" s="14"/>
      <c r="E294" s="14"/>
    </row>
    <row r="295">
      <c r="A295" s="14"/>
      <c r="B295" s="14"/>
      <c r="C295" s="14"/>
      <c r="D295" s="14"/>
      <c r="E295" s="14"/>
    </row>
    <row r="296">
      <c r="A296" s="14"/>
      <c r="B296" s="14"/>
      <c r="C296" s="14"/>
      <c r="D296" s="14"/>
      <c r="E296" s="14"/>
    </row>
    <row r="297">
      <c r="A297" s="14"/>
      <c r="B297" s="14"/>
      <c r="C297" s="14"/>
      <c r="D297" s="14"/>
      <c r="E297" s="14"/>
    </row>
    <row r="298">
      <c r="A298" s="14"/>
      <c r="B298" s="14"/>
      <c r="C298" s="14"/>
      <c r="D298" s="14"/>
      <c r="E298" s="14"/>
    </row>
    <row r="299">
      <c r="A299" s="14"/>
      <c r="B299" s="14"/>
      <c r="C299" s="14"/>
      <c r="D299" s="14"/>
      <c r="E299" s="14"/>
    </row>
    <row r="300">
      <c r="A300" s="14"/>
      <c r="B300" s="14"/>
      <c r="C300" s="14"/>
      <c r="D300" s="14"/>
      <c r="E300" s="14"/>
    </row>
    <row r="301">
      <c r="A301" s="14"/>
      <c r="B301" s="14"/>
      <c r="C301" s="14"/>
      <c r="D301" s="14"/>
      <c r="E301" s="14"/>
    </row>
    <row r="302">
      <c r="A302" s="14"/>
      <c r="B302" s="14"/>
      <c r="C302" s="14"/>
      <c r="D302" s="14"/>
      <c r="E302" s="14"/>
    </row>
    <row r="303">
      <c r="A303" s="14"/>
      <c r="B303" s="14"/>
      <c r="C303" s="14"/>
      <c r="D303" s="14"/>
      <c r="E303" s="14"/>
    </row>
    <row r="304">
      <c r="A304" s="14"/>
      <c r="B304" s="14"/>
      <c r="C304" s="14"/>
      <c r="D304" s="14"/>
      <c r="E304" s="14"/>
    </row>
    <row r="305">
      <c r="A305" s="14"/>
      <c r="B305" s="14"/>
      <c r="C305" s="14"/>
      <c r="D305" s="14"/>
      <c r="E305" s="14"/>
    </row>
    <row r="306">
      <c r="A306" s="14"/>
      <c r="B306" s="14"/>
      <c r="C306" s="14"/>
      <c r="D306" s="14"/>
      <c r="E306" s="14"/>
    </row>
    <row r="307">
      <c r="A307" s="14"/>
      <c r="B307" s="14"/>
      <c r="C307" s="14"/>
      <c r="D307" s="14"/>
      <c r="E307" s="14"/>
    </row>
    <row r="308">
      <c r="A308" s="14"/>
      <c r="B308" s="14"/>
      <c r="C308" s="14"/>
      <c r="D308" s="14"/>
      <c r="E308" s="14"/>
    </row>
    <row r="309">
      <c r="A309" s="14"/>
      <c r="B309" s="14"/>
      <c r="C309" s="14"/>
      <c r="D309" s="14"/>
      <c r="E309" s="14"/>
    </row>
    <row r="310">
      <c r="A310" s="14"/>
      <c r="B310" s="14"/>
      <c r="C310" s="14"/>
      <c r="D310" s="14"/>
      <c r="E310" s="14"/>
    </row>
    <row r="311">
      <c r="A311" s="14"/>
      <c r="B311" s="14"/>
      <c r="C311" s="14"/>
      <c r="D311" s="14"/>
      <c r="E311" s="14"/>
    </row>
    <row r="312">
      <c r="A312" s="14"/>
      <c r="B312" s="14"/>
      <c r="C312" s="14"/>
      <c r="D312" s="14"/>
      <c r="E312" s="14"/>
    </row>
    <row r="313">
      <c r="A313" s="14"/>
      <c r="B313" s="14"/>
      <c r="C313" s="14"/>
      <c r="D313" s="14"/>
      <c r="E313" s="14"/>
    </row>
    <row r="314">
      <c r="A314" s="14"/>
      <c r="B314" s="14"/>
      <c r="C314" s="14"/>
      <c r="D314" s="14"/>
      <c r="E314" s="14"/>
    </row>
    <row r="315">
      <c r="A315" s="14"/>
      <c r="B315" s="14"/>
      <c r="C315" s="14"/>
      <c r="D315" s="14"/>
      <c r="E315" s="14"/>
    </row>
    <row r="316">
      <c r="A316" s="14"/>
      <c r="B316" s="14"/>
      <c r="C316" s="14"/>
      <c r="D316" s="14"/>
      <c r="E316" s="14"/>
    </row>
    <row r="317">
      <c r="A317" s="14"/>
      <c r="B317" s="14"/>
      <c r="C317" s="14"/>
      <c r="D317" s="14"/>
      <c r="E317" s="14"/>
    </row>
    <row r="318">
      <c r="A318" s="14"/>
      <c r="B318" s="14"/>
      <c r="C318" s="14"/>
      <c r="D318" s="14"/>
      <c r="E318" s="14"/>
    </row>
    <row r="319">
      <c r="A319" s="14"/>
      <c r="B319" s="14"/>
      <c r="C319" s="14"/>
      <c r="D319" s="14"/>
      <c r="E319" s="14"/>
    </row>
    <row r="320">
      <c r="A320" s="14"/>
      <c r="B320" s="14"/>
      <c r="C320" s="14"/>
      <c r="D320" s="14"/>
      <c r="E320" s="14"/>
    </row>
    <row r="321">
      <c r="A321" s="14"/>
      <c r="B321" s="14"/>
      <c r="C321" s="14"/>
      <c r="D321" s="14"/>
      <c r="E321" s="14"/>
    </row>
    <row r="322">
      <c r="A322" s="14"/>
      <c r="B322" s="14"/>
      <c r="C322" s="14"/>
      <c r="D322" s="14"/>
      <c r="E322" s="14"/>
    </row>
    <row r="323">
      <c r="A323" s="14"/>
      <c r="B323" s="14"/>
      <c r="C323" s="14"/>
      <c r="D323" s="14"/>
      <c r="E323" s="14"/>
    </row>
    <row r="324">
      <c r="A324" s="14"/>
      <c r="B324" s="14"/>
      <c r="C324" s="14"/>
      <c r="D324" s="14"/>
      <c r="E324" s="14"/>
    </row>
    <row r="325">
      <c r="A325" s="14"/>
      <c r="B325" s="14"/>
      <c r="C325" s="14"/>
      <c r="D325" s="14"/>
      <c r="E325" s="14"/>
    </row>
    <row r="326">
      <c r="A326" s="14"/>
      <c r="B326" s="14"/>
      <c r="C326" s="14"/>
      <c r="D326" s="14"/>
      <c r="E326" s="14"/>
    </row>
    <row r="327">
      <c r="A327" s="14"/>
      <c r="B327" s="14"/>
      <c r="C327" s="14"/>
      <c r="D327" s="14"/>
      <c r="E327" s="14"/>
    </row>
    <row r="328">
      <c r="A328" s="14"/>
      <c r="B328" s="14"/>
      <c r="C328" s="14"/>
      <c r="D328" s="14"/>
      <c r="E328" s="14"/>
    </row>
    <row r="329">
      <c r="A329" s="14"/>
      <c r="B329" s="14"/>
      <c r="C329" s="14"/>
      <c r="D329" s="14"/>
      <c r="E329" s="14"/>
    </row>
    <row r="330">
      <c r="A330" s="14"/>
      <c r="B330" s="14"/>
      <c r="C330" s="14"/>
      <c r="D330" s="14"/>
      <c r="E330" s="14"/>
    </row>
    <row r="331">
      <c r="A331" s="14"/>
      <c r="B331" s="14"/>
      <c r="C331" s="14"/>
      <c r="D331" s="14"/>
      <c r="E331" s="14"/>
    </row>
    <row r="332">
      <c r="A332" s="14"/>
      <c r="B332" s="14"/>
      <c r="C332" s="14"/>
      <c r="D332" s="14"/>
      <c r="E332" s="14"/>
    </row>
    <row r="333">
      <c r="A333" s="14"/>
      <c r="B333" s="14"/>
      <c r="C333" s="14"/>
      <c r="D333" s="14"/>
      <c r="E333" s="14"/>
    </row>
    <row r="334">
      <c r="A334" s="14"/>
      <c r="B334" s="14"/>
      <c r="C334" s="14"/>
      <c r="D334" s="14"/>
      <c r="E334" s="14"/>
    </row>
    <row r="335">
      <c r="A335" s="14"/>
      <c r="B335" s="14"/>
      <c r="C335" s="14"/>
      <c r="D335" s="14"/>
      <c r="E335" s="14"/>
    </row>
    <row r="336">
      <c r="A336" s="14"/>
      <c r="B336" s="14"/>
      <c r="C336" s="14"/>
      <c r="D336" s="14"/>
      <c r="E336" s="14"/>
    </row>
    <row r="337">
      <c r="A337" s="14"/>
      <c r="B337" s="14"/>
      <c r="C337" s="14"/>
      <c r="D337" s="14"/>
      <c r="E337" s="14"/>
    </row>
    <row r="338">
      <c r="A338" s="14"/>
      <c r="B338" s="14"/>
      <c r="C338" s="14"/>
      <c r="D338" s="14"/>
      <c r="E338" s="14"/>
    </row>
    <row r="339">
      <c r="A339" s="14"/>
      <c r="B339" s="14"/>
      <c r="C339" s="14"/>
      <c r="D339" s="14"/>
      <c r="E339" s="14"/>
    </row>
    <row r="340">
      <c r="A340" s="14"/>
      <c r="B340" s="14"/>
      <c r="C340" s="14"/>
      <c r="D340" s="14"/>
      <c r="E340" s="14"/>
    </row>
    <row r="341">
      <c r="A341" s="14"/>
      <c r="B341" s="14"/>
      <c r="C341" s="14"/>
      <c r="D341" s="14"/>
      <c r="E341" s="14"/>
    </row>
    <row r="342">
      <c r="A342" s="14"/>
      <c r="B342" s="14"/>
      <c r="C342" s="14"/>
      <c r="D342" s="14"/>
      <c r="E342" s="14"/>
    </row>
    <row r="343">
      <c r="A343" s="14"/>
      <c r="B343" s="14"/>
      <c r="C343" s="14"/>
      <c r="D343" s="14"/>
      <c r="E343" s="14"/>
    </row>
    <row r="344">
      <c r="A344" s="14"/>
      <c r="B344" s="14"/>
      <c r="C344" s="14"/>
      <c r="D344" s="14"/>
      <c r="E344" s="14"/>
    </row>
    <row r="345">
      <c r="A345" s="14"/>
      <c r="B345" s="14"/>
      <c r="C345" s="14"/>
      <c r="D345" s="14"/>
      <c r="E345" s="14"/>
    </row>
    <row r="346">
      <c r="A346" s="14"/>
      <c r="B346" s="14"/>
      <c r="C346" s="14"/>
      <c r="D346" s="14"/>
      <c r="E346" s="14"/>
    </row>
    <row r="347">
      <c r="A347" s="14"/>
      <c r="B347" s="14"/>
      <c r="C347" s="14"/>
      <c r="D347" s="14"/>
      <c r="E347" s="14"/>
    </row>
    <row r="348">
      <c r="A348" s="14"/>
      <c r="B348" s="14"/>
      <c r="C348" s="14"/>
      <c r="D348" s="14"/>
      <c r="E348" s="14"/>
    </row>
    <row r="349">
      <c r="A349" s="14"/>
      <c r="B349" s="14"/>
      <c r="C349" s="14"/>
      <c r="D349" s="14"/>
      <c r="E349" s="14"/>
    </row>
    <row r="350">
      <c r="A350" s="14"/>
      <c r="B350" s="14"/>
      <c r="C350" s="14"/>
      <c r="D350" s="14"/>
      <c r="E350" s="14"/>
    </row>
    <row r="351">
      <c r="A351" s="14"/>
      <c r="B351" s="14"/>
      <c r="C351" s="14"/>
      <c r="D351" s="14"/>
      <c r="E351" s="14"/>
    </row>
    <row r="352">
      <c r="A352" s="14"/>
      <c r="B352" s="14"/>
      <c r="C352" s="14"/>
      <c r="D352" s="14"/>
      <c r="E352" s="14"/>
    </row>
    <row r="353">
      <c r="A353" s="14"/>
      <c r="B353" s="14"/>
      <c r="C353" s="14"/>
      <c r="D353" s="14"/>
      <c r="E353" s="14"/>
    </row>
    <row r="354">
      <c r="A354" s="14"/>
      <c r="B354" s="14"/>
      <c r="C354" s="14"/>
      <c r="D354" s="14"/>
      <c r="E354" s="14"/>
    </row>
    <row r="355">
      <c r="A355" s="14"/>
      <c r="B355" s="14"/>
      <c r="C355" s="14"/>
      <c r="D355" s="14"/>
      <c r="E355" s="14"/>
    </row>
    <row r="356">
      <c r="A356" s="14"/>
      <c r="B356" s="14"/>
      <c r="C356" s="14"/>
      <c r="D356" s="14"/>
      <c r="E356" s="14"/>
    </row>
    <row r="357">
      <c r="A357" s="14"/>
      <c r="B357" s="14"/>
      <c r="C357" s="14"/>
      <c r="D357" s="14"/>
      <c r="E357" s="14"/>
    </row>
    <row r="358">
      <c r="A358" s="14"/>
      <c r="B358" s="14"/>
      <c r="C358" s="14"/>
      <c r="D358" s="14"/>
      <c r="E358" s="14"/>
    </row>
    <row r="359">
      <c r="A359" s="14"/>
      <c r="B359" s="14"/>
      <c r="C359" s="14"/>
      <c r="D359" s="14"/>
      <c r="E359" s="14"/>
    </row>
    <row r="360">
      <c r="A360" s="14"/>
      <c r="B360" s="14"/>
      <c r="C360" s="14"/>
      <c r="D360" s="14"/>
      <c r="E360" s="14"/>
    </row>
    <row r="361">
      <c r="A361" s="14"/>
      <c r="B361" s="14"/>
      <c r="C361" s="14"/>
      <c r="D361" s="14"/>
      <c r="E361" s="14"/>
    </row>
    <row r="362">
      <c r="A362" s="14"/>
      <c r="B362" s="14"/>
      <c r="C362" s="14"/>
      <c r="D362" s="14"/>
      <c r="E362" s="14"/>
    </row>
    <row r="363">
      <c r="A363" s="14"/>
      <c r="B363" s="14"/>
      <c r="C363" s="14"/>
      <c r="D363" s="14"/>
      <c r="E363" s="14"/>
    </row>
    <row r="364">
      <c r="A364" s="14"/>
      <c r="B364" s="14"/>
      <c r="C364" s="14"/>
      <c r="D364" s="14"/>
      <c r="E364" s="14"/>
    </row>
    <row r="365">
      <c r="A365" s="14"/>
      <c r="B365" s="14"/>
      <c r="C365" s="14"/>
      <c r="D365" s="14"/>
      <c r="E365" s="14"/>
    </row>
    <row r="366">
      <c r="A366" s="14"/>
      <c r="B366" s="14"/>
      <c r="C366" s="14"/>
      <c r="D366" s="14"/>
      <c r="E366" s="14"/>
    </row>
    <row r="367">
      <c r="A367" s="14"/>
      <c r="B367" s="14"/>
      <c r="C367" s="14"/>
      <c r="D367" s="14"/>
      <c r="E367" s="14"/>
    </row>
    <row r="368">
      <c r="A368" s="14"/>
      <c r="B368" s="14"/>
      <c r="C368" s="14"/>
      <c r="D368" s="14"/>
      <c r="E368" s="14"/>
    </row>
    <row r="369">
      <c r="A369" s="14"/>
      <c r="B369" s="14"/>
      <c r="C369" s="14"/>
      <c r="D369" s="14"/>
      <c r="E369" s="14"/>
    </row>
    <row r="370">
      <c r="A370" s="14"/>
      <c r="B370" s="14"/>
      <c r="C370" s="14"/>
      <c r="D370" s="14"/>
      <c r="E370" s="14"/>
    </row>
    <row r="371">
      <c r="A371" s="14"/>
      <c r="B371" s="14"/>
      <c r="C371" s="14"/>
      <c r="D371" s="14"/>
      <c r="E371" s="14"/>
    </row>
    <row r="372">
      <c r="A372" s="14"/>
      <c r="B372" s="14"/>
      <c r="C372" s="14"/>
      <c r="D372" s="14"/>
      <c r="E372" s="14"/>
    </row>
    <row r="373">
      <c r="A373" s="14"/>
      <c r="B373" s="14"/>
      <c r="C373" s="14"/>
      <c r="D373" s="14"/>
      <c r="E373" s="14"/>
    </row>
    <row r="374">
      <c r="A374" s="14"/>
      <c r="B374" s="14"/>
      <c r="C374" s="14"/>
      <c r="D374" s="14"/>
      <c r="E374" s="14"/>
    </row>
    <row r="375">
      <c r="A375" s="14"/>
      <c r="B375" s="14"/>
      <c r="C375" s="14"/>
      <c r="D375" s="14"/>
      <c r="E375" s="14"/>
    </row>
    <row r="376">
      <c r="A376" s="14"/>
      <c r="B376" s="14"/>
      <c r="C376" s="14"/>
      <c r="D376" s="14"/>
      <c r="E376" s="14"/>
    </row>
    <row r="377">
      <c r="A377" s="14"/>
      <c r="B377" s="14"/>
      <c r="C377" s="14"/>
      <c r="D377" s="14"/>
      <c r="E377" s="14"/>
    </row>
    <row r="378">
      <c r="A378" s="14"/>
      <c r="B378" s="14"/>
      <c r="C378" s="14"/>
      <c r="D378" s="14"/>
      <c r="E378" s="14"/>
    </row>
    <row r="379">
      <c r="A379" s="14"/>
      <c r="B379" s="14"/>
      <c r="C379" s="14"/>
      <c r="D379" s="14"/>
      <c r="E379" s="14"/>
    </row>
    <row r="380">
      <c r="A380" s="14"/>
      <c r="B380" s="14"/>
      <c r="C380" s="14"/>
      <c r="D380" s="14"/>
      <c r="E380" s="14"/>
    </row>
    <row r="381">
      <c r="A381" s="14"/>
      <c r="B381" s="14"/>
      <c r="C381" s="14"/>
      <c r="D381" s="14"/>
      <c r="E381" s="14"/>
    </row>
    <row r="382">
      <c r="A382" s="14"/>
      <c r="B382" s="14"/>
      <c r="C382" s="14"/>
      <c r="D382" s="14"/>
      <c r="E382" s="14"/>
    </row>
    <row r="383">
      <c r="A383" s="14"/>
      <c r="B383" s="14"/>
      <c r="C383" s="14"/>
      <c r="D383" s="14"/>
      <c r="E383" s="14"/>
    </row>
    <row r="384">
      <c r="A384" s="14"/>
      <c r="B384" s="14"/>
      <c r="C384" s="14"/>
      <c r="D384" s="14"/>
      <c r="E384" s="14"/>
    </row>
    <row r="385">
      <c r="A385" s="14"/>
      <c r="B385" s="14"/>
      <c r="C385" s="14"/>
      <c r="D385" s="14"/>
      <c r="E385" s="14"/>
    </row>
    <row r="386">
      <c r="A386" s="14"/>
      <c r="B386" s="14"/>
      <c r="C386" s="14"/>
      <c r="D386" s="14"/>
      <c r="E386" s="14"/>
    </row>
    <row r="387">
      <c r="A387" s="14"/>
      <c r="B387" s="14"/>
      <c r="C387" s="14"/>
      <c r="D387" s="14"/>
      <c r="E387" s="14"/>
    </row>
    <row r="388">
      <c r="A388" s="14"/>
      <c r="B388" s="14"/>
      <c r="C388" s="14"/>
      <c r="D388" s="14"/>
      <c r="E388" s="14"/>
    </row>
    <row r="389">
      <c r="A389" s="14"/>
      <c r="B389" s="14"/>
      <c r="C389" s="14"/>
      <c r="D389" s="14"/>
      <c r="E389" s="14"/>
    </row>
    <row r="390">
      <c r="A390" s="14"/>
      <c r="B390" s="14"/>
      <c r="C390" s="14"/>
      <c r="D390" s="14"/>
      <c r="E390" s="14"/>
    </row>
    <row r="391">
      <c r="A391" s="14"/>
      <c r="B391" s="14"/>
      <c r="C391" s="14"/>
      <c r="D391" s="14"/>
      <c r="E391" s="14"/>
    </row>
    <row r="392">
      <c r="A392" s="14"/>
      <c r="B392" s="14"/>
      <c r="C392" s="14"/>
      <c r="D392" s="14"/>
      <c r="E392" s="14"/>
    </row>
    <row r="393">
      <c r="A393" s="14"/>
      <c r="B393" s="14"/>
      <c r="C393" s="14"/>
      <c r="D393" s="14"/>
      <c r="E393" s="14"/>
    </row>
    <row r="394">
      <c r="A394" s="14"/>
      <c r="B394" s="14"/>
      <c r="C394" s="14"/>
      <c r="D394" s="14"/>
      <c r="E394" s="14"/>
    </row>
    <row r="395">
      <c r="A395" s="14"/>
      <c r="B395" s="14"/>
      <c r="C395" s="14"/>
      <c r="D395" s="14"/>
      <c r="E395" s="14"/>
    </row>
    <row r="396">
      <c r="A396" s="14"/>
      <c r="B396" s="14"/>
      <c r="C396" s="14"/>
      <c r="D396" s="14"/>
      <c r="E396" s="14"/>
    </row>
    <row r="397">
      <c r="A397" s="14"/>
      <c r="B397" s="14"/>
      <c r="C397" s="14"/>
      <c r="D397" s="14"/>
      <c r="E397" s="14"/>
    </row>
    <row r="398">
      <c r="A398" s="14"/>
      <c r="B398" s="14"/>
      <c r="C398" s="14"/>
      <c r="D398" s="14"/>
      <c r="E398" s="14"/>
    </row>
    <row r="399">
      <c r="A399" s="14"/>
      <c r="B399" s="14"/>
      <c r="C399" s="14"/>
      <c r="D399" s="14"/>
      <c r="E399" s="14"/>
    </row>
    <row r="400">
      <c r="A400" s="14"/>
      <c r="B400" s="14"/>
      <c r="C400" s="14"/>
      <c r="D400" s="14"/>
      <c r="E400" s="14"/>
    </row>
    <row r="401">
      <c r="A401" s="14"/>
      <c r="B401" s="14"/>
      <c r="C401" s="14"/>
      <c r="D401" s="14"/>
      <c r="E401" s="14"/>
    </row>
    <row r="402">
      <c r="A402" s="14"/>
      <c r="B402" s="14"/>
      <c r="C402" s="14"/>
      <c r="D402" s="14"/>
      <c r="E402" s="14"/>
    </row>
    <row r="403">
      <c r="A403" s="14"/>
      <c r="B403" s="14"/>
      <c r="C403" s="14"/>
      <c r="D403" s="14"/>
      <c r="E403" s="14"/>
    </row>
    <row r="404">
      <c r="A404" s="14"/>
      <c r="B404" s="14"/>
      <c r="C404" s="14"/>
      <c r="D404" s="14"/>
      <c r="E404" s="14"/>
    </row>
    <row r="405">
      <c r="A405" s="14"/>
      <c r="B405" s="14"/>
      <c r="C405" s="14"/>
      <c r="D405" s="14"/>
      <c r="E405" s="14"/>
    </row>
    <row r="406">
      <c r="A406" s="14"/>
      <c r="B406" s="14"/>
      <c r="C406" s="14"/>
      <c r="D406" s="14"/>
      <c r="E406" s="14"/>
    </row>
    <row r="407">
      <c r="A407" s="14"/>
      <c r="B407" s="14"/>
      <c r="C407" s="14"/>
      <c r="D407" s="14"/>
      <c r="E407" s="14"/>
    </row>
    <row r="408">
      <c r="A408" s="14"/>
      <c r="B408" s="14"/>
      <c r="C408" s="14"/>
      <c r="D408" s="14"/>
      <c r="E408" s="14"/>
    </row>
    <row r="409">
      <c r="A409" s="14"/>
      <c r="B409" s="14"/>
      <c r="C409" s="14"/>
      <c r="D409" s="14"/>
      <c r="E409" s="14"/>
    </row>
    <row r="410">
      <c r="A410" s="14"/>
      <c r="B410" s="14"/>
      <c r="C410" s="14"/>
      <c r="D410" s="14"/>
      <c r="E410" s="14"/>
    </row>
    <row r="411">
      <c r="A411" s="14"/>
      <c r="B411" s="14"/>
      <c r="C411" s="14"/>
      <c r="D411" s="14"/>
      <c r="E411" s="14"/>
    </row>
    <row r="412">
      <c r="A412" s="14"/>
      <c r="B412" s="14"/>
      <c r="C412" s="14"/>
      <c r="D412" s="14"/>
      <c r="E412" s="14"/>
    </row>
    <row r="413">
      <c r="A413" s="14"/>
      <c r="B413" s="14"/>
      <c r="C413" s="14"/>
      <c r="D413" s="14"/>
      <c r="E413" s="14"/>
    </row>
    <row r="414">
      <c r="A414" s="14"/>
      <c r="B414" s="14"/>
      <c r="C414" s="14"/>
      <c r="D414" s="14"/>
      <c r="E414" s="14"/>
    </row>
    <row r="415">
      <c r="A415" s="14"/>
      <c r="B415" s="14"/>
      <c r="C415" s="14"/>
      <c r="D415" s="14"/>
      <c r="E415" s="14"/>
    </row>
    <row r="416">
      <c r="A416" s="14"/>
      <c r="B416" s="14"/>
      <c r="C416" s="14"/>
      <c r="D416" s="14"/>
      <c r="E416" s="14"/>
    </row>
    <row r="417">
      <c r="A417" s="14"/>
      <c r="B417" s="14"/>
      <c r="C417" s="14"/>
      <c r="D417" s="14"/>
      <c r="E417" s="14"/>
    </row>
    <row r="418">
      <c r="A418" s="14"/>
      <c r="B418" s="14"/>
      <c r="C418" s="14"/>
      <c r="D418" s="14"/>
      <c r="E418" s="14"/>
    </row>
    <row r="419">
      <c r="A419" s="14"/>
      <c r="B419" s="14"/>
      <c r="C419" s="14"/>
      <c r="D419" s="14"/>
      <c r="E419" s="14"/>
    </row>
    <row r="420">
      <c r="A420" s="14"/>
      <c r="B420" s="14"/>
      <c r="C420" s="14"/>
      <c r="D420" s="14"/>
      <c r="E420" s="14"/>
    </row>
    <row r="421">
      <c r="A421" s="14"/>
      <c r="B421" s="14"/>
      <c r="C421" s="14"/>
      <c r="D421" s="14"/>
      <c r="E421" s="14"/>
    </row>
    <row r="422">
      <c r="A422" s="14"/>
      <c r="B422" s="14"/>
      <c r="C422" s="14"/>
      <c r="D422" s="14"/>
      <c r="E422" s="14"/>
    </row>
    <row r="423">
      <c r="A423" s="14"/>
      <c r="B423" s="14"/>
      <c r="C423" s="14"/>
      <c r="D423" s="14"/>
      <c r="E423" s="14"/>
    </row>
    <row r="424">
      <c r="A424" s="14"/>
      <c r="B424" s="14"/>
      <c r="C424" s="14"/>
      <c r="D424" s="14"/>
      <c r="E424" s="14"/>
    </row>
    <row r="425">
      <c r="A425" s="14"/>
      <c r="B425" s="14"/>
      <c r="C425" s="14"/>
      <c r="D425" s="14"/>
      <c r="E425" s="14"/>
    </row>
    <row r="426">
      <c r="A426" s="14"/>
      <c r="B426" s="14"/>
      <c r="C426" s="14"/>
      <c r="D426" s="14"/>
      <c r="E426" s="14"/>
    </row>
    <row r="427">
      <c r="A427" s="14"/>
      <c r="B427" s="14"/>
      <c r="C427" s="14"/>
      <c r="D427" s="14"/>
      <c r="E427" s="14"/>
    </row>
    <row r="428">
      <c r="A428" s="14"/>
      <c r="B428" s="14"/>
      <c r="C428" s="14"/>
      <c r="D428" s="14"/>
      <c r="E428" s="14"/>
    </row>
    <row r="429">
      <c r="A429" s="14"/>
      <c r="B429" s="14"/>
      <c r="C429" s="14"/>
      <c r="D429" s="14"/>
      <c r="E429" s="14"/>
    </row>
    <row r="430">
      <c r="A430" s="14"/>
      <c r="B430" s="14"/>
      <c r="C430" s="14"/>
      <c r="D430" s="14"/>
      <c r="E430" s="14"/>
    </row>
    <row r="431">
      <c r="A431" s="14"/>
      <c r="B431" s="14"/>
      <c r="C431" s="14"/>
      <c r="D431" s="14"/>
      <c r="E431" s="14"/>
    </row>
    <row r="432">
      <c r="A432" s="14"/>
      <c r="B432" s="14"/>
      <c r="C432" s="14"/>
      <c r="D432" s="14"/>
      <c r="E432" s="14"/>
    </row>
    <row r="433">
      <c r="A433" s="14"/>
      <c r="B433" s="14"/>
      <c r="C433" s="14"/>
      <c r="D433" s="14"/>
      <c r="E433" s="14"/>
    </row>
    <row r="434">
      <c r="A434" s="14"/>
      <c r="B434" s="14"/>
      <c r="C434" s="14"/>
      <c r="D434" s="14"/>
      <c r="E434" s="14"/>
    </row>
    <row r="435">
      <c r="A435" s="14"/>
      <c r="B435" s="14"/>
      <c r="C435" s="14"/>
      <c r="D435" s="14"/>
      <c r="E435" s="14"/>
    </row>
    <row r="436">
      <c r="A436" s="14"/>
      <c r="B436" s="14"/>
      <c r="C436" s="14"/>
      <c r="D436" s="14"/>
      <c r="E436" s="14"/>
    </row>
    <row r="437">
      <c r="A437" s="14"/>
      <c r="B437" s="14"/>
      <c r="C437" s="14"/>
      <c r="D437" s="14"/>
      <c r="E437" s="14"/>
    </row>
    <row r="438">
      <c r="A438" s="14"/>
      <c r="B438" s="14"/>
      <c r="C438" s="14"/>
      <c r="D438" s="14"/>
      <c r="E438" s="14"/>
    </row>
    <row r="439">
      <c r="A439" s="14"/>
      <c r="B439" s="14"/>
      <c r="C439" s="14"/>
      <c r="D439" s="14"/>
      <c r="E439" s="14"/>
    </row>
    <row r="440">
      <c r="A440" s="14"/>
      <c r="B440" s="14"/>
      <c r="C440" s="14"/>
      <c r="D440" s="14"/>
      <c r="E440" s="14"/>
    </row>
    <row r="441">
      <c r="A441" s="14"/>
      <c r="B441" s="14"/>
      <c r="C441" s="14"/>
      <c r="D441" s="14"/>
      <c r="E441" s="14"/>
    </row>
    <row r="442">
      <c r="A442" s="14"/>
      <c r="B442" s="14"/>
      <c r="C442" s="14"/>
      <c r="D442" s="14"/>
      <c r="E442" s="14"/>
    </row>
    <row r="443">
      <c r="A443" s="14"/>
      <c r="B443" s="14"/>
      <c r="C443" s="14"/>
      <c r="D443" s="14"/>
      <c r="E443" s="14"/>
    </row>
    <row r="444">
      <c r="A444" s="14"/>
      <c r="B444" s="14"/>
      <c r="C444" s="14"/>
      <c r="D444" s="14"/>
      <c r="E444" s="14"/>
    </row>
    <row r="445">
      <c r="A445" s="14"/>
      <c r="B445" s="14"/>
      <c r="C445" s="14"/>
      <c r="D445" s="14"/>
      <c r="E445" s="14"/>
    </row>
    <row r="446">
      <c r="A446" s="14"/>
      <c r="B446" s="14"/>
      <c r="C446" s="14"/>
      <c r="D446" s="14"/>
      <c r="E446" s="14"/>
    </row>
    <row r="447">
      <c r="A447" s="14"/>
      <c r="B447" s="14"/>
      <c r="C447" s="14"/>
      <c r="D447" s="14"/>
      <c r="E447" s="14"/>
    </row>
    <row r="448">
      <c r="A448" s="14"/>
      <c r="B448" s="14"/>
      <c r="C448" s="14"/>
      <c r="D448" s="14"/>
      <c r="E448" s="14"/>
    </row>
    <row r="449">
      <c r="A449" s="14"/>
      <c r="B449" s="14"/>
      <c r="C449" s="14"/>
      <c r="D449" s="14"/>
      <c r="E449" s="14"/>
    </row>
    <row r="450">
      <c r="A450" s="14"/>
      <c r="B450" s="14"/>
      <c r="C450" s="14"/>
      <c r="D450" s="14"/>
      <c r="E450" s="14"/>
    </row>
    <row r="451">
      <c r="A451" s="14"/>
      <c r="B451" s="14"/>
      <c r="C451" s="14"/>
      <c r="D451" s="14"/>
      <c r="E451" s="14"/>
    </row>
    <row r="452">
      <c r="A452" s="14"/>
      <c r="B452" s="14"/>
      <c r="C452" s="14"/>
      <c r="D452" s="14"/>
      <c r="E452" s="14"/>
    </row>
    <row r="453">
      <c r="A453" s="14"/>
      <c r="B453" s="14"/>
      <c r="C453" s="14"/>
      <c r="D453" s="14"/>
      <c r="E453" s="14"/>
    </row>
    <row r="454">
      <c r="A454" s="14"/>
      <c r="B454" s="14"/>
      <c r="C454" s="14"/>
      <c r="D454" s="14"/>
      <c r="E454" s="14"/>
    </row>
    <row r="455">
      <c r="A455" s="14"/>
      <c r="B455" s="14"/>
      <c r="C455" s="14"/>
      <c r="D455" s="14"/>
      <c r="E455" s="14"/>
    </row>
    <row r="456">
      <c r="A456" s="14"/>
      <c r="B456" s="14"/>
      <c r="C456" s="14"/>
      <c r="D456" s="14"/>
      <c r="E456" s="14"/>
    </row>
    <row r="457">
      <c r="A457" s="14"/>
      <c r="B457" s="14"/>
      <c r="C457" s="14"/>
      <c r="D457" s="14"/>
      <c r="E457" s="14"/>
    </row>
    <row r="458">
      <c r="A458" s="14"/>
      <c r="B458" s="14"/>
      <c r="C458" s="14"/>
      <c r="D458" s="14"/>
      <c r="E458" s="14"/>
    </row>
    <row r="459">
      <c r="A459" s="14"/>
      <c r="B459" s="14"/>
      <c r="C459" s="14"/>
      <c r="D459" s="14"/>
      <c r="E459" s="14"/>
    </row>
    <row r="460">
      <c r="A460" s="14"/>
      <c r="B460" s="14"/>
      <c r="C460" s="14"/>
      <c r="D460" s="14"/>
      <c r="E460" s="14"/>
    </row>
    <row r="461">
      <c r="A461" s="14"/>
      <c r="B461" s="14"/>
      <c r="C461" s="14"/>
      <c r="D461" s="14"/>
      <c r="E461" s="14"/>
    </row>
    <row r="462">
      <c r="A462" s="14"/>
      <c r="B462" s="14"/>
      <c r="C462" s="14"/>
      <c r="D462" s="14"/>
      <c r="E462" s="14"/>
    </row>
    <row r="463">
      <c r="A463" s="14"/>
      <c r="B463" s="14"/>
      <c r="C463" s="14"/>
      <c r="D463" s="14"/>
      <c r="E463" s="14"/>
    </row>
    <row r="464">
      <c r="A464" s="14"/>
      <c r="B464" s="14"/>
      <c r="C464" s="14"/>
      <c r="D464" s="14"/>
      <c r="E464" s="14"/>
    </row>
    <row r="465">
      <c r="A465" s="14"/>
      <c r="B465" s="14"/>
      <c r="C465" s="14"/>
      <c r="D465" s="14"/>
      <c r="E465" s="14"/>
    </row>
    <row r="466">
      <c r="A466" s="14"/>
      <c r="B466" s="14"/>
      <c r="C466" s="14"/>
      <c r="D466" s="14"/>
      <c r="E466" s="14"/>
    </row>
    <row r="467">
      <c r="A467" s="14"/>
      <c r="B467" s="14"/>
      <c r="C467" s="14"/>
      <c r="D467" s="14"/>
      <c r="E467" s="14"/>
    </row>
    <row r="468">
      <c r="A468" s="14"/>
      <c r="B468" s="14"/>
      <c r="C468" s="14"/>
      <c r="D468" s="14"/>
      <c r="E468" s="14"/>
    </row>
    <row r="469">
      <c r="A469" s="14"/>
      <c r="B469" s="14"/>
      <c r="C469" s="14"/>
      <c r="D469" s="14"/>
      <c r="E469" s="14"/>
    </row>
    <row r="470">
      <c r="A470" s="14"/>
      <c r="B470" s="14"/>
      <c r="C470" s="14"/>
      <c r="D470" s="14"/>
      <c r="E470" s="14"/>
    </row>
    <row r="471">
      <c r="A471" s="14"/>
      <c r="B471" s="14"/>
      <c r="C471" s="14"/>
      <c r="D471" s="14"/>
      <c r="E471" s="14"/>
    </row>
    <row r="472">
      <c r="A472" s="14"/>
      <c r="B472" s="14"/>
      <c r="C472" s="14"/>
      <c r="D472" s="14"/>
      <c r="E472" s="14"/>
    </row>
    <row r="473">
      <c r="A473" s="14"/>
      <c r="B473" s="14"/>
      <c r="C473" s="14"/>
      <c r="D473" s="14"/>
      <c r="E473" s="14"/>
    </row>
    <row r="474">
      <c r="A474" s="14"/>
      <c r="B474" s="14"/>
      <c r="C474" s="14"/>
      <c r="D474" s="14"/>
      <c r="E474" s="14"/>
    </row>
    <row r="475">
      <c r="A475" s="14"/>
      <c r="B475" s="14"/>
      <c r="C475" s="14"/>
      <c r="D475" s="14"/>
      <c r="E475" s="14"/>
    </row>
    <row r="476">
      <c r="A476" s="14"/>
      <c r="B476" s="14"/>
      <c r="C476" s="14"/>
      <c r="D476" s="14"/>
      <c r="E476" s="14"/>
    </row>
    <row r="477">
      <c r="A477" s="14"/>
      <c r="B477" s="14"/>
      <c r="C477" s="14"/>
      <c r="D477" s="14"/>
      <c r="E477" s="14"/>
    </row>
    <row r="478">
      <c r="A478" s="14"/>
      <c r="B478" s="14"/>
      <c r="C478" s="14"/>
      <c r="D478" s="14"/>
      <c r="E478" s="14"/>
    </row>
    <row r="479">
      <c r="A479" s="14"/>
      <c r="B479" s="14"/>
      <c r="C479" s="14"/>
      <c r="D479" s="14"/>
      <c r="E479" s="14"/>
    </row>
    <row r="480">
      <c r="A480" s="14"/>
      <c r="B480" s="14"/>
      <c r="C480" s="14"/>
      <c r="D480" s="14"/>
      <c r="E480" s="14"/>
    </row>
    <row r="481">
      <c r="A481" s="14"/>
      <c r="B481" s="14"/>
      <c r="C481" s="14"/>
      <c r="D481" s="14"/>
      <c r="E481" s="14"/>
    </row>
    <row r="482">
      <c r="A482" s="14"/>
      <c r="B482" s="14"/>
      <c r="C482" s="14"/>
      <c r="D482" s="14"/>
      <c r="E482" s="14"/>
    </row>
    <row r="483">
      <c r="A483" s="14"/>
      <c r="B483" s="14"/>
      <c r="C483" s="14"/>
      <c r="D483" s="14"/>
      <c r="E483" s="14"/>
    </row>
    <row r="484">
      <c r="A484" s="14"/>
      <c r="B484" s="14"/>
      <c r="C484" s="14"/>
      <c r="D484" s="14"/>
      <c r="E484" s="14"/>
    </row>
    <row r="485">
      <c r="A485" s="14"/>
      <c r="B485" s="14"/>
      <c r="C485" s="14"/>
      <c r="D485" s="14"/>
      <c r="E485" s="14"/>
    </row>
    <row r="486">
      <c r="A486" s="14"/>
      <c r="B486" s="14"/>
      <c r="C486" s="14"/>
      <c r="D486" s="14"/>
      <c r="E486" s="14"/>
    </row>
    <row r="487">
      <c r="A487" s="14"/>
      <c r="B487" s="14"/>
      <c r="C487" s="14"/>
      <c r="D487" s="14"/>
      <c r="E487" s="14"/>
    </row>
    <row r="488">
      <c r="A488" s="14"/>
      <c r="B488" s="14"/>
      <c r="C488" s="14"/>
      <c r="D488" s="14"/>
      <c r="E488" s="14"/>
    </row>
    <row r="489">
      <c r="A489" s="14"/>
      <c r="B489" s="14"/>
      <c r="C489" s="14"/>
      <c r="D489" s="14"/>
      <c r="E489" s="14"/>
    </row>
    <row r="490">
      <c r="A490" s="14"/>
      <c r="B490" s="14"/>
      <c r="C490" s="14"/>
      <c r="D490" s="14"/>
      <c r="E490" s="14"/>
    </row>
    <row r="491">
      <c r="A491" s="14"/>
      <c r="B491" s="14"/>
      <c r="C491" s="14"/>
      <c r="D491" s="14"/>
      <c r="E491" s="14"/>
    </row>
    <row r="492">
      <c r="A492" s="14"/>
      <c r="B492" s="14"/>
      <c r="C492" s="14"/>
      <c r="D492" s="14"/>
      <c r="E492" s="14"/>
    </row>
    <row r="493">
      <c r="A493" s="14"/>
      <c r="B493" s="14"/>
      <c r="C493" s="14"/>
      <c r="D493" s="14"/>
      <c r="E493" s="14"/>
    </row>
    <row r="494">
      <c r="A494" s="14"/>
      <c r="B494" s="14"/>
      <c r="C494" s="14"/>
      <c r="D494" s="14"/>
      <c r="E494" s="14"/>
    </row>
    <row r="495">
      <c r="A495" s="14"/>
      <c r="B495" s="14"/>
      <c r="C495" s="14"/>
      <c r="D495" s="14"/>
      <c r="E495" s="14"/>
    </row>
    <row r="496">
      <c r="A496" s="14"/>
      <c r="B496" s="14"/>
      <c r="C496" s="14"/>
      <c r="D496" s="14"/>
      <c r="E496" s="14"/>
    </row>
    <row r="497">
      <c r="A497" s="14"/>
      <c r="B497" s="14"/>
      <c r="C497" s="14"/>
      <c r="D497" s="14"/>
      <c r="E497" s="14"/>
    </row>
    <row r="498">
      <c r="A498" s="14"/>
      <c r="B498" s="14"/>
      <c r="C498" s="14"/>
      <c r="D498" s="14"/>
      <c r="E498" s="14"/>
    </row>
    <row r="499">
      <c r="A499" s="14"/>
      <c r="B499" s="14"/>
      <c r="C499" s="14"/>
      <c r="D499" s="14"/>
      <c r="E499" s="14"/>
    </row>
    <row r="500">
      <c r="A500" s="14"/>
      <c r="B500" s="14"/>
      <c r="C500" s="14"/>
      <c r="D500" s="14"/>
      <c r="E500" s="14"/>
    </row>
    <row r="501">
      <c r="A501" s="14"/>
      <c r="B501" s="14"/>
      <c r="C501" s="14"/>
      <c r="D501" s="14"/>
      <c r="E501" s="14"/>
    </row>
    <row r="502">
      <c r="A502" s="14"/>
      <c r="B502" s="14"/>
      <c r="C502" s="14"/>
      <c r="D502" s="14"/>
      <c r="E502" s="14"/>
    </row>
    <row r="503">
      <c r="A503" s="14"/>
      <c r="B503" s="14"/>
      <c r="C503" s="14"/>
      <c r="D503" s="14"/>
      <c r="E503" s="14"/>
    </row>
    <row r="504">
      <c r="A504" s="14"/>
      <c r="B504" s="14"/>
      <c r="C504" s="14"/>
      <c r="D504" s="14"/>
      <c r="E504" s="14"/>
    </row>
    <row r="505">
      <c r="A505" s="14"/>
      <c r="B505" s="14"/>
      <c r="C505" s="14"/>
      <c r="D505" s="14"/>
      <c r="E505" s="14"/>
    </row>
    <row r="506">
      <c r="A506" s="14"/>
      <c r="B506" s="14"/>
      <c r="C506" s="14"/>
      <c r="D506" s="14"/>
      <c r="E506" s="14"/>
    </row>
    <row r="507">
      <c r="A507" s="14"/>
      <c r="B507" s="14"/>
      <c r="C507" s="14"/>
      <c r="D507" s="14"/>
      <c r="E507" s="14"/>
    </row>
    <row r="508">
      <c r="A508" s="14"/>
      <c r="B508" s="14"/>
      <c r="C508" s="14"/>
      <c r="D508" s="14"/>
      <c r="E508" s="14"/>
    </row>
    <row r="509">
      <c r="A509" s="14"/>
      <c r="B509" s="14"/>
      <c r="C509" s="14"/>
      <c r="D509" s="14"/>
      <c r="E509" s="14"/>
    </row>
    <row r="510">
      <c r="A510" s="14"/>
      <c r="B510" s="14"/>
      <c r="C510" s="14"/>
      <c r="D510" s="14"/>
      <c r="E510" s="14"/>
    </row>
    <row r="511">
      <c r="A511" s="14"/>
      <c r="B511" s="14"/>
      <c r="C511" s="14"/>
      <c r="D511" s="14"/>
      <c r="E511" s="14"/>
    </row>
    <row r="512">
      <c r="A512" s="14"/>
      <c r="B512" s="14"/>
      <c r="C512" s="14"/>
      <c r="D512" s="14"/>
      <c r="E512" s="14"/>
    </row>
    <row r="513">
      <c r="A513" s="14"/>
      <c r="B513" s="14"/>
      <c r="C513" s="14"/>
      <c r="D513" s="14"/>
      <c r="E513" s="14"/>
    </row>
    <row r="514">
      <c r="A514" s="14"/>
      <c r="B514" s="14"/>
      <c r="C514" s="14"/>
      <c r="D514" s="14"/>
      <c r="E514" s="14"/>
    </row>
    <row r="515">
      <c r="A515" s="14"/>
      <c r="B515" s="14"/>
      <c r="C515" s="14"/>
      <c r="D515" s="14"/>
      <c r="E515" s="14"/>
    </row>
    <row r="516">
      <c r="A516" s="14"/>
      <c r="B516" s="14"/>
      <c r="C516" s="14"/>
      <c r="D516" s="14"/>
      <c r="E516" s="14"/>
    </row>
    <row r="517">
      <c r="A517" s="14"/>
      <c r="B517" s="14"/>
      <c r="C517" s="14"/>
      <c r="D517" s="14"/>
      <c r="E517" s="14"/>
    </row>
    <row r="518">
      <c r="A518" s="14"/>
      <c r="B518" s="14"/>
      <c r="C518" s="14"/>
      <c r="D518" s="14"/>
      <c r="E518" s="14"/>
    </row>
    <row r="519">
      <c r="A519" s="14"/>
      <c r="B519" s="14"/>
      <c r="C519" s="14"/>
      <c r="D519" s="14"/>
      <c r="E519" s="14"/>
    </row>
    <row r="520">
      <c r="A520" s="14"/>
      <c r="B520" s="14"/>
      <c r="C520" s="14"/>
      <c r="D520" s="14"/>
      <c r="E520" s="14"/>
    </row>
    <row r="521">
      <c r="A521" s="14"/>
      <c r="B521" s="14"/>
      <c r="C521" s="14"/>
      <c r="D521" s="14"/>
      <c r="E521" s="14"/>
    </row>
    <row r="522">
      <c r="A522" s="14"/>
      <c r="B522" s="14"/>
      <c r="C522" s="14"/>
      <c r="D522" s="14"/>
      <c r="E522" s="14"/>
    </row>
    <row r="523">
      <c r="A523" s="14"/>
      <c r="B523" s="14"/>
      <c r="C523" s="14"/>
      <c r="D523" s="14"/>
      <c r="E523" s="14"/>
    </row>
    <row r="524">
      <c r="A524" s="14"/>
      <c r="B524" s="14"/>
      <c r="C524" s="14"/>
      <c r="D524" s="14"/>
      <c r="E524" s="14"/>
    </row>
    <row r="525">
      <c r="A525" s="14"/>
      <c r="B525" s="14"/>
      <c r="C525" s="14"/>
      <c r="D525" s="14"/>
      <c r="E525" s="14"/>
    </row>
    <row r="526">
      <c r="A526" s="14"/>
      <c r="B526" s="14"/>
      <c r="C526" s="14"/>
      <c r="D526" s="14"/>
      <c r="E526" s="14"/>
    </row>
    <row r="527">
      <c r="A527" s="14"/>
      <c r="B527" s="14"/>
      <c r="C527" s="14"/>
      <c r="D527" s="14"/>
      <c r="E527" s="14"/>
    </row>
    <row r="528">
      <c r="A528" s="14"/>
      <c r="B528" s="14"/>
      <c r="C528" s="14"/>
      <c r="D528" s="14"/>
      <c r="E528" s="14"/>
    </row>
    <row r="529">
      <c r="A529" s="14"/>
      <c r="B529" s="14"/>
      <c r="C529" s="14"/>
      <c r="D529" s="14"/>
      <c r="E529" s="14"/>
    </row>
    <row r="530">
      <c r="A530" s="14"/>
      <c r="B530" s="14"/>
      <c r="C530" s="14"/>
      <c r="D530" s="14"/>
      <c r="E530" s="14"/>
    </row>
    <row r="531">
      <c r="A531" s="14"/>
      <c r="B531" s="14"/>
      <c r="C531" s="14"/>
      <c r="D531" s="14"/>
      <c r="E531" s="14"/>
    </row>
    <row r="532">
      <c r="A532" s="14"/>
      <c r="B532" s="14"/>
      <c r="C532" s="14"/>
      <c r="D532" s="14"/>
      <c r="E532" s="14"/>
    </row>
    <row r="533">
      <c r="A533" s="14"/>
      <c r="B533" s="14"/>
      <c r="C533" s="14"/>
      <c r="D533" s="14"/>
      <c r="E533" s="14"/>
    </row>
    <row r="534">
      <c r="A534" s="14"/>
      <c r="B534" s="14"/>
      <c r="C534" s="14"/>
      <c r="D534" s="14"/>
      <c r="E534" s="14"/>
    </row>
    <row r="535">
      <c r="A535" s="14"/>
      <c r="B535" s="14"/>
      <c r="C535" s="14"/>
      <c r="D535" s="14"/>
      <c r="E535" s="14"/>
    </row>
    <row r="536">
      <c r="A536" s="14"/>
      <c r="B536" s="14"/>
      <c r="C536" s="14"/>
      <c r="D536" s="14"/>
      <c r="E536" s="14"/>
    </row>
    <row r="537">
      <c r="A537" s="14"/>
      <c r="B537" s="14"/>
      <c r="C537" s="14"/>
      <c r="D537" s="14"/>
      <c r="E537" s="14"/>
    </row>
    <row r="538">
      <c r="A538" s="14"/>
      <c r="B538" s="14"/>
      <c r="C538" s="14"/>
      <c r="D538" s="14"/>
      <c r="E538" s="14"/>
    </row>
    <row r="539">
      <c r="A539" s="14"/>
      <c r="B539" s="14"/>
      <c r="C539" s="14"/>
      <c r="D539" s="14"/>
      <c r="E539" s="14"/>
    </row>
    <row r="540">
      <c r="A540" s="14"/>
      <c r="B540" s="14"/>
      <c r="C540" s="14"/>
      <c r="D540" s="14"/>
      <c r="E540" s="14"/>
    </row>
    <row r="541">
      <c r="A541" s="14"/>
      <c r="B541" s="14"/>
      <c r="C541" s="14"/>
      <c r="D541" s="14"/>
      <c r="E541" s="14"/>
    </row>
    <row r="542">
      <c r="A542" s="14"/>
      <c r="B542" s="14"/>
      <c r="C542" s="14"/>
      <c r="D542" s="14"/>
      <c r="E542" s="14"/>
    </row>
    <row r="543">
      <c r="A543" s="14"/>
      <c r="B543" s="14"/>
      <c r="C543" s="14"/>
      <c r="D543" s="14"/>
      <c r="E543" s="14"/>
    </row>
    <row r="544">
      <c r="A544" s="14"/>
      <c r="B544" s="14"/>
      <c r="C544" s="14"/>
      <c r="D544" s="14"/>
      <c r="E544" s="14"/>
    </row>
    <row r="545">
      <c r="A545" s="14"/>
      <c r="B545" s="14"/>
      <c r="C545" s="14"/>
      <c r="D545" s="14"/>
      <c r="E545" s="14"/>
    </row>
    <row r="546">
      <c r="A546" s="14"/>
      <c r="B546" s="14"/>
      <c r="C546" s="14"/>
      <c r="D546" s="14"/>
      <c r="E546" s="14"/>
    </row>
    <row r="547">
      <c r="A547" s="14"/>
      <c r="B547" s="14"/>
      <c r="C547" s="14"/>
      <c r="D547" s="14"/>
      <c r="E547" s="14"/>
    </row>
    <row r="548">
      <c r="A548" s="14"/>
      <c r="B548" s="14"/>
      <c r="C548" s="14"/>
      <c r="D548" s="14"/>
      <c r="E548" s="14"/>
    </row>
    <row r="549">
      <c r="A549" s="14"/>
      <c r="B549" s="14"/>
      <c r="C549" s="14"/>
      <c r="D549" s="14"/>
      <c r="E549" s="14"/>
    </row>
    <row r="550">
      <c r="A550" s="14"/>
      <c r="B550" s="14"/>
      <c r="C550" s="14"/>
      <c r="D550" s="14"/>
      <c r="E550" s="14"/>
    </row>
    <row r="551">
      <c r="A551" s="14"/>
      <c r="B551" s="14"/>
      <c r="C551" s="14"/>
      <c r="D551" s="14"/>
      <c r="E551" s="14"/>
    </row>
    <row r="552">
      <c r="A552" s="14"/>
      <c r="B552" s="14"/>
      <c r="C552" s="14"/>
      <c r="D552" s="14"/>
      <c r="E552" s="14"/>
    </row>
    <row r="553">
      <c r="A553" s="14"/>
      <c r="B553" s="14"/>
      <c r="C553" s="14"/>
      <c r="D553" s="14"/>
      <c r="E553" s="14"/>
    </row>
    <row r="554">
      <c r="A554" s="14"/>
      <c r="B554" s="14"/>
      <c r="C554" s="14"/>
      <c r="D554" s="14"/>
      <c r="E554" s="14"/>
    </row>
    <row r="555">
      <c r="A555" s="14"/>
      <c r="B555" s="14"/>
      <c r="C555" s="14"/>
      <c r="D555" s="14"/>
      <c r="E555" s="14"/>
    </row>
    <row r="556">
      <c r="A556" s="14"/>
      <c r="B556" s="14"/>
      <c r="C556" s="14"/>
      <c r="D556" s="14"/>
      <c r="E556" s="14"/>
    </row>
    <row r="557">
      <c r="A557" s="14"/>
      <c r="B557" s="14"/>
      <c r="C557" s="14"/>
      <c r="D557" s="14"/>
      <c r="E557" s="14"/>
    </row>
    <row r="558">
      <c r="A558" s="14"/>
      <c r="B558" s="14"/>
      <c r="C558" s="14"/>
      <c r="D558" s="14"/>
      <c r="E558" s="14"/>
    </row>
    <row r="559">
      <c r="A559" s="14"/>
      <c r="B559" s="14"/>
      <c r="C559" s="14"/>
      <c r="D559" s="14"/>
      <c r="E559" s="14"/>
    </row>
    <row r="560">
      <c r="A560" s="14"/>
      <c r="B560" s="14"/>
      <c r="C560" s="14"/>
      <c r="D560" s="14"/>
      <c r="E560" s="14"/>
    </row>
    <row r="561">
      <c r="A561" s="14"/>
      <c r="B561" s="14"/>
      <c r="C561" s="14"/>
      <c r="D561" s="14"/>
      <c r="E561" s="14"/>
    </row>
    <row r="562">
      <c r="A562" s="14"/>
      <c r="B562" s="14"/>
      <c r="C562" s="14"/>
      <c r="D562" s="14"/>
      <c r="E562" s="14"/>
    </row>
    <row r="563">
      <c r="A563" s="14"/>
      <c r="B563" s="14"/>
      <c r="C563" s="14"/>
      <c r="D563" s="14"/>
      <c r="E563" s="14"/>
    </row>
    <row r="564">
      <c r="A564" s="14"/>
      <c r="B564" s="14"/>
      <c r="C564" s="14"/>
      <c r="D564" s="14"/>
      <c r="E564" s="14"/>
    </row>
    <row r="565">
      <c r="A565" s="14"/>
      <c r="B565" s="14"/>
      <c r="C565" s="14"/>
      <c r="D565" s="14"/>
      <c r="E565" s="14"/>
    </row>
    <row r="566">
      <c r="A566" s="14"/>
      <c r="B566" s="14"/>
      <c r="C566" s="14"/>
      <c r="D566" s="14"/>
      <c r="E566" s="14"/>
    </row>
    <row r="567">
      <c r="A567" s="14"/>
      <c r="B567" s="14"/>
      <c r="C567" s="14"/>
      <c r="D567" s="14"/>
      <c r="E567" s="14"/>
    </row>
    <row r="568">
      <c r="A568" s="14"/>
      <c r="B568" s="14"/>
      <c r="C568" s="14"/>
      <c r="D568" s="14"/>
      <c r="E568" s="14"/>
    </row>
    <row r="569">
      <c r="A569" s="14"/>
      <c r="B569" s="14"/>
      <c r="C569" s="14"/>
      <c r="D569" s="14"/>
      <c r="E569" s="14"/>
    </row>
    <row r="570">
      <c r="A570" s="14"/>
      <c r="B570" s="14"/>
      <c r="C570" s="14"/>
      <c r="D570" s="14"/>
      <c r="E570" s="14"/>
    </row>
    <row r="571">
      <c r="A571" s="14"/>
      <c r="B571" s="14"/>
      <c r="C571" s="14"/>
      <c r="D571" s="14"/>
      <c r="E571" s="14"/>
    </row>
    <row r="572">
      <c r="A572" s="14"/>
      <c r="B572" s="14"/>
      <c r="C572" s="14"/>
      <c r="D572" s="14"/>
      <c r="E572" s="14"/>
    </row>
    <row r="573">
      <c r="A573" s="14"/>
      <c r="B573" s="14"/>
      <c r="C573" s="14"/>
      <c r="D573" s="14"/>
      <c r="E573" s="14"/>
    </row>
    <row r="574">
      <c r="A574" s="14"/>
      <c r="B574" s="14"/>
      <c r="C574" s="14"/>
      <c r="D574" s="14"/>
      <c r="E574" s="14"/>
    </row>
    <row r="575">
      <c r="A575" s="14"/>
      <c r="B575" s="14"/>
      <c r="C575" s="14"/>
      <c r="D575" s="14"/>
      <c r="E575" s="14"/>
    </row>
    <row r="576">
      <c r="A576" s="14"/>
      <c r="B576" s="14"/>
      <c r="C576" s="14"/>
      <c r="D576" s="14"/>
      <c r="E576" s="14"/>
    </row>
    <row r="577">
      <c r="A577" s="14"/>
      <c r="B577" s="14"/>
      <c r="C577" s="14"/>
      <c r="D577" s="14"/>
      <c r="E577" s="14"/>
    </row>
    <row r="578">
      <c r="A578" s="14"/>
      <c r="B578" s="14"/>
      <c r="C578" s="14"/>
      <c r="D578" s="14"/>
      <c r="E578" s="14"/>
    </row>
    <row r="579">
      <c r="A579" s="14"/>
      <c r="B579" s="14"/>
      <c r="C579" s="14"/>
      <c r="D579" s="14"/>
      <c r="E579" s="14"/>
    </row>
    <row r="580">
      <c r="A580" s="14"/>
      <c r="B580" s="14"/>
      <c r="C580" s="14"/>
      <c r="D580" s="14"/>
      <c r="E580" s="14"/>
    </row>
    <row r="581">
      <c r="A581" s="14"/>
      <c r="B581" s="14"/>
      <c r="C581" s="14"/>
      <c r="D581" s="14"/>
      <c r="E581" s="14"/>
    </row>
    <row r="582">
      <c r="A582" s="14"/>
      <c r="B582" s="14"/>
      <c r="C582" s="14"/>
      <c r="D582" s="14"/>
      <c r="E582" s="14"/>
    </row>
    <row r="583">
      <c r="A583" s="14"/>
      <c r="B583" s="14"/>
      <c r="C583" s="14"/>
      <c r="D583" s="14"/>
      <c r="E583" s="14"/>
    </row>
    <row r="584">
      <c r="A584" s="14"/>
      <c r="B584" s="14"/>
      <c r="C584" s="14"/>
      <c r="D584" s="14"/>
      <c r="E584" s="14"/>
    </row>
    <row r="585">
      <c r="A585" s="14"/>
      <c r="B585" s="14"/>
      <c r="C585" s="14"/>
      <c r="D585" s="14"/>
      <c r="E585" s="14"/>
    </row>
    <row r="586">
      <c r="A586" s="14"/>
      <c r="B586" s="14"/>
      <c r="C586" s="14"/>
      <c r="D586" s="14"/>
      <c r="E586" s="14"/>
    </row>
    <row r="587">
      <c r="A587" s="14"/>
      <c r="B587" s="14"/>
      <c r="C587" s="14"/>
      <c r="D587" s="14"/>
      <c r="E587" s="14"/>
    </row>
    <row r="588">
      <c r="A588" s="14"/>
      <c r="B588" s="14"/>
      <c r="C588" s="14"/>
      <c r="D588" s="14"/>
      <c r="E588" s="14"/>
    </row>
    <row r="589">
      <c r="A589" s="14"/>
      <c r="B589" s="14"/>
      <c r="C589" s="14"/>
      <c r="D589" s="14"/>
      <c r="E589" s="14"/>
    </row>
    <row r="590">
      <c r="A590" s="14"/>
      <c r="B590" s="14"/>
      <c r="C590" s="14"/>
      <c r="D590" s="14"/>
      <c r="E590" s="14"/>
    </row>
    <row r="591">
      <c r="A591" s="14"/>
      <c r="B591" s="14"/>
      <c r="C591" s="14"/>
      <c r="D591" s="14"/>
      <c r="E591" s="14"/>
    </row>
    <row r="592">
      <c r="A592" s="14"/>
      <c r="B592" s="14"/>
      <c r="C592" s="14"/>
      <c r="D592" s="14"/>
      <c r="E592" s="14"/>
    </row>
    <row r="593">
      <c r="A593" s="14"/>
      <c r="B593" s="14"/>
      <c r="C593" s="14"/>
      <c r="D593" s="14"/>
      <c r="E593" s="14"/>
    </row>
    <row r="594">
      <c r="A594" s="14"/>
      <c r="B594" s="14"/>
      <c r="C594" s="14"/>
      <c r="D594" s="14"/>
      <c r="E594" s="14"/>
    </row>
    <row r="595">
      <c r="A595" s="14"/>
      <c r="B595" s="14"/>
      <c r="C595" s="14"/>
      <c r="D595" s="14"/>
      <c r="E595" s="14"/>
    </row>
    <row r="596">
      <c r="A596" s="14"/>
      <c r="B596" s="14"/>
      <c r="C596" s="14"/>
      <c r="D596" s="14"/>
      <c r="E596" s="14"/>
    </row>
    <row r="597">
      <c r="A597" s="14"/>
      <c r="B597" s="14"/>
      <c r="C597" s="14"/>
      <c r="D597" s="14"/>
      <c r="E597" s="14"/>
    </row>
    <row r="598">
      <c r="A598" s="14"/>
      <c r="B598" s="14"/>
      <c r="C598" s="14"/>
      <c r="D598" s="14"/>
      <c r="E598" s="14"/>
    </row>
    <row r="599">
      <c r="A599" s="14"/>
      <c r="B599" s="14"/>
      <c r="C599" s="14"/>
      <c r="D599" s="14"/>
      <c r="E599" s="14"/>
    </row>
    <row r="600">
      <c r="A600" s="14"/>
      <c r="B600" s="14"/>
      <c r="C600" s="14"/>
      <c r="D600" s="14"/>
      <c r="E600" s="14"/>
    </row>
    <row r="601">
      <c r="A601" s="14"/>
      <c r="B601" s="14"/>
      <c r="C601" s="14"/>
      <c r="D601" s="14"/>
      <c r="E601" s="14"/>
    </row>
    <row r="602">
      <c r="A602" s="14"/>
      <c r="B602" s="14"/>
      <c r="C602" s="14"/>
      <c r="D602" s="14"/>
      <c r="E602" s="14"/>
    </row>
    <row r="603">
      <c r="A603" s="14"/>
      <c r="B603" s="14"/>
      <c r="C603" s="14"/>
      <c r="D603" s="14"/>
      <c r="E603" s="14"/>
    </row>
    <row r="604">
      <c r="A604" s="14"/>
      <c r="B604" s="14"/>
      <c r="C604" s="14"/>
      <c r="D604" s="14"/>
      <c r="E604" s="14"/>
    </row>
    <row r="605">
      <c r="A605" s="14"/>
      <c r="B605" s="14"/>
      <c r="C605" s="14"/>
      <c r="D605" s="14"/>
      <c r="E605" s="14"/>
    </row>
    <row r="606">
      <c r="A606" s="14"/>
      <c r="B606" s="14"/>
      <c r="C606" s="14"/>
      <c r="D606" s="14"/>
      <c r="E606" s="14"/>
    </row>
    <row r="607">
      <c r="A607" s="14"/>
      <c r="B607" s="14"/>
      <c r="C607" s="14"/>
      <c r="D607" s="14"/>
      <c r="E607" s="14"/>
    </row>
    <row r="608">
      <c r="A608" s="14"/>
      <c r="B608" s="14"/>
      <c r="C608" s="14"/>
      <c r="D608" s="14"/>
      <c r="E608" s="14"/>
    </row>
    <row r="609">
      <c r="A609" s="14"/>
      <c r="B609" s="14"/>
      <c r="C609" s="14"/>
      <c r="D609" s="14"/>
      <c r="E609" s="14"/>
    </row>
    <row r="610">
      <c r="A610" s="14"/>
      <c r="B610" s="14"/>
      <c r="C610" s="14"/>
      <c r="D610" s="14"/>
      <c r="E610" s="14"/>
    </row>
    <row r="611">
      <c r="A611" s="14"/>
      <c r="B611" s="14"/>
      <c r="C611" s="14"/>
      <c r="D611" s="14"/>
      <c r="E611" s="14"/>
    </row>
    <row r="612">
      <c r="A612" s="14"/>
      <c r="B612" s="14"/>
      <c r="C612" s="14"/>
      <c r="D612" s="14"/>
      <c r="E612" s="14"/>
    </row>
    <row r="613">
      <c r="A613" s="14"/>
      <c r="B613" s="14"/>
      <c r="C613" s="14"/>
      <c r="D613" s="14"/>
      <c r="E613" s="14"/>
    </row>
    <row r="614">
      <c r="A614" s="14"/>
      <c r="B614" s="14"/>
      <c r="C614" s="14"/>
      <c r="D614" s="14"/>
      <c r="E614" s="14"/>
    </row>
    <row r="615">
      <c r="A615" s="14"/>
      <c r="B615" s="14"/>
      <c r="C615" s="14"/>
      <c r="D615" s="14"/>
      <c r="E615" s="14"/>
    </row>
    <row r="616">
      <c r="A616" s="14"/>
      <c r="B616" s="14"/>
      <c r="C616" s="14"/>
      <c r="D616" s="14"/>
      <c r="E616" s="14"/>
    </row>
    <row r="617">
      <c r="A617" s="14"/>
      <c r="B617" s="14"/>
      <c r="C617" s="14"/>
      <c r="D617" s="14"/>
      <c r="E617" s="14"/>
    </row>
    <row r="618">
      <c r="A618" s="14"/>
      <c r="B618" s="14"/>
      <c r="C618" s="14"/>
      <c r="D618" s="14"/>
      <c r="E618" s="14"/>
    </row>
    <row r="619">
      <c r="A619" s="14"/>
      <c r="B619" s="14"/>
      <c r="C619" s="14"/>
      <c r="D619" s="14"/>
      <c r="E619" s="14"/>
    </row>
    <row r="620">
      <c r="A620" s="14"/>
      <c r="B620" s="14"/>
      <c r="C620" s="14"/>
      <c r="D620" s="14"/>
      <c r="E620" s="14"/>
    </row>
    <row r="621">
      <c r="A621" s="14"/>
      <c r="B621" s="14"/>
      <c r="C621" s="14"/>
      <c r="D621" s="14"/>
      <c r="E621" s="14"/>
    </row>
    <row r="622">
      <c r="A622" s="14"/>
      <c r="B622" s="14"/>
      <c r="C622" s="14"/>
      <c r="D622" s="14"/>
      <c r="E622" s="14"/>
    </row>
    <row r="623">
      <c r="A623" s="14"/>
      <c r="B623" s="14"/>
      <c r="C623" s="14"/>
      <c r="D623" s="14"/>
      <c r="E623" s="14"/>
    </row>
    <row r="624">
      <c r="A624" s="14"/>
      <c r="B624" s="14"/>
      <c r="C624" s="14"/>
      <c r="D624" s="14"/>
      <c r="E624" s="14"/>
    </row>
    <row r="625">
      <c r="A625" s="14"/>
      <c r="B625" s="14"/>
      <c r="C625" s="14"/>
      <c r="D625" s="14"/>
      <c r="E625" s="14"/>
    </row>
    <row r="626">
      <c r="A626" s="14"/>
      <c r="B626" s="14"/>
      <c r="C626" s="14"/>
      <c r="D626" s="14"/>
      <c r="E626" s="14"/>
    </row>
    <row r="627">
      <c r="A627" s="14"/>
      <c r="B627" s="14"/>
      <c r="C627" s="14"/>
      <c r="D627" s="14"/>
      <c r="E627" s="14"/>
    </row>
    <row r="628">
      <c r="A628" s="14"/>
      <c r="B628" s="14"/>
      <c r="C628" s="14"/>
      <c r="D628" s="14"/>
      <c r="E628" s="14"/>
    </row>
    <row r="629">
      <c r="A629" s="14"/>
      <c r="B629" s="14"/>
      <c r="C629" s="14"/>
      <c r="D629" s="14"/>
      <c r="E629" s="14"/>
    </row>
    <row r="630">
      <c r="A630" s="14"/>
      <c r="B630" s="14"/>
      <c r="C630" s="14"/>
      <c r="D630" s="14"/>
      <c r="E630" s="14"/>
    </row>
    <row r="631">
      <c r="A631" s="14"/>
      <c r="B631" s="14"/>
      <c r="C631" s="14"/>
      <c r="D631" s="14"/>
      <c r="E631" s="14"/>
    </row>
    <row r="632">
      <c r="A632" s="14"/>
      <c r="B632" s="14"/>
      <c r="C632" s="14"/>
      <c r="D632" s="14"/>
      <c r="E632" s="14"/>
    </row>
    <row r="633">
      <c r="A633" s="14"/>
      <c r="B633" s="14"/>
      <c r="C633" s="14"/>
      <c r="D633" s="14"/>
      <c r="E633" s="14"/>
    </row>
    <row r="634">
      <c r="A634" s="14"/>
      <c r="B634" s="14"/>
      <c r="C634" s="14"/>
      <c r="D634" s="14"/>
      <c r="E634" s="14"/>
    </row>
    <row r="635">
      <c r="A635" s="14"/>
      <c r="B635" s="14"/>
      <c r="C635" s="14"/>
      <c r="D635" s="14"/>
      <c r="E635" s="14"/>
    </row>
    <row r="636">
      <c r="A636" s="14"/>
      <c r="B636" s="14"/>
      <c r="C636" s="14"/>
      <c r="D636" s="14"/>
      <c r="E636" s="14"/>
    </row>
    <row r="637">
      <c r="A637" s="14"/>
      <c r="B637" s="14"/>
      <c r="C637" s="14"/>
      <c r="D637" s="14"/>
      <c r="E637" s="14"/>
    </row>
    <row r="638">
      <c r="A638" s="14"/>
      <c r="B638" s="14"/>
      <c r="C638" s="14"/>
      <c r="D638" s="14"/>
      <c r="E638" s="14"/>
    </row>
    <row r="639">
      <c r="A639" s="14"/>
      <c r="B639" s="14"/>
      <c r="C639" s="14"/>
      <c r="D639" s="14"/>
      <c r="E639" s="14"/>
    </row>
    <row r="640">
      <c r="A640" s="14"/>
      <c r="B640" s="14"/>
      <c r="C640" s="14"/>
      <c r="D640" s="14"/>
      <c r="E640" s="14"/>
    </row>
    <row r="641">
      <c r="A641" s="14"/>
      <c r="B641" s="14"/>
      <c r="C641" s="14"/>
      <c r="D641" s="14"/>
      <c r="E641" s="14"/>
    </row>
    <row r="642">
      <c r="A642" s="14"/>
      <c r="B642" s="14"/>
      <c r="C642" s="14"/>
      <c r="D642" s="14"/>
      <c r="E642" s="14"/>
    </row>
    <row r="643">
      <c r="A643" s="14"/>
      <c r="B643" s="14"/>
      <c r="C643" s="14"/>
      <c r="D643" s="14"/>
      <c r="E643" s="14"/>
    </row>
    <row r="644">
      <c r="A644" s="14"/>
      <c r="B644" s="14"/>
      <c r="C644" s="14"/>
      <c r="D644" s="14"/>
      <c r="E644" s="14"/>
    </row>
    <row r="645">
      <c r="A645" s="14"/>
      <c r="B645" s="14"/>
      <c r="C645" s="14"/>
      <c r="D645" s="14"/>
      <c r="E645" s="14"/>
    </row>
    <row r="646">
      <c r="A646" s="14"/>
      <c r="B646" s="14"/>
      <c r="C646" s="14"/>
      <c r="D646" s="14"/>
      <c r="E646" s="14"/>
    </row>
    <row r="647">
      <c r="A647" s="14"/>
      <c r="B647" s="14"/>
      <c r="C647" s="14"/>
      <c r="D647" s="14"/>
      <c r="E647" s="14"/>
    </row>
    <row r="648">
      <c r="A648" s="14"/>
      <c r="B648" s="14"/>
      <c r="C648" s="14"/>
      <c r="D648" s="14"/>
      <c r="E648" s="14"/>
    </row>
    <row r="649">
      <c r="A649" s="14"/>
      <c r="B649" s="14"/>
      <c r="C649" s="14"/>
      <c r="D649" s="14"/>
      <c r="E649" s="14"/>
    </row>
    <row r="650">
      <c r="A650" s="14"/>
      <c r="B650" s="14"/>
      <c r="C650" s="14"/>
      <c r="D650" s="14"/>
      <c r="E650" s="14"/>
    </row>
    <row r="651">
      <c r="A651" s="14"/>
      <c r="B651" s="14"/>
      <c r="C651" s="14"/>
      <c r="D651" s="14"/>
      <c r="E651" s="14"/>
    </row>
    <row r="652">
      <c r="A652" s="14"/>
      <c r="B652" s="14"/>
      <c r="C652" s="14"/>
      <c r="D652" s="14"/>
      <c r="E652" s="14"/>
    </row>
    <row r="653">
      <c r="A653" s="14"/>
      <c r="B653" s="14"/>
      <c r="C653" s="14"/>
      <c r="D653" s="14"/>
      <c r="E653" s="14"/>
    </row>
    <row r="654">
      <c r="A654" s="14"/>
      <c r="B654" s="14"/>
      <c r="C654" s="14"/>
      <c r="D654" s="14"/>
      <c r="E654" s="14"/>
    </row>
    <row r="655">
      <c r="A655" s="14"/>
      <c r="B655" s="14"/>
      <c r="C655" s="14"/>
      <c r="D655" s="14"/>
      <c r="E655" s="14"/>
    </row>
    <row r="656">
      <c r="A656" s="14"/>
      <c r="B656" s="14"/>
      <c r="C656" s="14"/>
      <c r="D656" s="14"/>
      <c r="E656" s="14"/>
    </row>
    <row r="657">
      <c r="A657" s="14"/>
      <c r="B657" s="14"/>
      <c r="C657" s="14"/>
      <c r="D657" s="14"/>
      <c r="E657" s="14"/>
    </row>
    <row r="658">
      <c r="A658" s="14"/>
      <c r="B658" s="14"/>
      <c r="C658" s="14"/>
      <c r="D658" s="14"/>
      <c r="E658" s="14"/>
    </row>
    <row r="659">
      <c r="A659" s="14"/>
      <c r="B659" s="14"/>
      <c r="C659" s="14"/>
      <c r="D659" s="14"/>
      <c r="E659" s="14"/>
    </row>
    <row r="660">
      <c r="A660" s="14"/>
      <c r="B660" s="14"/>
      <c r="C660" s="14"/>
      <c r="D660" s="14"/>
      <c r="E660" s="14"/>
    </row>
    <row r="661">
      <c r="A661" s="14"/>
      <c r="B661" s="14"/>
      <c r="C661" s="14"/>
      <c r="D661" s="14"/>
      <c r="E661" s="14"/>
    </row>
    <row r="662">
      <c r="A662" s="14"/>
      <c r="B662" s="14"/>
      <c r="C662" s="14"/>
      <c r="D662" s="14"/>
      <c r="E662" s="14"/>
    </row>
    <row r="663">
      <c r="A663" s="14"/>
      <c r="B663" s="14"/>
      <c r="C663" s="14"/>
      <c r="D663" s="14"/>
      <c r="E663" s="14"/>
    </row>
    <row r="664">
      <c r="A664" s="14"/>
      <c r="B664" s="14"/>
      <c r="C664" s="14"/>
      <c r="D664" s="14"/>
      <c r="E664" s="14"/>
    </row>
    <row r="665">
      <c r="A665" s="14"/>
      <c r="B665" s="14"/>
      <c r="C665" s="14"/>
      <c r="D665" s="14"/>
      <c r="E665" s="14"/>
    </row>
    <row r="666">
      <c r="A666" s="14"/>
      <c r="B666" s="14"/>
      <c r="C666" s="14"/>
      <c r="D666" s="14"/>
      <c r="E666" s="14"/>
    </row>
    <row r="667">
      <c r="A667" s="14"/>
      <c r="B667" s="14"/>
      <c r="C667" s="14"/>
      <c r="D667" s="14"/>
      <c r="E667" s="14"/>
    </row>
    <row r="668">
      <c r="A668" s="14"/>
      <c r="B668" s="14"/>
      <c r="C668" s="14"/>
      <c r="D668" s="14"/>
      <c r="E668" s="14"/>
    </row>
    <row r="669">
      <c r="A669" s="14"/>
      <c r="B669" s="14"/>
      <c r="C669" s="14"/>
      <c r="D669" s="14"/>
      <c r="E669" s="14"/>
    </row>
    <row r="670">
      <c r="A670" s="14"/>
      <c r="B670" s="14"/>
      <c r="C670" s="14"/>
      <c r="D670" s="14"/>
      <c r="E670" s="14"/>
    </row>
    <row r="671">
      <c r="A671" s="14"/>
      <c r="B671" s="14"/>
      <c r="C671" s="14"/>
      <c r="D671" s="14"/>
      <c r="E671" s="14"/>
    </row>
    <row r="672">
      <c r="A672" s="14"/>
      <c r="B672" s="14"/>
      <c r="C672" s="14"/>
      <c r="D672" s="14"/>
      <c r="E672" s="14"/>
    </row>
    <row r="673">
      <c r="A673" s="14"/>
      <c r="B673" s="14"/>
      <c r="C673" s="14"/>
      <c r="D673" s="14"/>
      <c r="E673" s="14"/>
    </row>
    <row r="674">
      <c r="A674" s="14"/>
      <c r="B674" s="14"/>
      <c r="C674" s="14"/>
      <c r="D674" s="14"/>
      <c r="E674" s="14"/>
    </row>
    <row r="675">
      <c r="A675" s="14"/>
      <c r="B675" s="14"/>
      <c r="C675" s="14"/>
      <c r="D675" s="14"/>
      <c r="E675" s="14"/>
    </row>
    <row r="676">
      <c r="A676" s="14"/>
      <c r="B676" s="14"/>
      <c r="C676" s="14"/>
      <c r="D676" s="14"/>
      <c r="E676" s="14"/>
    </row>
    <row r="677">
      <c r="A677" s="14"/>
      <c r="B677" s="14"/>
      <c r="C677" s="14"/>
      <c r="D677" s="14"/>
      <c r="E677" s="14"/>
    </row>
    <row r="678">
      <c r="A678" s="14"/>
      <c r="B678" s="14"/>
      <c r="C678" s="14"/>
      <c r="D678" s="14"/>
      <c r="E678" s="14"/>
    </row>
    <row r="679">
      <c r="A679" s="14"/>
      <c r="B679" s="14"/>
      <c r="C679" s="14"/>
      <c r="D679" s="14"/>
      <c r="E679" s="14"/>
    </row>
    <row r="680">
      <c r="A680" s="14"/>
      <c r="B680" s="14"/>
      <c r="C680" s="14"/>
      <c r="D680" s="14"/>
      <c r="E680" s="14"/>
    </row>
    <row r="681">
      <c r="A681" s="14"/>
      <c r="B681" s="14"/>
      <c r="C681" s="14"/>
      <c r="D681" s="14"/>
      <c r="E681" s="14"/>
    </row>
    <row r="682">
      <c r="A682" s="14"/>
      <c r="B682" s="14"/>
      <c r="C682" s="14"/>
      <c r="D682" s="14"/>
      <c r="E682" s="14"/>
    </row>
    <row r="683">
      <c r="A683" s="14"/>
      <c r="B683" s="14"/>
      <c r="C683" s="14"/>
      <c r="D683" s="14"/>
      <c r="E683" s="14"/>
    </row>
    <row r="684">
      <c r="A684" s="14"/>
      <c r="B684" s="14"/>
      <c r="C684" s="14"/>
      <c r="D684" s="14"/>
      <c r="E684" s="14"/>
    </row>
    <row r="685">
      <c r="A685" s="14"/>
      <c r="B685" s="14"/>
      <c r="C685" s="14"/>
      <c r="D685" s="14"/>
      <c r="E685" s="14"/>
    </row>
    <row r="686">
      <c r="A686" s="14"/>
      <c r="B686" s="14"/>
      <c r="C686" s="14"/>
      <c r="D686" s="14"/>
      <c r="E686" s="14"/>
    </row>
    <row r="687">
      <c r="A687" s="14"/>
      <c r="B687" s="14"/>
      <c r="C687" s="14"/>
      <c r="D687" s="14"/>
      <c r="E687" s="14"/>
    </row>
    <row r="688">
      <c r="A688" s="14"/>
      <c r="B688" s="14"/>
      <c r="C688" s="14"/>
      <c r="D688" s="14"/>
      <c r="E688" s="14"/>
    </row>
    <row r="689">
      <c r="A689" s="14"/>
      <c r="B689" s="14"/>
      <c r="C689" s="14"/>
      <c r="D689" s="14"/>
      <c r="E689" s="14"/>
    </row>
    <row r="690">
      <c r="A690" s="14"/>
      <c r="B690" s="14"/>
      <c r="C690" s="14"/>
      <c r="D690" s="14"/>
      <c r="E690" s="14"/>
    </row>
    <row r="691">
      <c r="A691" s="14"/>
      <c r="B691" s="14"/>
      <c r="C691" s="14"/>
      <c r="D691" s="14"/>
      <c r="E691" s="14"/>
    </row>
    <row r="692">
      <c r="A692" s="14"/>
      <c r="B692" s="14"/>
      <c r="C692" s="14"/>
      <c r="D692" s="14"/>
      <c r="E692" s="14"/>
    </row>
    <row r="693">
      <c r="A693" s="14"/>
      <c r="B693" s="14"/>
      <c r="C693" s="14"/>
      <c r="D693" s="14"/>
      <c r="E693" s="14"/>
    </row>
    <row r="694">
      <c r="A694" s="14"/>
      <c r="B694" s="14"/>
      <c r="C694" s="14"/>
      <c r="D694" s="14"/>
      <c r="E694" s="14"/>
    </row>
    <row r="695">
      <c r="A695" s="14"/>
      <c r="B695" s="14"/>
      <c r="C695" s="14"/>
      <c r="D695" s="14"/>
      <c r="E695" s="14"/>
    </row>
    <row r="696">
      <c r="A696" s="14"/>
      <c r="B696" s="14"/>
      <c r="C696" s="14"/>
      <c r="D696" s="14"/>
      <c r="E696" s="14"/>
    </row>
    <row r="697">
      <c r="A697" s="14"/>
      <c r="B697" s="14"/>
      <c r="C697" s="14"/>
      <c r="D697" s="14"/>
      <c r="E697" s="14"/>
    </row>
    <row r="698">
      <c r="A698" s="14"/>
      <c r="B698" s="14"/>
      <c r="C698" s="14"/>
      <c r="D698" s="14"/>
      <c r="E698" s="14"/>
    </row>
    <row r="699">
      <c r="A699" s="14"/>
      <c r="B699" s="14"/>
      <c r="C699" s="14"/>
      <c r="D699" s="14"/>
      <c r="E699" s="14"/>
    </row>
    <row r="700">
      <c r="A700" s="14"/>
      <c r="B700" s="14"/>
      <c r="C700" s="14"/>
      <c r="D700" s="14"/>
      <c r="E700" s="14"/>
    </row>
    <row r="701">
      <c r="A701" s="14"/>
      <c r="B701" s="14"/>
      <c r="C701" s="14"/>
      <c r="D701" s="14"/>
      <c r="E701" s="14"/>
    </row>
    <row r="702">
      <c r="A702" s="14"/>
      <c r="B702" s="14"/>
      <c r="C702" s="14"/>
      <c r="D702" s="14"/>
      <c r="E702" s="14"/>
    </row>
    <row r="703">
      <c r="A703" s="14"/>
      <c r="B703" s="14"/>
      <c r="C703" s="14"/>
      <c r="D703" s="14"/>
      <c r="E703" s="14"/>
    </row>
    <row r="704">
      <c r="A704" s="14"/>
      <c r="B704" s="14"/>
      <c r="C704" s="14"/>
      <c r="D704" s="14"/>
      <c r="E704" s="14"/>
    </row>
    <row r="705">
      <c r="A705" s="14"/>
      <c r="B705" s="14"/>
      <c r="C705" s="14"/>
      <c r="D705" s="14"/>
      <c r="E705" s="14"/>
    </row>
    <row r="706">
      <c r="A706" s="14"/>
      <c r="B706" s="14"/>
      <c r="C706" s="14"/>
      <c r="D706" s="14"/>
      <c r="E706" s="14"/>
    </row>
    <row r="707">
      <c r="A707" s="14"/>
      <c r="B707" s="14"/>
      <c r="C707" s="14"/>
      <c r="D707" s="14"/>
      <c r="E707" s="14"/>
    </row>
    <row r="708">
      <c r="A708" s="14"/>
      <c r="B708" s="14"/>
      <c r="C708" s="14"/>
      <c r="D708" s="14"/>
      <c r="E708" s="14"/>
    </row>
    <row r="709">
      <c r="A709" s="14"/>
      <c r="B709" s="14"/>
      <c r="C709" s="14"/>
      <c r="D709" s="14"/>
      <c r="E709" s="14"/>
    </row>
    <row r="710">
      <c r="A710" s="14"/>
      <c r="B710" s="14"/>
      <c r="C710" s="14"/>
      <c r="D710" s="14"/>
      <c r="E710" s="14"/>
    </row>
    <row r="711">
      <c r="A711" s="14"/>
      <c r="B711" s="14"/>
      <c r="C711" s="14"/>
      <c r="D711" s="14"/>
      <c r="E711" s="14"/>
    </row>
    <row r="712">
      <c r="A712" s="14"/>
      <c r="B712" s="14"/>
      <c r="C712" s="14"/>
      <c r="D712" s="14"/>
      <c r="E712" s="14"/>
    </row>
    <row r="713">
      <c r="A713" s="14"/>
      <c r="B713" s="14"/>
      <c r="C713" s="14"/>
      <c r="D713" s="14"/>
      <c r="E713" s="14"/>
    </row>
    <row r="714">
      <c r="A714" s="14"/>
      <c r="B714" s="14"/>
      <c r="C714" s="14"/>
      <c r="D714" s="14"/>
      <c r="E714" s="14"/>
    </row>
    <row r="715">
      <c r="A715" s="14"/>
      <c r="B715" s="14"/>
      <c r="C715" s="14"/>
      <c r="D715" s="14"/>
      <c r="E715" s="14"/>
    </row>
    <row r="716">
      <c r="A716" s="14"/>
      <c r="B716" s="14"/>
      <c r="C716" s="14"/>
      <c r="D716" s="14"/>
      <c r="E716" s="14"/>
    </row>
    <row r="717">
      <c r="A717" s="14"/>
      <c r="B717" s="14"/>
      <c r="C717" s="14"/>
      <c r="D717" s="14"/>
      <c r="E717" s="14"/>
    </row>
    <row r="718">
      <c r="A718" s="14"/>
      <c r="B718" s="14"/>
      <c r="C718" s="14"/>
      <c r="D718" s="14"/>
      <c r="E718" s="14"/>
    </row>
    <row r="719">
      <c r="A719" s="14"/>
      <c r="B719" s="14"/>
      <c r="C719" s="14"/>
      <c r="D719" s="14"/>
      <c r="E719" s="14"/>
    </row>
    <row r="720">
      <c r="A720" s="14"/>
      <c r="B720" s="14"/>
      <c r="C720" s="14"/>
      <c r="D720" s="14"/>
      <c r="E720" s="14"/>
    </row>
    <row r="721">
      <c r="A721" s="14"/>
      <c r="B721" s="14"/>
      <c r="C721" s="14"/>
      <c r="D721" s="14"/>
      <c r="E721" s="14"/>
    </row>
    <row r="722">
      <c r="A722" s="14"/>
      <c r="B722" s="14"/>
      <c r="C722" s="14"/>
      <c r="D722" s="14"/>
      <c r="E722" s="14"/>
    </row>
    <row r="723">
      <c r="A723" s="14"/>
      <c r="B723" s="14"/>
      <c r="C723" s="14"/>
      <c r="D723" s="14"/>
      <c r="E723" s="14"/>
    </row>
    <row r="724">
      <c r="A724" s="14"/>
      <c r="B724" s="14"/>
      <c r="C724" s="14"/>
      <c r="D724" s="14"/>
      <c r="E724" s="14"/>
    </row>
    <row r="725">
      <c r="A725" s="14"/>
      <c r="B725" s="14"/>
      <c r="C725" s="14"/>
      <c r="D725" s="14"/>
      <c r="E725" s="14"/>
    </row>
    <row r="726">
      <c r="A726" s="14"/>
      <c r="B726" s="14"/>
      <c r="C726" s="14"/>
      <c r="D726" s="14"/>
      <c r="E726" s="14"/>
    </row>
    <row r="727">
      <c r="A727" s="14"/>
      <c r="B727" s="14"/>
      <c r="C727" s="14"/>
      <c r="D727" s="14"/>
      <c r="E727" s="14"/>
    </row>
    <row r="728">
      <c r="A728" s="14"/>
      <c r="B728" s="14"/>
      <c r="C728" s="14"/>
      <c r="D728" s="14"/>
      <c r="E728" s="14"/>
    </row>
    <row r="729">
      <c r="A729" s="14"/>
      <c r="B729" s="14"/>
      <c r="C729" s="14"/>
      <c r="D729" s="14"/>
      <c r="E729" s="14"/>
    </row>
    <row r="730">
      <c r="A730" s="14"/>
      <c r="B730" s="14"/>
      <c r="C730" s="14"/>
      <c r="D730" s="14"/>
      <c r="E730" s="14"/>
    </row>
    <row r="731">
      <c r="A731" s="14"/>
      <c r="B731" s="14"/>
      <c r="C731" s="14"/>
      <c r="D731" s="14"/>
      <c r="E731" s="14"/>
    </row>
    <row r="732">
      <c r="A732" s="14"/>
      <c r="B732" s="14"/>
      <c r="C732" s="14"/>
      <c r="D732" s="14"/>
      <c r="E732" s="14"/>
    </row>
    <row r="733">
      <c r="A733" s="14"/>
      <c r="B733" s="14"/>
      <c r="C733" s="14"/>
      <c r="D733" s="14"/>
      <c r="E733" s="14"/>
    </row>
    <row r="734">
      <c r="A734" s="14"/>
      <c r="B734" s="14"/>
      <c r="C734" s="14"/>
      <c r="D734" s="14"/>
      <c r="E734" s="14"/>
    </row>
    <row r="735">
      <c r="A735" s="14"/>
      <c r="B735" s="14"/>
      <c r="C735" s="14"/>
      <c r="D735" s="14"/>
      <c r="E735" s="14"/>
    </row>
    <row r="736">
      <c r="A736" s="14"/>
      <c r="B736" s="14"/>
      <c r="C736" s="14"/>
      <c r="D736" s="14"/>
      <c r="E736" s="14"/>
    </row>
    <row r="737">
      <c r="A737" s="14"/>
      <c r="B737" s="14"/>
      <c r="C737" s="14"/>
      <c r="D737" s="14"/>
      <c r="E737" s="14"/>
    </row>
    <row r="738">
      <c r="A738" s="14"/>
      <c r="B738" s="14"/>
      <c r="C738" s="14"/>
      <c r="D738" s="14"/>
      <c r="E738" s="14"/>
    </row>
    <row r="739">
      <c r="A739" s="14"/>
      <c r="B739" s="14"/>
      <c r="C739" s="14"/>
      <c r="D739" s="14"/>
      <c r="E739" s="14"/>
    </row>
    <row r="740">
      <c r="A740" s="14"/>
      <c r="B740" s="14"/>
      <c r="C740" s="14"/>
      <c r="D740" s="14"/>
      <c r="E740" s="14"/>
    </row>
    <row r="741">
      <c r="A741" s="14"/>
      <c r="B741" s="14"/>
      <c r="C741" s="14"/>
      <c r="D741" s="14"/>
      <c r="E741" s="14"/>
    </row>
    <row r="742">
      <c r="A742" s="14"/>
      <c r="B742" s="14"/>
      <c r="C742" s="14"/>
      <c r="D742" s="14"/>
      <c r="E742" s="14"/>
    </row>
    <row r="743">
      <c r="A743" s="14"/>
      <c r="B743" s="14"/>
      <c r="C743" s="14"/>
      <c r="D743" s="14"/>
      <c r="E743" s="14"/>
    </row>
    <row r="744">
      <c r="A744" s="14"/>
      <c r="B744" s="14"/>
      <c r="C744" s="14"/>
      <c r="D744" s="14"/>
      <c r="E744" s="14"/>
    </row>
    <row r="745">
      <c r="A745" s="14"/>
      <c r="B745" s="14"/>
      <c r="C745" s="14"/>
      <c r="D745" s="14"/>
      <c r="E745" s="14"/>
    </row>
    <row r="746">
      <c r="A746" s="14"/>
      <c r="B746" s="14"/>
      <c r="C746" s="14"/>
      <c r="D746" s="14"/>
      <c r="E746" s="14"/>
    </row>
    <row r="747">
      <c r="A747" s="14"/>
      <c r="B747" s="14"/>
      <c r="C747" s="14"/>
      <c r="D747" s="14"/>
      <c r="E747" s="14"/>
    </row>
    <row r="748">
      <c r="A748" s="14"/>
      <c r="B748" s="14"/>
      <c r="C748" s="14"/>
      <c r="D748" s="14"/>
      <c r="E748" s="14"/>
    </row>
    <row r="749">
      <c r="A749" s="14"/>
      <c r="B749" s="14"/>
      <c r="C749" s="14"/>
      <c r="D749" s="14"/>
      <c r="E749" s="14"/>
    </row>
    <row r="750">
      <c r="A750" s="14"/>
      <c r="B750" s="14"/>
      <c r="C750" s="14"/>
      <c r="D750" s="14"/>
      <c r="E750" s="14"/>
    </row>
    <row r="751">
      <c r="A751" s="14"/>
      <c r="B751" s="14"/>
      <c r="C751" s="14"/>
      <c r="D751" s="14"/>
      <c r="E751" s="14"/>
    </row>
    <row r="752">
      <c r="A752" s="14"/>
      <c r="B752" s="14"/>
      <c r="C752" s="14"/>
      <c r="D752" s="14"/>
      <c r="E752" s="14"/>
    </row>
    <row r="753">
      <c r="A753" s="14"/>
      <c r="B753" s="14"/>
      <c r="C753" s="14"/>
      <c r="D753" s="14"/>
      <c r="E753" s="14"/>
    </row>
    <row r="754">
      <c r="A754" s="14"/>
      <c r="B754" s="14"/>
      <c r="C754" s="14"/>
      <c r="D754" s="14"/>
      <c r="E754" s="14"/>
    </row>
    <row r="755">
      <c r="A755" s="14"/>
      <c r="B755" s="14"/>
      <c r="C755" s="14"/>
      <c r="D755" s="14"/>
      <c r="E755" s="14"/>
    </row>
    <row r="756">
      <c r="A756" s="14"/>
      <c r="B756" s="14"/>
      <c r="C756" s="14"/>
      <c r="D756" s="14"/>
      <c r="E756" s="14"/>
    </row>
    <row r="757">
      <c r="A757" s="14"/>
      <c r="B757" s="14"/>
      <c r="C757" s="14"/>
      <c r="D757" s="14"/>
      <c r="E757" s="14"/>
    </row>
    <row r="758">
      <c r="A758" s="14"/>
      <c r="B758" s="14"/>
      <c r="C758" s="14"/>
      <c r="D758" s="14"/>
      <c r="E758" s="14"/>
    </row>
    <row r="759">
      <c r="A759" s="14"/>
      <c r="B759" s="14"/>
      <c r="C759" s="14"/>
      <c r="D759" s="14"/>
      <c r="E759" s="14"/>
    </row>
    <row r="760">
      <c r="A760" s="14"/>
      <c r="B760" s="14"/>
      <c r="C760" s="14"/>
      <c r="D760" s="14"/>
      <c r="E760" s="14"/>
    </row>
    <row r="761">
      <c r="A761" s="14"/>
      <c r="B761" s="14"/>
      <c r="C761" s="14"/>
      <c r="D761" s="14"/>
      <c r="E761" s="14"/>
    </row>
    <row r="762">
      <c r="A762" s="14"/>
      <c r="B762" s="14"/>
      <c r="C762" s="14"/>
      <c r="D762" s="14"/>
      <c r="E762" s="14"/>
    </row>
    <row r="763">
      <c r="A763" s="14"/>
      <c r="B763" s="14"/>
      <c r="C763" s="14"/>
      <c r="D763" s="14"/>
      <c r="E763" s="14"/>
    </row>
    <row r="764">
      <c r="A764" s="14"/>
      <c r="B764" s="14"/>
      <c r="C764" s="14"/>
      <c r="D764" s="14"/>
      <c r="E764" s="14"/>
    </row>
    <row r="765">
      <c r="A765" s="14"/>
      <c r="B765" s="14"/>
      <c r="C765" s="14"/>
      <c r="D765" s="14"/>
      <c r="E765" s="14"/>
    </row>
    <row r="766">
      <c r="A766" s="14"/>
      <c r="B766" s="14"/>
      <c r="C766" s="14"/>
      <c r="D766" s="14"/>
      <c r="E766" s="14"/>
    </row>
    <row r="767">
      <c r="A767" s="14"/>
      <c r="B767" s="14"/>
      <c r="C767" s="14"/>
      <c r="D767" s="14"/>
      <c r="E767" s="14"/>
    </row>
    <row r="768">
      <c r="A768" s="14"/>
      <c r="B768" s="14"/>
      <c r="C768" s="14"/>
      <c r="D768" s="14"/>
      <c r="E768" s="14"/>
    </row>
    <row r="769">
      <c r="A769" s="14"/>
      <c r="B769" s="14"/>
      <c r="C769" s="14"/>
      <c r="D769" s="14"/>
      <c r="E769" s="14"/>
    </row>
    <row r="770">
      <c r="A770" s="14"/>
      <c r="B770" s="14"/>
      <c r="C770" s="14"/>
      <c r="D770" s="14"/>
      <c r="E770" s="14"/>
    </row>
    <row r="771">
      <c r="A771" s="14"/>
      <c r="B771" s="14"/>
      <c r="C771" s="14"/>
      <c r="D771" s="14"/>
      <c r="E771" s="14"/>
    </row>
    <row r="772">
      <c r="A772" s="14"/>
      <c r="B772" s="14"/>
      <c r="C772" s="14"/>
      <c r="D772" s="14"/>
      <c r="E772" s="14"/>
    </row>
    <row r="773">
      <c r="A773" s="14"/>
      <c r="B773" s="14"/>
      <c r="C773" s="14"/>
      <c r="D773" s="14"/>
      <c r="E773" s="14"/>
    </row>
    <row r="774">
      <c r="A774" s="14"/>
      <c r="B774" s="14"/>
      <c r="C774" s="14"/>
      <c r="D774" s="14"/>
      <c r="E774" s="14"/>
    </row>
    <row r="775">
      <c r="A775" s="14"/>
      <c r="B775" s="14"/>
      <c r="C775" s="14"/>
      <c r="D775" s="14"/>
      <c r="E775" s="14"/>
    </row>
    <row r="776">
      <c r="A776" s="14"/>
      <c r="B776" s="14"/>
      <c r="C776" s="14"/>
      <c r="D776" s="14"/>
      <c r="E776" s="14"/>
    </row>
    <row r="777">
      <c r="A777" s="14"/>
      <c r="B777" s="14"/>
      <c r="C777" s="14"/>
      <c r="D777" s="14"/>
      <c r="E777" s="14"/>
    </row>
    <row r="778">
      <c r="A778" s="14"/>
      <c r="B778" s="14"/>
      <c r="C778" s="14"/>
      <c r="D778" s="14"/>
      <c r="E778" s="14"/>
    </row>
    <row r="779">
      <c r="A779" s="14"/>
      <c r="B779" s="14"/>
      <c r="C779" s="14"/>
      <c r="D779" s="14"/>
      <c r="E779" s="14"/>
    </row>
    <row r="780">
      <c r="A780" s="14"/>
      <c r="B780" s="14"/>
      <c r="C780" s="14"/>
      <c r="D780" s="14"/>
      <c r="E780" s="14"/>
    </row>
    <row r="781">
      <c r="A781" s="14"/>
      <c r="B781" s="14"/>
      <c r="C781" s="14"/>
      <c r="D781" s="14"/>
      <c r="E781" s="14"/>
    </row>
    <row r="782">
      <c r="A782" s="14"/>
      <c r="B782" s="14"/>
      <c r="C782" s="14"/>
      <c r="D782" s="14"/>
      <c r="E782" s="14"/>
    </row>
    <row r="783">
      <c r="A783" s="14"/>
      <c r="B783" s="14"/>
      <c r="C783" s="14"/>
      <c r="D783" s="14"/>
      <c r="E783" s="14"/>
    </row>
    <row r="784">
      <c r="A784" s="14"/>
      <c r="B784" s="14"/>
      <c r="C784" s="14"/>
      <c r="D784" s="14"/>
      <c r="E784" s="14"/>
    </row>
    <row r="785">
      <c r="A785" s="14"/>
      <c r="B785" s="14"/>
      <c r="C785" s="14"/>
      <c r="D785" s="14"/>
      <c r="E785" s="14"/>
    </row>
    <row r="786">
      <c r="A786" s="14"/>
      <c r="B786" s="14"/>
      <c r="C786" s="14"/>
      <c r="D786" s="14"/>
      <c r="E786" s="14"/>
    </row>
    <row r="787">
      <c r="A787" s="14"/>
      <c r="B787" s="14"/>
      <c r="C787" s="14"/>
      <c r="D787" s="14"/>
      <c r="E787" s="14"/>
    </row>
    <row r="788">
      <c r="A788" s="14"/>
      <c r="B788" s="14"/>
      <c r="C788" s="14"/>
      <c r="D788" s="14"/>
      <c r="E788" s="14"/>
    </row>
    <row r="789">
      <c r="A789" s="14"/>
      <c r="B789" s="14"/>
      <c r="C789" s="14"/>
      <c r="D789" s="14"/>
      <c r="E789" s="14"/>
    </row>
    <row r="790">
      <c r="A790" s="14"/>
      <c r="B790" s="14"/>
      <c r="C790" s="14"/>
      <c r="D790" s="14"/>
      <c r="E790" s="14"/>
    </row>
    <row r="791">
      <c r="A791" s="14"/>
      <c r="B791" s="14"/>
      <c r="C791" s="14"/>
      <c r="D791" s="14"/>
      <c r="E791" s="14"/>
    </row>
    <row r="792">
      <c r="A792" s="14"/>
      <c r="B792" s="14"/>
      <c r="C792" s="14"/>
      <c r="D792" s="14"/>
      <c r="E792" s="14"/>
    </row>
    <row r="793">
      <c r="A793" s="14"/>
      <c r="B793" s="14"/>
      <c r="C793" s="14"/>
      <c r="D793" s="14"/>
      <c r="E793" s="14"/>
    </row>
    <row r="794">
      <c r="A794" s="14"/>
      <c r="B794" s="14"/>
      <c r="C794" s="14"/>
      <c r="D794" s="14"/>
      <c r="E794" s="14"/>
    </row>
    <row r="795">
      <c r="A795" s="14"/>
      <c r="B795" s="14"/>
      <c r="C795" s="14"/>
      <c r="D795" s="14"/>
      <c r="E795" s="14"/>
    </row>
    <row r="796">
      <c r="A796" s="14"/>
      <c r="B796" s="14"/>
      <c r="C796" s="14"/>
      <c r="D796" s="14"/>
      <c r="E796" s="14"/>
    </row>
    <row r="797">
      <c r="A797" s="14"/>
      <c r="B797" s="14"/>
      <c r="C797" s="14"/>
      <c r="D797" s="14"/>
      <c r="E797" s="14"/>
    </row>
    <row r="798">
      <c r="A798" s="14"/>
      <c r="B798" s="14"/>
      <c r="C798" s="14"/>
      <c r="D798" s="14"/>
      <c r="E798" s="14"/>
    </row>
    <row r="799">
      <c r="A799" s="14"/>
      <c r="B799" s="14"/>
      <c r="C799" s="14"/>
      <c r="D799" s="14"/>
      <c r="E799" s="14"/>
    </row>
    <row r="800">
      <c r="A800" s="14"/>
      <c r="B800" s="14"/>
      <c r="C800" s="14"/>
      <c r="D800" s="14"/>
      <c r="E800" s="14"/>
    </row>
    <row r="801">
      <c r="A801" s="14"/>
      <c r="B801" s="14"/>
      <c r="C801" s="14"/>
      <c r="D801" s="14"/>
      <c r="E801" s="14"/>
    </row>
    <row r="802">
      <c r="A802" s="14"/>
      <c r="B802" s="14"/>
      <c r="C802" s="14"/>
      <c r="D802" s="14"/>
      <c r="E802" s="14"/>
    </row>
    <row r="803">
      <c r="A803" s="14"/>
      <c r="B803" s="14"/>
      <c r="C803" s="14"/>
      <c r="D803" s="14"/>
      <c r="E803" s="14"/>
    </row>
    <row r="804">
      <c r="A804" s="14"/>
      <c r="B804" s="14"/>
      <c r="C804" s="14"/>
      <c r="D804" s="14"/>
      <c r="E804" s="14"/>
    </row>
    <row r="805">
      <c r="A805" s="14"/>
      <c r="B805" s="14"/>
      <c r="C805" s="14"/>
      <c r="D805" s="14"/>
      <c r="E805" s="14"/>
    </row>
    <row r="806">
      <c r="A806" s="14"/>
      <c r="B806" s="14"/>
      <c r="C806" s="14"/>
      <c r="D806" s="14"/>
      <c r="E806" s="14"/>
    </row>
    <row r="807">
      <c r="A807" s="14"/>
      <c r="B807" s="14"/>
      <c r="C807" s="14"/>
      <c r="D807" s="14"/>
      <c r="E807" s="14"/>
    </row>
    <row r="808">
      <c r="A808" s="14"/>
      <c r="B808" s="14"/>
      <c r="C808" s="14"/>
      <c r="D808" s="14"/>
      <c r="E808" s="14"/>
    </row>
    <row r="809">
      <c r="A809" s="14"/>
      <c r="B809" s="14"/>
      <c r="C809" s="14"/>
      <c r="D809" s="14"/>
      <c r="E809" s="14"/>
    </row>
    <row r="810">
      <c r="A810" s="14"/>
      <c r="B810" s="14"/>
      <c r="C810" s="14"/>
      <c r="D810" s="14"/>
      <c r="E810" s="14"/>
    </row>
    <row r="811">
      <c r="A811" s="14"/>
      <c r="B811" s="14"/>
      <c r="C811" s="14"/>
      <c r="D811" s="14"/>
      <c r="E811" s="14"/>
    </row>
    <row r="812">
      <c r="A812" s="14"/>
      <c r="B812" s="14"/>
      <c r="C812" s="14"/>
      <c r="D812" s="14"/>
      <c r="E812" s="14"/>
    </row>
    <row r="813">
      <c r="A813" s="14"/>
      <c r="B813" s="14"/>
      <c r="C813" s="14"/>
      <c r="D813" s="14"/>
      <c r="E813" s="14"/>
    </row>
    <row r="814">
      <c r="A814" s="14"/>
      <c r="B814" s="14"/>
      <c r="C814" s="14"/>
      <c r="D814" s="14"/>
      <c r="E814" s="14"/>
    </row>
    <row r="815">
      <c r="A815" s="14"/>
      <c r="B815" s="14"/>
      <c r="C815" s="14"/>
      <c r="D815" s="14"/>
      <c r="E815" s="14"/>
    </row>
    <row r="816">
      <c r="A816" s="14"/>
      <c r="B816" s="14"/>
      <c r="C816" s="14"/>
      <c r="D816" s="14"/>
      <c r="E816" s="14"/>
    </row>
    <row r="817">
      <c r="A817" s="14"/>
      <c r="B817" s="14"/>
      <c r="C817" s="14"/>
      <c r="D817" s="14"/>
      <c r="E817" s="14"/>
    </row>
    <row r="818">
      <c r="A818" s="14"/>
      <c r="B818" s="14"/>
      <c r="C818" s="14"/>
      <c r="D818" s="14"/>
      <c r="E818" s="14"/>
    </row>
    <row r="819">
      <c r="A819" s="14"/>
      <c r="B819" s="14"/>
      <c r="C819" s="14"/>
      <c r="D819" s="14"/>
      <c r="E819" s="14"/>
    </row>
    <row r="820">
      <c r="A820" s="14"/>
      <c r="B820" s="14"/>
      <c r="C820" s="14"/>
      <c r="D820" s="14"/>
      <c r="E820" s="14"/>
    </row>
    <row r="821">
      <c r="A821" s="14"/>
      <c r="B821" s="14"/>
      <c r="C821" s="14"/>
      <c r="D821" s="14"/>
      <c r="E821" s="14"/>
    </row>
    <row r="822">
      <c r="A822" s="14"/>
      <c r="B822" s="14"/>
      <c r="C822" s="14"/>
      <c r="D822" s="14"/>
      <c r="E822" s="14"/>
    </row>
    <row r="823">
      <c r="A823" s="14"/>
      <c r="B823" s="14"/>
      <c r="C823" s="14"/>
      <c r="D823" s="14"/>
      <c r="E823" s="14"/>
    </row>
    <row r="824">
      <c r="A824" s="14"/>
      <c r="B824" s="14"/>
      <c r="C824" s="14"/>
      <c r="D824" s="14"/>
      <c r="E824" s="14"/>
    </row>
    <row r="825">
      <c r="A825" s="14"/>
      <c r="B825" s="14"/>
      <c r="C825" s="14"/>
      <c r="D825" s="14"/>
      <c r="E825" s="14"/>
    </row>
    <row r="826">
      <c r="A826" s="14"/>
      <c r="B826" s="14"/>
      <c r="C826" s="14"/>
      <c r="D826" s="14"/>
      <c r="E826" s="14"/>
    </row>
    <row r="827">
      <c r="A827" s="14"/>
      <c r="B827" s="14"/>
      <c r="C827" s="14"/>
      <c r="D827" s="14"/>
      <c r="E827" s="14"/>
    </row>
    <row r="828">
      <c r="A828" s="14"/>
      <c r="B828" s="14"/>
      <c r="C828" s="14"/>
      <c r="D828" s="14"/>
      <c r="E828" s="14"/>
    </row>
    <row r="829">
      <c r="A829" s="14"/>
      <c r="B829" s="14"/>
      <c r="C829" s="14"/>
      <c r="D829" s="14"/>
      <c r="E829" s="14"/>
    </row>
    <row r="830">
      <c r="A830" s="14"/>
      <c r="B830" s="14"/>
      <c r="C830" s="14"/>
      <c r="D830" s="14"/>
      <c r="E830" s="14"/>
    </row>
    <row r="831">
      <c r="A831" s="14"/>
      <c r="B831" s="14"/>
      <c r="C831" s="14"/>
      <c r="D831" s="14"/>
      <c r="E831" s="14"/>
    </row>
    <row r="832">
      <c r="A832" s="14"/>
      <c r="B832" s="14"/>
      <c r="C832" s="14"/>
      <c r="D832" s="14"/>
      <c r="E832" s="14"/>
    </row>
    <row r="833">
      <c r="A833" s="14"/>
      <c r="B833" s="14"/>
      <c r="C833" s="14"/>
      <c r="D833" s="14"/>
      <c r="E833" s="14"/>
    </row>
    <row r="834">
      <c r="A834" s="14"/>
      <c r="B834" s="14"/>
      <c r="C834" s="14"/>
      <c r="D834" s="14"/>
      <c r="E834" s="14"/>
    </row>
    <row r="835">
      <c r="A835" s="14"/>
      <c r="B835" s="14"/>
      <c r="C835" s="14"/>
      <c r="D835" s="14"/>
      <c r="E835" s="14"/>
    </row>
    <row r="836">
      <c r="A836" s="14"/>
      <c r="B836" s="14"/>
      <c r="C836" s="14"/>
      <c r="D836" s="14"/>
      <c r="E836" s="14"/>
    </row>
    <row r="837">
      <c r="A837" s="14"/>
      <c r="B837" s="14"/>
      <c r="C837" s="14"/>
      <c r="D837" s="14"/>
      <c r="E837" s="14"/>
    </row>
    <row r="838">
      <c r="A838" s="14"/>
      <c r="B838" s="14"/>
      <c r="C838" s="14"/>
      <c r="D838" s="14"/>
      <c r="E838" s="14"/>
    </row>
    <row r="839">
      <c r="A839" s="14"/>
      <c r="B839" s="14"/>
      <c r="C839" s="14"/>
      <c r="D839" s="14"/>
      <c r="E839" s="14"/>
    </row>
    <row r="840">
      <c r="A840" s="14"/>
      <c r="B840" s="14"/>
      <c r="C840" s="14"/>
      <c r="D840" s="14"/>
      <c r="E840" s="14"/>
    </row>
    <row r="841">
      <c r="A841" s="14"/>
      <c r="B841" s="14"/>
      <c r="C841" s="14"/>
      <c r="D841" s="14"/>
      <c r="E841" s="14"/>
    </row>
    <row r="842">
      <c r="A842" s="14"/>
      <c r="B842" s="14"/>
      <c r="C842" s="14"/>
      <c r="D842" s="14"/>
      <c r="E842" s="14"/>
    </row>
    <row r="843">
      <c r="A843" s="14"/>
      <c r="B843" s="14"/>
      <c r="C843" s="14"/>
      <c r="D843" s="14"/>
      <c r="E843" s="14"/>
    </row>
    <row r="844">
      <c r="A844" s="14"/>
      <c r="B844" s="14"/>
      <c r="C844" s="14"/>
      <c r="D844" s="14"/>
      <c r="E844" s="14"/>
    </row>
    <row r="845">
      <c r="A845" s="14"/>
      <c r="B845" s="14"/>
      <c r="C845" s="14"/>
      <c r="D845" s="14"/>
      <c r="E845" s="14"/>
    </row>
    <row r="846">
      <c r="A846" s="14"/>
      <c r="B846" s="14"/>
      <c r="C846" s="14"/>
      <c r="D846" s="14"/>
      <c r="E846" s="14"/>
    </row>
    <row r="847">
      <c r="A847" s="14"/>
      <c r="B847" s="14"/>
      <c r="C847" s="14"/>
      <c r="D847" s="14"/>
      <c r="E847" s="14"/>
    </row>
    <row r="848">
      <c r="A848" s="14"/>
      <c r="B848" s="14"/>
      <c r="C848" s="14"/>
      <c r="D848" s="14"/>
      <c r="E848" s="14"/>
    </row>
    <row r="849">
      <c r="A849" s="14"/>
      <c r="B849" s="14"/>
      <c r="C849" s="14"/>
      <c r="D849" s="14"/>
      <c r="E849" s="14"/>
    </row>
    <row r="850">
      <c r="A850" s="14"/>
      <c r="B850" s="14"/>
      <c r="C850" s="14"/>
      <c r="D850" s="14"/>
      <c r="E850" s="14"/>
    </row>
    <row r="851">
      <c r="A851" s="14"/>
      <c r="B851" s="14"/>
      <c r="C851" s="14"/>
      <c r="D851" s="14"/>
      <c r="E851" s="14"/>
    </row>
    <row r="852">
      <c r="A852" s="14"/>
      <c r="B852" s="14"/>
      <c r="C852" s="14"/>
      <c r="D852" s="14"/>
      <c r="E852" s="14"/>
    </row>
    <row r="853">
      <c r="A853" s="14"/>
      <c r="B853" s="14"/>
      <c r="C853" s="14"/>
      <c r="D853" s="14"/>
      <c r="E853" s="14"/>
    </row>
    <row r="854">
      <c r="A854" s="14"/>
      <c r="B854" s="14"/>
      <c r="C854" s="14"/>
      <c r="D854" s="14"/>
      <c r="E854" s="14"/>
    </row>
    <row r="855">
      <c r="A855" s="14"/>
      <c r="B855" s="14"/>
      <c r="C855" s="14"/>
      <c r="D855" s="14"/>
      <c r="E855" s="14"/>
    </row>
    <row r="856">
      <c r="A856" s="14"/>
      <c r="B856" s="14"/>
      <c r="C856" s="14"/>
      <c r="D856" s="14"/>
      <c r="E856" s="14"/>
    </row>
    <row r="857">
      <c r="A857" s="14"/>
      <c r="B857" s="14"/>
      <c r="C857" s="14"/>
      <c r="D857" s="14"/>
      <c r="E857" s="14"/>
    </row>
    <row r="858">
      <c r="A858" s="14"/>
      <c r="B858" s="14"/>
      <c r="C858" s="14"/>
      <c r="D858" s="14"/>
      <c r="E858" s="14"/>
    </row>
    <row r="859">
      <c r="A859" s="14"/>
      <c r="B859" s="14"/>
      <c r="C859" s="14"/>
      <c r="D859" s="14"/>
      <c r="E859" s="14"/>
    </row>
    <row r="860">
      <c r="A860" s="14"/>
      <c r="B860" s="14"/>
      <c r="C860" s="14"/>
      <c r="D860" s="14"/>
      <c r="E860" s="14"/>
    </row>
    <row r="861">
      <c r="A861" s="14"/>
      <c r="B861" s="14"/>
      <c r="C861" s="14"/>
      <c r="D861" s="14"/>
      <c r="E861" s="14"/>
    </row>
    <row r="862">
      <c r="A862" s="14"/>
      <c r="B862" s="14"/>
      <c r="C862" s="14"/>
      <c r="D862" s="14"/>
      <c r="E862" s="14"/>
    </row>
    <row r="863">
      <c r="A863" s="14"/>
      <c r="B863" s="14"/>
      <c r="C863" s="14"/>
      <c r="D863" s="14"/>
      <c r="E863" s="14"/>
    </row>
    <row r="864">
      <c r="A864" s="14"/>
      <c r="B864" s="14"/>
      <c r="C864" s="14"/>
      <c r="D864" s="14"/>
      <c r="E864" s="14"/>
    </row>
    <row r="865">
      <c r="A865" s="14"/>
      <c r="B865" s="14"/>
      <c r="C865" s="14"/>
      <c r="D865" s="14"/>
      <c r="E865" s="14"/>
    </row>
    <row r="866">
      <c r="A866" s="14"/>
      <c r="B866" s="14"/>
      <c r="C866" s="14"/>
      <c r="D866" s="14"/>
      <c r="E866" s="14"/>
    </row>
    <row r="867">
      <c r="A867" s="14"/>
      <c r="B867" s="14"/>
      <c r="C867" s="14"/>
      <c r="D867" s="14"/>
      <c r="E867" s="14"/>
    </row>
    <row r="868">
      <c r="A868" s="14"/>
      <c r="B868" s="14"/>
      <c r="C868" s="14"/>
      <c r="D868" s="14"/>
      <c r="E868" s="14"/>
    </row>
    <row r="869">
      <c r="A869" s="14"/>
      <c r="B869" s="14"/>
      <c r="C869" s="14"/>
      <c r="D869" s="14"/>
      <c r="E869" s="14"/>
    </row>
    <row r="870">
      <c r="A870" s="14"/>
      <c r="B870" s="14"/>
      <c r="C870" s="14"/>
      <c r="D870" s="14"/>
      <c r="E870" s="14"/>
    </row>
    <row r="871">
      <c r="A871" s="14"/>
      <c r="B871" s="14"/>
      <c r="C871" s="14"/>
      <c r="D871" s="14"/>
      <c r="E871" s="14"/>
    </row>
    <row r="872">
      <c r="A872" s="14"/>
      <c r="B872" s="14"/>
      <c r="C872" s="14"/>
      <c r="D872" s="14"/>
      <c r="E872" s="14"/>
    </row>
    <row r="873">
      <c r="A873" s="14"/>
      <c r="B873" s="14"/>
      <c r="C873" s="14"/>
      <c r="D873" s="14"/>
      <c r="E873" s="14"/>
    </row>
    <row r="874">
      <c r="A874" s="14"/>
      <c r="B874" s="14"/>
      <c r="C874" s="14"/>
      <c r="D874" s="14"/>
      <c r="E874" s="14"/>
    </row>
    <row r="875">
      <c r="A875" s="14"/>
      <c r="B875" s="14"/>
      <c r="C875" s="14"/>
      <c r="D875" s="14"/>
      <c r="E875" s="14"/>
    </row>
    <row r="876">
      <c r="A876" s="14"/>
      <c r="B876" s="14"/>
      <c r="C876" s="14"/>
      <c r="D876" s="14"/>
      <c r="E876" s="14"/>
    </row>
    <row r="877">
      <c r="A877" s="14"/>
      <c r="B877" s="14"/>
      <c r="C877" s="14"/>
      <c r="D877" s="14"/>
      <c r="E877" s="14"/>
    </row>
    <row r="878">
      <c r="A878" s="14"/>
      <c r="B878" s="14"/>
      <c r="C878" s="14"/>
      <c r="D878" s="14"/>
      <c r="E878" s="14"/>
    </row>
    <row r="879">
      <c r="A879" s="14"/>
      <c r="B879" s="14"/>
      <c r="C879" s="14"/>
      <c r="D879" s="14"/>
      <c r="E879" s="14"/>
    </row>
    <row r="880">
      <c r="A880" s="14"/>
      <c r="B880" s="14"/>
      <c r="C880" s="14"/>
      <c r="D880" s="14"/>
      <c r="E880" s="14"/>
    </row>
    <row r="881">
      <c r="A881" s="14"/>
      <c r="B881" s="14"/>
      <c r="C881" s="14"/>
      <c r="D881" s="14"/>
      <c r="E881" s="14"/>
    </row>
    <row r="882">
      <c r="A882" s="14"/>
      <c r="B882" s="14"/>
      <c r="C882" s="14"/>
      <c r="D882" s="14"/>
      <c r="E882" s="14"/>
    </row>
    <row r="883">
      <c r="A883" s="14"/>
      <c r="B883" s="14"/>
      <c r="C883" s="14"/>
      <c r="D883" s="14"/>
      <c r="E883" s="14"/>
    </row>
    <row r="884">
      <c r="A884" s="14"/>
      <c r="B884" s="14"/>
      <c r="C884" s="14"/>
      <c r="D884" s="14"/>
      <c r="E884" s="14"/>
    </row>
    <row r="885">
      <c r="A885" s="14"/>
      <c r="B885" s="14"/>
      <c r="C885" s="14"/>
      <c r="D885" s="14"/>
      <c r="E885" s="14"/>
    </row>
    <row r="886">
      <c r="A886" s="14"/>
      <c r="B886" s="14"/>
      <c r="C886" s="14"/>
      <c r="D886" s="14"/>
      <c r="E886" s="14"/>
    </row>
    <row r="887">
      <c r="A887" s="14"/>
      <c r="B887" s="14"/>
      <c r="C887" s="14"/>
      <c r="D887" s="14"/>
      <c r="E887" s="14"/>
    </row>
    <row r="888">
      <c r="A888" s="14"/>
      <c r="B888" s="14"/>
      <c r="C888" s="14"/>
      <c r="D888" s="14"/>
      <c r="E888" s="14"/>
    </row>
    <row r="889">
      <c r="A889" s="14"/>
      <c r="B889" s="14"/>
      <c r="C889" s="14"/>
      <c r="D889" s="14"/>
      <c r="E889" s="14"/>
    </row>
    <row r="890">
      <c r="A890" s="14"/>
      <c r="B890" s="14"/>
      <c r="C890" s="14"/>
      <c r="D890" s="14"/>
      <c r="E890" s="14"/>
    </row>
    <row r="891">
      <c r="A891" s="14"/>
      <c r="B891" s="14"/>
      <c r="C891" s="14"/>
      <c r="D891" s="14"/>
      <c r="E891" s="14"/>
    </row>
    <row r="892">
      <c r="A892" s="14"/>
      <c r="B892" s="14"/>
      <c r="C892" s="14"/>
      <c r="D892" s="14"/>
      <c r="E892" s="14"/>
    </row>
    <row r="893">
      <c r="A893" s="14"/>
      <c r="B893" s="14"/>
      <c r="C893" s="14"/>
      <c r="D893" s="14"/>
      <c r="E893" s="14"/>
    </row>
    <row r="894">
      <c r="A894" s="14"/>
      <c r="B894" s="14"/>
      <c r="C894" s="14"/>
      <c r="D894" s="14"/>
      <c r="E894" s="14"/>
    </row>
    <row r="895">
      <c r="A895" s="14"/>
      <c r="B895" s="14"/>
      <c r="C895" s="14"/>
      <c r="D895" s="14"/>
      <c r="E895" s="14"/>
    </row>
    <row r="896">
      <c r="A896" s="14"/>
      <c r="B896" s="14"/>
      <c r="C896" s="14"/>
      <c r="D896" s="14"/>
      <c r="E896" s="14"/>
    </row>
    <row r="897">
      <c r="A897" s="14"/>
      <c r="B897" s="14"/>
      <c r="C897" s="14"/>
      <c r="D897" s="14"/>
      <c r="E897" s="14"/>
    </row>
    <row r="898">
      <c r="A898" s="14"/>
      <c r="B898" s="14"/>
      <c r="C898" s="14"/>
      <c r="D898" s="14"/>
      <c r="E898" s="14"/>
    </row>
    <row r="899">
      <c r="A899" s="14"/>
      <c r="B899" s="14"/>
      <c r="C899" s="14"/>
      <c r="D899" s="14"/>
      <c r="E899" s="14"/>
    </row>
    <row r="900">
      <c r="A900" s="14"/>
      <c r="B900" s="14"/>
      <c r="C900" s="14"/>
      <c r="D900" s="14"/>
      <c r="E900" s="14"/>
    </row>
    <row r="901">
      <c r="A901" s="14"/>
      <c r="B901" s="14"/>
      <c r="C901" s="14"/>
      <c r="D901" s="14"/>
      <c r="E901" s="14"/>
    </row>
    <row r="902">
      <c r="A902" s="14"/>
      <c r="B902" s="14"/>
      <c r="C902" s="14"/>
      <c r="D902" s="14"/>
      <c r="E902" s="14"/>
    </row>
    <row r="903">
      <c r="A903" s="14"/>
      <c r="B903" s="14"/>
      <c r="C903" s="14"/>
      <c r="D903" s="14"/>
      <c r="E903" s="14"/>
    </row>
    <row r="904">
      <c r="A904" s="14"/>
      <c r="B904" s="14"/>
      <c r="C904" s="14"/>
      <c r="D904" s="14"/>
      <c r="E904" s="14"/>
    </row>
    <row r="905">
      <c r="A905" s="14"/>
      <c r="B905" s="14"/>
      <c r="C905" s="14"/>
      <c r="D905" s="14"/>
      <c r="E905" s="14"/>
    </row>
    <row r="906">
      <c r="A906" s="14"/>
      <c r="B906" s="14"/>
      <c r="C906" s="14"/>
      <c r="D906" s="14"/>
      <c r="E906" s="14"/>
    </row>
    <row r="907">
      <c r="A907" s="14"/>
      <c r="B907" s="14"/>
      <c r="C907" s="14"/>
      <c r="D907" s="14"/>
      <c r="E907" s="14"/>
    </row>
    <row r="908">
      <c r="A908" s="14"/>
      <c r="B908" s="14"/>
      <c r="C908" s="14"/>
      <c r="D908" s="14"/>
      <c r="E908" s="14"/>
    </row>
    <row r="909">
      <c r="A909" s="14"/>
      <c r="B909" s="14"/>
      <c r="C909" s="14"/>
      <c r="D909" s="14"/>
      <c r="E909" s="14"/>
    </row>
    <row r="910">
      <c r="A910" s="14"/>
      <c r="B910" s="14"/>
      <c r="C910" s="14"/>
      <c r="D910" s="14"/>
      <c r="E910" s="14"/>
    </row>
    <row r="911">
      <c r="A911" s="14"/>
      <c r="B911" s="14"/>
      <c r="C911" s="14"/>
      <c r="D911" s="14"/>
      <c r="E911" s="14"/>
    </row>
    <row r="912">
      <c r="A912" s="14"/>
      <c r="B912" s="14"/>
      <c r="C912" s="14"/>
      <c r="D912" s="14"/>
      <c r="E912" s="14"/>
    </row>
    <row r="913">
      <c r="A913" s="14"/>
      <c r="B913" s="14"/>
      <c r="C913" s="14"/>
      <c r="D913" s="14"/>
      <c r="E913" s="14"/>
    </row>
    <row r="914">
      <c r="A914" s="14"/>
      <c r="B914" s="14"/>
      <c r="C914" s="14"/>
      <c r="D914" s="14"/>
      <c r="E914" s="14"/>
    </row>
    <row r="915">
      <c r="A915" s="14"/>
      <c r="B915" s="14"/>
      <c r="C915" s="14"/>
      <c r="D915" s="14"/>
      <c r="E915" s="14"/>
    </row>
    <row r="916">
      <c r="A916" s="14"/>
      <c r="B916" s="14"/>
      <c r="C916" s="14"/>
      <c r="D916" s="14"/>
      <c r="E916" s="14"/>
    </row>
    <row r="917">
      <c r="A917" s="14"/>
      <c r="B917" s="14"/>
      <c r="C917" s="14"/>
      <c r="D917" s="14"/>
      <c r="E917" s="14"/>
    </row>
    <row r="918">
      <c r="A918" s="14"/>
      <c r="B918" s="14"/>
      <c r="C918" s="14"/>
      <c r="D918" s="14"/>
      <c r="E918" s="14"/>
    </row>
    <row r="919">
      <c r="A919" s="14"/>
      <c r="B919" s="14"/>
      <c r="C919" s="14"/>
      <c r="D919" s="14"/>
      <c r="E919" s="14"/>
    </row>
    <row r="920">
      <c r="A920" s="14"/>
      <c r="B920" s="14"/>
      <c r="C920" s="14"/>
      <c r="D920" s="14"/>
      <c r="E920" s="14"/>
    </row>
    <row r="921">
      <c r="A921" s="14"/>
      <c r="B921" s="14"/>
      <c r="C921" s="14"/>
      <c r="D921" s="14"/>
      <c r="E921" s="14"/>
    </row>
    <row r="922">
      <c r="A922" s="14"/>
      <c r="B922" s="14"/>
      <c r="C922" s="14"/>
      <c r="D922" s="14"/>
      <c r="E922" s="14"/>
    </row>
    <row r="923">
      <c r="A923" s="14"/>
      <c r="B923" s="14"/>
      <c r="C923" s="14"/>
      <c r="D923" s="14"/>
      <c r="E923" s="14"/>
    </row>
    <row r="924">
      <c r="A924" s="14"/>
      <c r="B924" s="14"/>
      <c r="C924" s="14"/>
      <c r="D924" s="14"/>
      <c r="E924" s="14"/>
    </row>
    <row r="925">
      <c r="A925" s="14"/>
      <c r="B925" s="14"/>
      <c r="C925" s="14"/>
      <c r="D925" s="14"/>
      <c r="E925" s="14"/>
    </row>
    <row r="926">
      <c r="A926" s="14"/>
      <c r="B926" s="14"/>
      <c r="C926" s="14"/>
      <c r="D926" s="14"/>
      <c r="E926" s="14"/>
    </row>
    <row r="927">
      <c r="A927" s="14"/>
      <c r="B927" s="14"/>
      <c r="C927" s="14"/>
      <c r="D927" s="14"/>
      <c r="E927" s="14"/>
    </row>
    <row r="928">
      <c r="A928" s="14"/>
      <c r="B928" s="14"/>
      <c r="C928" s="14"/>
      <c r="D928" s="14"/>
      <c r="E928" s="14"/>
    </row>
    <row r="929">
      <c r="A929" s="14"/>
      <c r="B929" s="14"/>
      <c r="C929" s="14"/>
      <c r="D929" s="14"/>
      <c r="E929" s="14"/>
    </row>
    <row r="930">
      <c r="A930" s="14"/>
      <c r="B930" s="14"/>
      <c r="C930" s="14"/>
      <c r="D930" s="14"/>
      <c r="E930" s="14"/>
    </row>
    <row r="931">
      <c r="A931" s="14"/>
      <c r="B931" s="14"/>
      <c r="C931" s="14"/>
      <c r="D931" s="14"/>
      <c r="E931" s="14"/>
    </row>
    <row r="932">
      <c r="A932" s="14"/>
      <c r="B932" s="14"/>
      <c r="C932" s="14"/>
      <c r="D932" s="14"/>
      <c r="E932" s="14"/>
    </row>
    <row r="933">
      <c r="A933" s="14"/>
      <c r="B933" s="14"/>
      <c r="C933" s="14"/>
      <c r="D933" s="14"/>
      <c r="E933" s="14"/>
    </row>
    <row r="934">
      <c r="A934" s="14"/>
      <c r="B934" s="14"/>
      <c r="C934" s="14"/>
      <c r="D934" s="14"/>
      <c r="E934" s="14"/>
    </row>
    <row r="935">
      <c r="A935" s="14"/>
      <c r="B935" s="14"/>
      <c r="C935" s="14"/>
      <c r="D935" s="14"/>
      <c r="E935" s="14"/>
    </row>
    <row r="936">
      <c r="A936" s="14"/>
      <c r="B936" s="14"/>
      <c r="C936" s="14"/>
      <c r="D936" s="14"/>
      <c r="E936" s="14"/>
    </row>
    <row r="937">
      <c r="A937" s="14"/>
      <c r="B937" s="14"/>
      <c r="C937" s="14"/>
      <c r="D937" s="14"/>
      <c r="E937" s="14"/>
    </row>
    <row r="938">
      <c r="A938" s="14"/>
      <c r="B938" s="14"/>
      <c r="C938" s="14"/>
      <c r="D938" s="14"/>
      <c r="E938" s="14"/>
    </row>
    <row r="939">
      <c r="A939" s="14"/>
      <c r="B939" s="14"/>
      <c r="C939" s="14"/>
      <c r="D939" s="14"/>
      <c r="E939" s="14"/>
    </row>
    <row r="940">
      <c r="A940" s="14"/>
      <c r="B940" s="14"/>
      <c r="C940" s="14"/>
      <c r="D940" s="14"/>
      <c r="E940" s="14"/>
    </row>
    <row r="941">
      <c r="A941" s="14"/>
      <c r="B941" s="14"/>
      <c r="C941" s="14"/>
      <c r="D941" s="14"/>
      <c r="E941" s="14"/>
    </row>
    <row r="942">
      <c r="A942" s="14"/>
      <c r="B942" s="14"/>
      <c r="C942" s="14"/>
      <c r="D942" s="14"/>
      <c r="E942" s="14"/>
    </row>
    <row r="943">
      <c r="A943" s="14"/>
      <c r="B943" s="14"/>
      <c r="C943" s="14"/>
      <c r="D943" s="14"/>
      <c r="E943" s="14"/>
    </row>
    <row r="944">
      <c r="A944" s="14"/>
      <c r="B944" s="14"/>
      <c r="C944" s="14"/>
      <c r="D944" s="14"/>
      <c r="E944" s="14"/>
    </row>
    <row r="945">
      <c r="A945" s="14"/>
      <c r="B945" s="14"/>
      <c r="C945" s="14"/>
      <c r="D945" s="14"/>
      <c r="E945" s="14"/>
    </row>
    <row r="946">
      <c r="A946" s="14"/>
      <c r="B946" s="14"/>
      <c r="C946" s="14"/>
      <c r="D946" s="14"/>
      <c r="E946" s="14"/>
    </row>
    <row r="947">
      <c r="A947" s="14"/>
      <c r="B947" s="14"/>
      <c r="C947" s="14"/>
      <c r="D947" s="14"/>
      <c r="E947" s="14"/>
    </row>
    <row r="948">
      <c r="A948" s="14"/>
      <c r="B948" s="14"/>
      <c r="C948" s="14"/>
      <c r="D948" s="14"/>
      <c r="E948" s="14"/>
    </row>
    <row r="949">
      <c r="A949" s="14"/>
      <c r="B949" s="14"/>
      <c r="C949" s="14"/>
      <c r="D949" s="14"/>
      <c r="E949" s="14"/>
    </row>
    <row r="950">
      <c r="A950" s="14"/>
      <c r="B950" s="14"/>
      <c r="C950" s="14"/>
      <c r="D950" s="14"/>
      <c r="E950" s="14"/>
    </row>
    <row r="951">
      <c r="A951" s="14"/>
      <c r="B951" s="14"/>
      <c r="C951" s="14"/>
      <c r="D951" s="14"/>
      <c r="E951" s="14"/>
    </row>
    <row r="952">
      <c r="A952" s="14"/>
      <c r="B952" s="14"/>
      <c r="C952" s="14"/>
      <c r="D952" s="14"/>
      <c r="E952" s="14"/>
    </row>
    <row r="953">
      <c r="A953" s="14"/>
      <c r="B953" s="14"/>
      <c r="C953" s="14"/>
      <c r="D953" s="14"/>
      <c r="E953" s="14"/>
    </row>
    <row r="954">
      <c r="A954" s="14"/>
      <c r="B954" s="14"/>
      <c r="C954" s="14"/>
      <c r="D954" s="14"/>
      <c r="E954" s="14"/>
    </row>
    <row r="955">
      <c r="A955" s="14"/>
      <c r="B955" s="14"/>
      <c r="C955" s="14"/>
      <c r="D955" s="14"/>
      <c r="E955" s="14"/>
    </row>
    <row r="956">
      <c r="A956" s="14"/>
      <c r="B956" s="14"/>
      <c r="C956" s="14"/>
      <c r="D956" s="14"/>
      <c r="E956" s="14"/>
    </row>
    <row r="957">
      <c r="A957" s="14"/>
      <c r="B957" s="14"/>
      <c r="C957" s="14"/>
      <c r="D957" s="14"/>
      <c r="E957" s="14"/>
    </row>
    <row r="958">
      <c r="A958" s="14"/>
      <c r="B958" s="14"/>
      <c r="C958" s="14"/>
      <c r="D958" s="14"/>
      <c r="E958" s="14"/>
    </row>
    <row r="959">
      <c r="A959" s="14"/>
      <c r="B959" s="14"/>
      <c r="C959" s="14"/>
      <c r="D959" s="14"/>
      <c r="E959" s="14"/>
    </row>
    <row r="960">
      <c r="A960" s="14"/>
      <c r="B960" s="14"/>
      <c r="C960" s="14"/>
      <c r="D960" s="14"/>
      <c r="E960" s="14"/>
    </row>
    <row r="961">
      <c r="A961" s="14"/>
      <c r="B961" s="14"/>
      <c r="C961" s="14"/>
      <c r="D961" s="14"/>
      <c r="E961" s="14"/>
    </row>
    <row r="962">
      <c r="A962" s="14"/>
      <c r="B962" s="14"/>
      <c r="C962" s="14"/>
      <c r="D962" s="14"/>
      <c r="E962" s="14"/>
    </row>
    <row r="963">
      <c r="A963" s="14"/>
      <c r="B963" s="14"/>
      <c r="C963" s="14"/>
      <c r="D963" s="14"/>
      <c r="E963" s="14"/>
    </row>
    <row r="964">
      <c r="A964" s="14"/>
      <c r="B964" s="14"/>
      <c r="C964" s="14"/>
      <c r="D964" s="14"/>
      <c r="E964" s="14"/>
    </row>
    <row r="965">
      <c r="A965" s="14"/>
      <c r="B965" s="14"/>
      <c r="C965" s="14"/>
      <c r="D965" s="14"/>
      <c r="E965" s="14"/>
    </row>
    <row r="966">
      <c r="A966" s="14"/>
      <c r="B966" s="14"/>
      <c r="C966" s="14"/>
      <c r="D966" s="14"/>
      <c r="E966" s="14"/>
    </row>
    <row r="967">
      <c r="A967" s="14"/>
      <c r="B967" s="14"/>
      <c r="C967" s="14"/>
      <c r="D967" s="14"/>
      <c r="E967" s="14"/>
    </row>
    <row r="968">
      <c r="A968" s="14"/>
      <c r="B968" s="14"/>
      <c r="C968" s="14"/>
      <c r="D968" s="14"/>
      <c r="E968" s="14"/>
    </row>
    <row r="969">
      <c r="A969" s="14"/>
      <c r="B969" s="14"/>
      <c r="C969" s="14"/>
      <c r="D969" s="14"/>
      <c r="E969" s="14"/>
    </row>
    <row r="970">
      <c r="A970" s="14"/>
      <c r="B970" s="14"/>
      <c r="C970" s="14"/>
      <c r="D970" s="14"/>
      <c r="E970" s="14"/>
    </row>
    <row r="971">
      <c r="A971" s="14"/>
      <c r="B971" s="14"/>
      <c r="C971" s="14"/>
      <c r="D971" s="14"/>
      <c r="E971" s="14"/>
    </row>
    <row r="972">
      <c r="A972" s="14"/>
      <c r="B972" s="14"/>
      <c r="C972" s="14"/>
      <c r="D972" s="14"/>
      <c r="E972" s="14"/>
    </row>
    <row r="973">
      <c r="A973" s="14"/>
      <c r="B973" s="14"/>
      <c r="C973" s="14"/>
      <c r="D973" s="14"/>
      <c r="E973" s="14"/>
    </row>
    <row r="974">
      <c r="A974" s="14"/>
      <c r="B974" s="14"/>
      <c r="C974" s="14"/>
      <c r="D974" s="14"/>
      <c r="E974" s="14"/>
    </row>
    <row r="975">
      <c r="A975" s="14"/>
      <c r="B975" s="14"/>
      <c r="C975" s="14"/>
      <c r="D975" s="14"/>
      <c r="E975" s="14"/>
    </row>
    <row r="976">
      <c r="A976" s="14"/>
      <c r="B976" s="14"/>
      <c r="C976" s="14"/>
      <c r="D976" s="14"/>
      <c r="E976" s="14"/>
    </row>
    <row r="977">
      <c r="A977" s="14"/>
      <c r="B977" s="14"/>
      <c r="C977" s="14"/>
      <c r="D977" s="14"/>
      <c r="E977" s="14"/>
    </row>
    <row r="978">
      <c r="A978" s="14"/>
      <c r="B978" s="14"/>
      <c r="C978" s="14"/>
      <c r="D978" s="14"/>
      <c r="E978" s="14"/>
    </row>
    <row r="979">
      <c r="A979" s="14"/>
      <c r="B979" s="14"/>
      <c r="C979" s="14"/>
      <c r="D979" s="14"/>
      <c r="E979" s="14"/>
    </row>
    <row r="980">
      <c r="A980" s="14"/>
      <c r="B980" s="14"/>
      <c r="C980" s="14"/>
      <c r="D980" s="14"/>
      <c r="E980" s="14"/>
    </row>
    <row r="981">
      <c r="A981" s="14"/>
      <c r="B981" s="14"/>
      <c r="C981" s="14"/>
      <c r="D981" s="14"/>
      <c r="E981" s="14"/>
    </row>
    <row r="982">
      <c r="A982" s="14"/>
      <c r="B982" s="14"/>
      <c r="C982" s="14"/>
      <c r="D982" s="14"/>
      <c r="E982" s="14"/>
    </row>
    <row r="983">
      <c r="A983" s="14"/>
      <c r="B983" s="14"/>
      <c r="C983" s="14"/>
      <c r="D983" s="14"/>
      <c r="E983" s="14"/>
    </row>
    <row r="984">
      <c r="A984" s="14"/>
      <c r="B984" s="14"/>
      <c r="C984" s="14"/>
      <c r="D984" s="14"/>
      <c r="E984" s="14"/>
    </row>
    <row r="985">
      <c r="A985" s="14"/>
      <c r="B985" s="14"/>
      <c r="C985" s="14"/>
      <c r="D985" s="14"/>
      <c r="E985" s="14"/>
    </row>
    <row r="986">
      <c r="A986" s="14"/>
      <c r="B986" s="14"/>
      <c r="C986" s="14"/>
      <c r="D986" s="14"/>
      <c r="E986" s="14"/>
    </row>
    <row r="987">
      <c r="A987" s="14"/>
      <c r="B987" s="14"/>
      <c r="C987" s="14"/>
      <c r="D987" s="14"/>
      <c r="E987" s="14"/>
    </row>
    <row r="988">
      <c r="A988" s="14"/>
      <c r="B988" s="14"/>
      <c r="C988" s="14"/>
      <c r="D988" s="14"/>
      <c r="E988" s="14"/>
    </row>
    <row r="989">
      <c r="A989" s="14"/>
      <c r="B989" s="14"/>
      <c r="C989" s="14"/>
      <c r="D989" s="14"/>
      <c r="E989" s="14"/>
    </row>
    <row r="990">
      <c r="A990" s="14"/>
      <c r="B990" s="14"/>
      <c r="C990" s="14"/>
      <c r="D990" s="14"/>
      <c r="E990" s="14"/>
    </row>
    <row r="991">
      <c r="A991" s="14"/>
      <c r="B991" s="14"/>
      <c r="C991" s="14"/>
      <c r="D991" s="14"/>
      <c r="E991" s="14"/>
    </row>
    <row r="992">
      <c r="A992" s="14"/>
      <c r="B992" s="14"/>
      <c r="C992" s="14"/>
      <c r="D992" s="14"/>
      <c r="E992" s="14"/>
    </row>
    <row r="993">
      <c r="A993" s="14"/>
      <c r="B993" s="14"/>
      <c r="C993" s="14"/>
      <c r="D993" s="14"/>
      <c r="E993" s="14"/>
    </row>
    <row r="994">
      <c r="A994" s="14"/>
      <c r="B994" s="14"/>
      <c r="C994" s="14"/>
      <c r="D994" s="14"/>
      <c r="E994" s="14"/>
    </row>
    <row r="995">
      <c r="A995" s="14"/>
      <c r="B995" s="14"/>
      <c r="C995" s="14"/>
      <c r="D995" s="14"/>
      <c r="E995" s="14"/>
    </row>
    <row r="996">
      <c r="A996" s="14"/>
      <c r="B996" s="14"/>
      <c r="C996" s="14"/>
      <c r="D996" s="14"/>
      <c r="E996" s="14"/>
    </row>
    <row r="997">
      <c r="A997" s="14"/>
      <c r="B997" s="14"/>
      <c r="C997" s="14"/>
      <c r="D997" s="14"/>
      <c r="E997" s="14"/>
    </row>
    <row r="998">
      <c r="A998" s="14"/>
      <c r="B998" s="14"/>
      <c r="C998" s="14"/>
      <c r="D998" s="14"/>
      <c r="E998" s="14"/>
    </row>
    <row r="999">
      <c r="A999" s="14"/>
      <c r="B999" s="14"/>
      <c r="C999" s="14"/>
      <c r="D999" s="14"/>
      <c r="E999" s="14"/>
    </row>
    <row r="1000">
      <c r="A1000" s="14"/>
      <c r="B1000" s="14"/>
      <c r="C1000" s="14"/>
      <c r="D1000" s="14"/>
      <c r="E1000" s="14"/>
    </row>
  </sheetData>
  <autoFilter ref="$A$3:$E$86"/>
  <mergeCells count="2">
    <mergeCell ref="T2:Z41"/>
    <mergeCell ref="T57:Z82"/>
  </mergeCells>
  <drawing r:id="rId5"/>
  <legacyDrawing r:id="rId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2" max="2" width="11.38"/>
    <col customWidth="1" min="3" max="6" width="8.0"/>
    <col customWidth="1" min="7" max="7" width="18.63"/>
    <col customWidth="1" min="8" max="14" width="8.0"/>
  </cols>
  <sheetData>
    <row r="1">
      <c r="F1" s="220" t="s">
        <v>118</v>
      </c>
      <c r="Q1" s="251"/>
      <c r="R1" s="251"/>
      <c r="S1" s="251"/>
      <c r="T1" s="251"/>
      <c r="U1" s="251"/>
      <c r="V1" s="251"/>
      <c r="W1" s="251"/>
      <c r="X1" s="251"/>
      <c r="Y1" s="251"/>
    </row>
    <row r="2">
      <c r="L2" s="252"/>
      <c r="M2" s="252"/>
      <c r="N2" s="252"/>
      <c r="O2" s="252"/>
      <c r="P2" s="252"/>
      <c r="Q2" s="252"/>
      <c r="R2" s="252"/>
      <c r="S2" s="251"/>
      <c r="T2" s="251"/>
      <c r="U2" s="251"/>
      <c r="V2" s="251"/>
      <c r="W2" s="251"/>
      <c r="X2" s="251"/>
      <c r="Y2" s="251"/>
    </row>
    <row r="3">
      <c r="F3" s="20" t="s">
        <v>1</v>
      </c>
      <c r="G3" s="7" t="s">
        <v>99</v>
      </c>
      <c r="U3" s="233" t="s">
        <v>119</v>
      </c>
    </row>
    <row r="4">
      <c r="F4" s="20" t="s">
        <v>19</v>
      </c>
      <c r="G4" s="20">
        <v>7.0</v>
      </c>
    </row>
    <row r="5">
      <c r="F5" s="20" t="s">
        <v>26</v>
      </c>
      <c r="G5" s="20">
        <v>25.0</v>
      </c>
    </row>
    <row r="6">
      <c r="F6" s="20" t="s">
        <v>14</v>
      </c>
      <c r="G6" s="20">
        <v>22.0</v>
      </c>
    </row>
    <row r="7">
      <c r="F7" s="20" t="s">
        <v>8</v>
      </c>
      <c r="G7" s="20">
        <v>14.0</v>
      </c>
    </row>
    <row r="8">
      <c r="F8" s="20" t="s">
        <v>17</v>
      </c>
      <c r="G8" s="20">
        <v>10.0</v>
      </c>
    </row>
    <row r="9">
      <c r="F9" s="20" t="s">
        <v>23</v>
      </c>
      <c r="G9" s="20">
        <v>19.0</v>
      </c>
    </row>
    <row r="10">
      <c r="F10" s="20" t="s">
        <v>25</v>
      </c>
      <c r="G10" s="20">
        <v>30.0</v>
      </c>
    </row>
    <row r="11">
      <c r="F11" s="20" t="s">
        <v>66</v>
      </c>
      <c r="G11" s="20">
        <v>14.0</v>
      </c>
    </row>
    <row r="15">
      <c r="L15" s="252"/>
      <c r="M15" s="252"/>
      <c r="N15" s="252"/>
      <c r="O15" s="252"/>
      <c r="P15" s="252"/>
      <c r="Q15" s="252"/>
      <c r="R15" s="252"/>
      <c r="S15" s="251"/>
      <c r="T15" s="251"/>
      <c r="U15" s="251"/>
      <c r="V15" s="251"/>
      <c r="W15" s="251"/>
      <c r="X15" s="251"/>
      <c r="Y15" s="251"/>
    </row>
    <row r="19">
      <c r="U19" s="233" t="s">
        <v>120</v>
      </c>
    </row>
    <row r="20"/>
    <row r="21"/>
    <row r="22"/>
    <row r="23"/>
    <row r="24"/>
    <row r="25"/>
    <row r="26"/>
    <row r="27"/>
    <row r="28"/>
    <row r="33">
      <c r="B33" s="219" t="s">
        <v>121</v>
      </c>
      <c r="C33" s="14"/>
      <c r="D33" s="14"/>
      <c r="E33" s="14"/>
      <c r="F33" s="14"/>
      <c r="G33" s="14"/>
    </row>
    <row r="34">
      <c r="B34" s="14"/>
      <c r="C34" s="14"/>
      <c r="D34" s="14"/>
      <c r="E34" s="14"/>
      <c r="F34" s="14"/>
      <c r="G34" s="14"/>
    </row>
    <row r="35">
      <c r="U35" s="233" t="s">
        <v>122</v>
      </c>
    </row>
    <row r="36"/>
    <row r="37"/>
    <row r="38"/>
    <row r="39"/>
    <row r="40"/>
    <row r="41"/>
    <row r="42"/>
    <row r="43"/>
    <row r="44"/>
    <row r="45"/>
    <row r="48">
      <c r="U48" s="253"/>
      <c r="V48" s="253"/>
      <c r="W48" s="253"/>
      <c r="X48" s="253"/>
      <c r="Y48" s="253"/>
      <c r="Z48" s="253"/>
    </row>
    <row r="49">
      <c r="U49" s="253"/>
      <c r="V49" s="253"/>
      <c r="W49" s="253"/>
      <c r="X49" s="253"/>
      <c r="Y49" s="253"/>
      <c r="Z49" s="253"/>
    </row>
    <row r="50">
      <c r="O50" s="254"/>
      <c r="P50" s="254"/>
      <c r="Q50" s="254"/>
      <c r="R50" s="254"/>
      <c r="U50" s="255" t="s">
        <v>123</v>
      </c>
    </row>
    <row r="51">
      <c r="O51" s="254"/>
      <c r="P51" s="254"/>
      <c r="Q51" s="254"/>
      <c r="R51" s="254"/>
    </row>
    <row r="52">
      <c r="O52" s="254"/>
      <c r="P52" s="254"/>
      <c r="Q52" s="254"/>
      <c r="R52" s="254"/>
    </row>
    <row r="53">
      <c r="O53" s="254"/>
      <c r="P53" s="254"/>
      <c r="Q53" s="254"/>
      <c r="R53" s="254"/>
    </row>
    <row r="54">
      <c r="O54" s="254"/>
      <c r="P54" s="254"/>
      <c r="Q54" s="254"/>
      <c r="R54" s="254"/>
    </row>
    <row r="55">
      <c r="O55" s="254"/>
      <c r="P55" s="254"/>
      <c r="Q55" s="254"/>
      <c r="R55" s="254"/>
    </row>
    <row r="56">
      <c r="O56" s="254"/>
      <c r="P56" s="254"/>
      <c r="Q56" s="254"/>
      <c r="R56" s="254"/>
    </row>
    <row r="57">
      <c r="O57" s="254"/>
      <c r="P57" s="254"/>
      <c r="Q57" s="254"/>
      <c r="R57" s="254"/>
    </row>
    <row r="58">
      <c r="O58" s="254"/>
      <c r="P58" s="254"/>
      <c r="Q58" s="254"/>
      <c r="R58" s="254"/>
    </row>
    <row r="59">
      <c r="O59" s="254"/>
      <c r="P59" s="254"/>
      <c r="Q59" s="254"/>
      <c r="R59" s="254"/>
      <c r="U59" s="253"/>
      <c r="V59" s="253"/>
      <c r="W59" s="253"/>
      <c r="X59" s="253"/>
      <c r="Y59" s="253"/>
      <c r="Z59" s="253"/>
    </row>
    <row r="60">
      <c r="O60" s="254"/>
      <c r="P60" s="254"/>
      <c r="Q60" s="254"/>
      <c r="R60" s="254"/>
    </row>
    <row r="61">
      <c r="I61" s="254"/>
      <c r="J61" s="254"/>
      <c r="K61" s="254"/>
      <c r="L61" s="254"/>
      <c r="M61" s="254"/>
      <c r="N61" s="254"/>
      <c r="O61" s="254"/>
      <c r="P61" s="254"/>
      <c r="Q61" s="254"/>
      <c r="R61" s="254"/>
    </row>
    <row r="62">
      <c r="I62" s="254"/>
      <c r="J62" s="254"/>
      <c r="K62" s="254"/>
      <c r="L62" s="254"/>
      <c r="M62" s="254"/>
      <c r="N62" s="254"/>
      <c r="O62" s="254"/>
      <c r="P62" s="254"/>
      <c r="Q62" s="254"/>
      <c r="R62" s="254"/>
    </row>
    <row r="63">
      <c r="I63" s="254"/>
      <c r="J63" s="254"/>
      <c r="K63" s="254"/>
      <c r="L63" s="254"/>
      <c r="M63" s="254"/>
      <c r="N63" s="254"/>
      <c r="O63" s="254"/>
      <c r="P63" s="254"/>
      <c r="Q63" s="254"/>
      <c r="R63" s="254"/>
    </row>
    <row r="64">
      <c r="I64" s="254"/>
      <c r="J64" s="254"/>
      <c r="K64" s="254"/>
      <c r="L64" s="254"/>
      <c r="M64" s="254"/>
      <c r="N64" s="254"/>
      <c r="O64" s="254"/>
      <c r="P64" s="254"/>
      <c r="Q64" s="254"/>
      <c r="R64" s="254"/>
    </row>
    <row r="65">
      <c r="I65" s="254"/>
      <c r="J65" s="254"/>
      <c r="K65" s="254"/>
      <c r="L65" s="254"/>
      <c r="M65" s="254"/>
      <c r="N65" s="254"/>
      <c r="O65" s="254"/>
      <c r="P65" s="254"/>
      <c r="Q65" s="254"/>
      <c r="R65" s="254"/>
    </row>
    <row r="66">
      <c r="I66" s="254"/>
      <c r="J66" s="254"/>
      <c r="K66" s="254"/>
      <c r="L66" s="254"/>
      <c r="M66" s="254"/>
      <c r="N66" s="254"/>
      <c r="O66" s="254"/>
      <c r="P66" s="254"/>
      <c r="Q66" s="254"/>
      <c r="R66" s="254"/>
    </row>
    <row r="67">
      <c r="I67" s="254"/>
      <c r="J67" s="254"/>
      <c r="K67" s="254"/>
      <c r="L67" s="254"/>
      <c r="M67" s="254"/>
      <c r="N67" s="254"/>
    </row>
  </sheetData>
  <mergeCells count="4">
    <mergeCell ref="U19:Z31"/>
    <mergeCell ref="U35:Z45"/>
    <mergeCell ref="U50:Z58"/>
    <mergeCell ref="U3:Y14"/>
  </mergeCell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sheetData>
    <row r="1">
      <c r="A1" s="220"/>
    </row>
    <row r="2">
      <c r="Q2" s="233" t="s">
        <v>124</v>
      </c>
      <c r="V2" s="251"/>
    </row>
    <row r="3">
      <c r="V3" s="251"/>
    </row>
    <row r="4">
      <c r="V4" s="251"/>
    </row>
    <row r="5">
      <c r="V5" s="251"/>
    </row>
    <row r="6">
      <c r="V6" s="251"/>
    </row>
    <row r="7">
      <c r="V7" s="251"/>
    </row>
    <row r="8">
      <c r="V8" s="251"/>
    </row>
    <row r="9">
      <c r="V9" s="251"/>
    </row>
    <row r="10">
      <c r="V10" s="251"/>
    </row>
    <row r="11">
      <c r="V11" s="251"/>
    </row>
    <row r="12">
      <c r="V12" s="251"/>
    </row>
    <row r="13">
      <c r="V13" s="251"/>
    </row>
    <row r="14">
      <c r="V14" s="251"/>
    </row>
    <row r="15">
      <c r="V15" s="251"/>
    </row>
    <row r="16">
      <c r="V16" s="251"/>
    </row>
    <row r="17">
      <c r="I17" s="223"/>
      <c r="V17" s="251"/>
    </row>
    <row r="18">
      <c r="V18" s="251"/>
    </row>
    <row r="19">
      <c r="Q19" s="251"/>
      <c r="R19" s="251"/>
      <c r="S19" s="251"/>
      <c r="T19" s="251"/>
      <c r="U19" s="251"/>
      <c r="V19" s="251"/>
    </row>
    <row r="20">
      <c r="Q20" s="251"/>
      <c r="R20" s="251"/>
      <c r="S20" s="251"/>
      <c r="T20" s="251"/>
      <c r="U20" s="251"/>
      <c r="V20" s="251"/>
    </row>
    <row r="21">
      <c r="J21" s="223"/>
      <c r="Q21" s="251"/>
      <c r="R21" s="251"/>
      <c r="S21" s="251"/>
      <c r="T21" s="251"/>
      <c r="U21" s="251"/>
      <c r="V21" s="251"/>
    </row>
    <row r="22">
      <c r="Q22" s="251"/>
      <c r="R22" s="251"/>
      <c r="S22" s="251"/>
      <c r="T22" s="251"/>
      <c r="U22" s="251"/>
      <c r="V22" s="251"/>
    </row>
    <row r="23">
      <c r="Q23" s="251"/>
      <c r="R23" s="251"/>
      <c r="S23" s="251"/>
      <c r="T23" s="251"/>
      <c r="U23" s="251"/>
      <c r="V23" s="251"/>
    </row>
    <row r="24">
      <c r="Q24" s="251"/>
      <c r="R24" s="251"/>
      <c r="S24" s="251"/>
      <c r="T24" s="251"/>
      <c r="U24" s="251"/>
      <c r="V24" s="251"/>
    </row>
  </sheetData>
  <mergeCells count="1">
    <mergeCell ref="Q2:U18"/>
  </mergeCell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56" t="s">
        <v>0</v>
      </c>
      <c r="B1" s="257" t="s">
        <v>1</v>
      </c>
      <c r="C1" s="257" t="s">
        <v>2</v>
      </c>
      <c r="D1" s="257" t="s">
        <v>3</v>
      </c>
      <c r="E1" s="257" t="s">
        <v>4</v>
      </c>
      <c r="F1" s="257" t="s">
        <v>5</v>
      </c>
      <c r="G1" s="257" t="s">
        <v>6</v>
      </c>
      <c r="H1" s="258" t="s">
        <v>41</v>
      </c>
      <c r="I1" s="259" t="s">
        <v>7</v>
      </c>
    </row>
    <row r="2">
      <c r="A2" s="260">
        <v>45687.0</v>
      </c>
      <c r="B2" s="261" t="s">
        <v>26</v>
      </c>
      <c r="C2" s="261" t="s">
        <v>21</v>
      </c>
      <c r="D2" s="261">
        <v>27.0</v>
      </c>
      <c r="E2" s="261" t="s">
        <v>22</v>
      </c>
      <c r="F2" s="261" t="s">
        <v>15</v>
      </c>
      <c r="G2" s="261" t="s">
        <v>12</v>
      </c>
      <c r="H2" s="261">
        <v>1.0</v>
      </c>
      <c r="I2" s="262" t="s">
        <v>47</v>
      </c>
    </row>
    <row r="3">
      <c r="A3" s="260">
        <v>45778.0</v>
      </c>
      <c r="B3" s="261" t="s">
        <v>26</v>
      </c>
      <c r="C3" s="261" t="s">
        <v>9</v>
      </c>
      <c r="D3" s="261">
        <v>26.0</v>
      </c>
      <c r="E3" s="261" t="s">
        <v>22</v>
      </c>
      <c r="F3" s="261" t="s">
        <v>15</v>
      </c>
      <c r="G3" s="261" t="s">
        <v>30</v>
      </c>
      <c r="H3" s="261">
        <v>5.0</v>
      </c>
      <c r="I3" s="262" t="s">
        <v>47</v>
      </c>
    </row>
    <row r="4">
      <c r="A4" s="260">
        <v>45802.0</v>
      </c>
      <c r="B4" s="261" t="s">
        <v>26</v>
      </c>
      <c r="C4" s="261" t="s">
        <v>9</v>
      </c>
      <c r="D4" s="261">
        <v>25.0</v>
      </c>
      <c r="E4" s="261" t="s">
        <v>22</v>
      </c>
      <c r="F4" s="261" t="s">
        <v>15</v>
      </c>
      <c r="G4" s="261" t="s">
        <v>30</v>
      </c>
      <c r="H4" s="261">
        <v>5.0</v>
      </c>
      <c r="I4" s="262" t="s">
        <v>43</v>
      </c>
    </row>
    <row r="5">
      <c r="A5" s="260">
        <v>46015.0</v>
      </c>
      <c r="B5" s="261" t="s">
        <v>26</v>
      </c>
      <c r="C5" s="261" t="s">
        <v>9</v>
      </c>
      <c r="D5" s="261">
        <v>28.0</v>
      </c>
      <c r="E5" s="261" t="s">
        <v>22</v>
      </c>
      <c r="F5" s="261" t="s">
        <v>15</v>
      </c>
      <c r="G5" s="261" t="s">
        <v>38</v>
      </c>
      <c r="H5" s="261">
        <v>12.0</v>
      </c>
      <c r="I5" s="262" t="s">
        <v>46</v>
      </c>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56" t="s">
        <v>0</v>
      </c>
      <c r="B1" s="257" t="s">
        <v>1</v>
      </c>
      <c r="C1" s="257" t="s">
        <v>2</v>
      </c>
      <c r="D1" s="257" t="s">
        <v>3</v>
      </c>
      <c r="E1" s="257" t="s">
        <v>4</v>
      </c>
      <c r="F1" s="257" t="s">
        <v>5</v>
      </c>
      <c r="G1" s="257" t="s">
        <v>6</v>
      </c>
      <c r="H1" s="258" t="s">
        <v>41</v>
      </c>
      <c r="I1" s="259" t="s">
        <v>7</v>
      </c>
    </row>
    <row r="2">
      <c r="A2" s="260">
        <v>45660.0</v>
      </c>
      <c r="B2" s="261" t="s">
        <v>14</v>
      </c>
      <c r="C2" s="261" t="s">
        <v>9</v>
      </c>
      <c r="D2" s="261">
        <v>22.0</v>
      </c>
      <c r="E2" s="261" t="s">
        <v>10</v>
      </c>
      <c r="F2" s="261" t="s">
        <v>11</v>
      </c>
      <c r="G2" s="261" t="s">
        <v>12</v>
      </c>
      <c r="H2" s="261">
        <v>1.0</v>
      </c>
      <c r="I2" s="262" t="s">
        <v>20</v>
      </c>
    </row>
    <row r="3">
      <c r="A3" s="260">
        <v>45662.0</v>
      </c>
      <c r="B3" s="261" t="s">
        <v>8</v>
      </c>
      <c r="C3" s="261" t="s">
        <v>9</v>
      </c>
      <c r="D3" s="261">
        <v>14.0</v>
      </c>
      <c r="E3" s="261" t="s">
        <v>10</v>
      </c>
      <c r="F3" s="261" t="s">
        <v>11</v>
      </c>
      <c r="G3" s="261" t="s">
        <v>12</v>
      </c>
      <c r="H3" s="261">
        <v>1.0</v>
      </c>
      <c r="I3" s="262" t="s">
        <v>13</v>
      </c>
    </row>
    <row r="4">
      <c r="A4" s="260">
        <v>45663.0</v>
      </c>
      <c r="B4" s="261" t="s">
        <v>8</v>
      </c>
      <c r="C4" s="261" t="s">
        <v>9</v>
      </c>
      <c r="D4" s="261">
        <v>14.0</v>
      </c>
      <c r="E4" s="261" t="s">
        <v>10</v>
      </c>
      <c r="F4" s="261" t="s">
        <v>11</v>
      </c>
      <c r="G4" s="261" t="s">
        <v>12</v>
      </c>
      <c r="H4" s="261">
        <v>1.0</v>
      </c>
      <c r="I4" s="262" t="s">
        <v>39</v>
      </c>
    </row>
    <row r="5">
      <c r="A5" s="260">
        <v>45664.0</v>
      </c>
      <c r="B5" s="261" t="s">
        <v>14</v>
      </c>
      <c r="C5" s="261" t="s">
        <v>9</v>
      </c>
      <c r="D5" s="261">
        <v>21.0</v>
      </c>
      <c r="E5" s="261" t="s">
        <v>10</v>
      </c>
      <c r="F5" s="261" t="s">
        <v>15</v>
      </c>
      <c r="G5" s="261" t="s">
        <v>12</v>
      </c>
      <c r="H5" s="261">
        <v>1.0</v>
      </c>
      <c r="I5" s="262" t="s">
        <v>16</v>
      </c>
    </row>
    <row r="6">
      <c r="A6" s="260">
        <v>45665.0</v>
      </c>
      <c r="B6" s="261" t="s">
        <v>17</v>
      </c>
      <c r="C6" s="261" t="s">
        <v>9</v>
      </c>
      <c r="D6" s="261">
        <v>10.0</v>
      </c>
      <c r="E6" s="261" t="s">
        <v>10</v>
      </c>
      <c r="F6" s="261" t="s">
        <v>11</v>
      </c>
      <c r="G6" s="261" t="s">
        <v>12</v>
      </c>
      <c r="H6" s="261">
        <v>1.0</v>
      </c>
      <c r="I6" s="262" t="s">
        <v>18</v>
      </c>
    </row>
    <row r="7">
      <c r="A7" s="260">
        <v>45666.0</v>
      </c>
      <c r="B7" s="261" t="s">
        <v>19</v>
      </c>
      <c r="C7" s="261" t="s">
        <v>9</v>
      </c>
      <c r="D7" s="261">
        <v>7.0</v>
      </c>
      <c r="E7" s="261" t="s">
        <v>10</v>
      </c>
      <c r="F7" s="261" t="s">
        <v>15</v>
      </c>
      <c r="G7" s="261" t="s">
        <v>12</v>
      </c>
      <c r="H7" s="261">
        <v>1.0</v>
      </c>
      <c r="I7" s="262" t="s">
        <v>33</v>
      </c>
    </row>
    <row r="8">
      <c r="A8" s="260">
        <v>45667.0</v>
      </c>
      <c r="B8" s="261" t="s">
        <v>19</v>
      </c>
      <c r="C8" s="261" t="s">
        <v>9</v>
      </c>
      <c r="D8" s="261">
        <v>7.0</v>
      </c>
      <c r="E8" s="261" t="s">
        <v>10</v>
      </c>
      <c r="F8" s="261" t="s">
        <v>11</v>
      </c>
      <c r="G8" s="261" t="s">
        <v>12</v>
      </c>
      <c r="H8" s="261">
        <v>1.0</v>
      </c>
      <c r="I8" s="262" t="s">
        <v>20</v>
      </c>
    </row>
    <row r="9">
      <c r="A9" s="260">
        <v>45668.0</v>
      </c>
      <c r="B9" s="261" t="s">
        <v>17</v>
      </c>
      <c r="C9" s="261" t="s">
        <v>9</v>
      </c>
      <c r="D9" s="261">
        <v>9.0</v>
      </c>
      <c r="E9" s="261" t="s">
        <v>10</v>
      </c>
      <c r="F9" s="261" t="s">
        <v>11</v>
      </c>
      <c r="G9" s="261" t="s">
        <v>12</v>
      </c>
      <c r="H9" s="261">
        <v>1.0</v>
      </c>
      <c r="I9" s="262" t="s">
        <v>40</v>
      </c>
    </row>
    <row r="10">
      <c r="A10" s="260">
        <v>45669.0</v>
      </c>
      <c r="B10" s="261" t="s">
        <v>8</v>
      </c>
      <c r="C10" s="261" t="s">
        <v>21</v>
      </c>
      <c r="D10" s="261">
        <v>15.0</v>
      </c>
      <c r="E10" s="261" t="s">
        <v>22</v>
      </c>
      <c r="F10" s="261" t="s">
        <v>15</v>
      </c>
      <c r="G10" s="261" t="s">
        <v>12</v>
      </c>
      <c r="H10" s="261">
        <v>1.0</v>
      </c>
      <c r="I10" s="262" t="s">
        <v>13</v>
      </c>
    </row>
    <row r="11">
      <c r="A11" s="260">
        <v>45670.0</v>
      </c>
      <c r="B11" s="261" t="s">
        <v>8</v>
      </c>
      <c r="C11" s="261" t="s">
        <v>21</v>
      </c>
      <c r="D11" s="261">
        <v>14.0</v>
      </c>
      <c r="E11" s="261" t="s">
        <v>10</v>
      </c>
      <c r="F11" s="261" t="s">
        <v>11</v>
      </c>
      <c r="G11" s="261" t="s">
        <v>12</v>
      </c>
      <c r="H11" s="261">
        <v>1.0</v>
      </c>
      <c r="I11" s="262" t="s">
        <v>39</v>
      </c>
    </row>
    <row r="12">
      <c r="A12" s="260">
        <v>45671.0</v>
      </c>
      <c r="B12" s="261" t="s">
        <v>8</v>
      </c>
      <c r="C12" s="261" t="s">
        <v>9</v>
      </c>
      <c r="D12" s="261">
        <v>14.0</v>
      </c>
      <c r="E12" s="261" t="s">
        <v>10</v>
      </c>
      <c r="F12" s="261" t="s">
        <v>11</v>
      </c>
      <c r="G12" s="261" t="s">
        <v>12</v>
      </c>
      <c r="H12" s="261">
        <v>1.0</v>
      </c>
      <c r="I12" s="262" t="s">
        <v>16</v>
      </c>
    </row>
    <row r="13">
      <c r="A13" s="260">
        <v>45672.0</v>
      </c>
      <c r="B13" s="261" t="s">
        <v>23</v>
      </c>
      <c r="C13" s="261" t="s">
        <v>9</v>
      </c>
      <c r="D13" s="261">
        <v>18.0</v>
      </c>
      <c r="E13" s="261" t="s">
        <v>10</v>
      </c>
      <c r="F13" s="261" t="s">
        <v>15</v>
      </c>
      <c r="G13" s="261" t="s">
        <v>12</v>
      </c>
      <c r="H13" s="261">
        <v>1.0</v>
      </c>
      <c r="I13" s="262" t="s">
        <v>18</v>
      </c>
    </row>
    <row r="14">
      <c r="A14" s="260">
        <v>45673.0</v>
      </c>
      <c r="B14" s="261" t="s">
        <v>23</v>
      </c>
      <c r="C14" s="261" t="s">
        <v>9</v>
      </c>
      <c r="D14" s="261">
        <v>20.0</v>
      </c>
      <c r="E14" s="261" t="s">
        <v>10</v>
      </c>
      <c r="F14" s="261" t="s">
        <v>15</v>
      </c>
      <c r="G14" s="261" t="s">
        <v>12</v>
      </c>
      <c r="H14" s="261">
        <v>1.0</v>
      </c>
      <c r="I14" s="262" t="s">
        <v>33</v>
      </c>
    </row>
    <row r="15">
      <c r="A15" s="260">
        <v>45674.0</v>
      </c>
      <c r="B15" s="261" t="s">
        <v>14</v>
      </c>
      <c r="C15" s="261" t="s">
        <v>24</v>
      </c>
      <c r="D15" s="261">
        <v>25.0</v>
      </c>
      <c r="E15" s="261" t="s">
        <v>10</v>
      </c>
      <c r="F15" s="261" t="s">
        <v>11</v>
      </c>
      <c r="G15" s="261" t="s">
        <v>12</v>
      </c>
      <c r="H15" s="261">
        <v>1.0</v>
      </c>
      <c r="I15" s="262" t="s">
        <v>20</v>
      </c>
    </row>
    <row r="16">
      <c r="A16" s="260">
        <v>45675.0</v>
      </c>
      <c r="B16" s="261" t="s">
        <v>17</v>
      </c>
      <c r="C16" s="261" t="s">
        <v>24</v>
      </c>
      <c r="D16" s="261">
        <v>11.0</v>
      </c>
      <c r="E16" s="261" t="s">
        <v>10</v>
      </c>
      <c r="F16" s="261" t="s">
        <v>11</v>
      </c>
      <c r="G16" s="261" t="s">
        <v>12</v>
      </c>
      <c r="H16" s="261">
        <v>1.0</v>
      </c>
      <c r="I16" s="262" t="s">
        <v>40</v>
      </c>
    </row>
    <row r="17">
      <c r="A17" s="260">
        <v>45676.0</v>
      </c>
      <c r="B17" s="261" t="s">
        <v>17</v>
      </c>
      <c r="C17" s="261" t="s">
        <v>9</v>
      </c>
      <c r="D17" s="261">
        <v>8.0</v>
      </c>
      <c r="E17" s="261" t="s">
        <v>10</v>
      </c>
      <c r="F17" s="261" t="s">
        <v>11</v>
      </c>
      <c r="G17" s="261" t="s">
        <v>12</v>
      </c>
      <c r="H17" s="261">
        <v>1.0</v>
      </c>
      <c r="I17" s="262" t="s">
        <v>13</v>
      </c>
    </row>
    <row r="18">
      <c r="A18" s="260">
        <v>45677.0</v>
      </c>
      <c r="B18" s="261" t="s">
        <v>8</v>
      </c>
      <c r="C18" s="261" t="s">
        <v>9</v>
      </c>
      <c r="D18" s="261">
        <v>14.0</v>
      </c>
      <c r="E18" s="261" t="s">
        <v>10</v>
      </c>
      <c r="F18" s="261" t="s">
        <v>11</v>
      </c>
      <c r="G18" s="261" t="s">
        <v>12</v>
      </c>
      <c r="H18" s="261">
        <v>1.0</v>
      </c>
      <c r="I18" s="262" t="s">
        <v>39</v>
      </c>
    </row>
    <row r="19">
      <c r="A19" s="260">
        <v>45678.0</v>
      </c>
      <c r="B19" s="261" t="s">
        <v>8</v>
      </c>
      <c r="C19" s="261" t="s">
        <v>9</v>
      </c>
      <c r="D19" s="261">
        <v>14.0</v>
      </c>
      <c r="E19" s="261" t="s">
        <v>10</v>
      </c>
      <c r="F19" s="261" t="s">
        <v>15</v>
      </c>
      <c r="G19" s="261" t="s">
        <v>12</v>
      </c>
      <c r="H19" s="261">
        <v>1.0</v>
      </c>
      <c r="I19" s="262" t="s">
        <v>16</v>
      </c>
    </row>
    <row r="20">
      <c r="A20" s="260">
        <v>45679.0</v>
      </c>
      <c r="B20" s="261" t="s">
        <v>25</v>
      </c>
      <c r="C20" s="261" t="s">
        <v>9</v>
      </c>
      <c r="D20" s="261">
        <v>30.0</v>
      </c>
      <c r="E20" s="261" t="s">
        <v>22</v>
      </c>
      <c r="F20" s="261" t="s">
        <v>11</v>
      </c>
      <c r="G20" s="261" t="s">
        <v>12</v>
      </c>
      <c r="H20" s="261">
        <v>1.0</v>
      </c>
      <c r="I20" s="262" t="s">
        <v>18</v>
      </c>
    </row>
    <row r="21">
      <c r="A21" s="260">
        <v>45680.0</v>
      </c>
      <c r="B21" s="261" t="s">
        <v>14</v>
      </c>
      <c r="C21" s="261" t="s">
        <v>9</v>
      </c>
      <c r="D21" s="261">
        <v>24.0</v>
      </c>
      <c r="E21" s="261" t="s">
        <v>10</v>
      </c>
      <c r="F21" s="261" t="s">
        <v>15</v>
      </c>
      <c r="G21" s="261" t="s">
        <v>12</v>
      </c>
      <c r="H21" s="261">
        <v>1.0</v>
      </c>
      <c r="I21" s="262" t="s">
        <v>33</v>
      </c>
    </row>
    <row r="22">
      <c r="A22" s="260">
        <v>45681.0</v>
      </c>
      <c r="B22" s="261" t="s">
        <v>8</v>
      </c>
      <c r="C22" s="261" t="s">
        <v>21</v>
      </c>
      <c r="D22" s="261">
        <v>14.0</v>
      </c>
      <c r="E22" s="261" t="s">
        <v>10</v>
      </c>
      <c r="F22" s="261" t="s">
        <v>11</v>
      </c>
      <c r="G22" s="261" t="s">
        <v>12</v>
      </c>
      <c r="H22" s="261">
        <v>1.0</v>
      </c>
      <c r="I22" s="262" t="s">
        <v>20</v>
      </c>
    </row>
    <row r="23">
      <c r="A23" s="260">
        <v>45682.0</v>
      </c>
      <c r="B23" s="261" t="s">
        <v>19</v>
      </c>
      <c r="C23" s="261" t="s">
        <v>9</v>
      </c>
      <c r="D23" s="261">
        <v>7.0</v>
      </c>
      <c r="E23" s="261" t="s">
        <v>10</v>
      </c>
      <c r="F23" s="261" t="s">
        <v>11</v>
      </c>
      <c r="G23" s="261" t="s">
        <v>12</v>
      </c>
      <c r="H23" s="261">
        <v>1.0</v>
      </c>
      <c r="I23" s="262" t="s">
        <v>40</v>
      </c>
    </row>
    <row r="24">
      <c r="A24" s="260">
        <v>45683.0</v>
      </c>
      <c r="B24" s="261" t="s">
        <v>19</v>
      </c>
      <c r="C24" s="261" t="s">
        <v>9</v>
      </c>
      <c r="D24" s="261">
        <v>7.0</v>
      </c>
      <c r="E24" s="261" t="s">
        <v>10</v>
      </c>
      <c r="F24" s="261" t="s">
        <v>15</v>
      </c>
      <c r="G24" s="261" t="s">
        <v>12</v>
      </c>
      <c r="H24" s="261">
        <v>1.0</v>
      </c>
      <c r="I24" s="262" t="s">
        <v>13</v>
      </c>
    </row>
    <row r="25">
      <c r="A25" s="260">
        <v>45684.0</v>
      </c>
      <c r="B25" s="261" t="s">
        <v>8</v>
      </c>
      <c r="C25" s="261" t="s">
        <v>9</v>
      </c>
      <c r="D25" s="261">
        <v>14.0</v>
      </c>
      <c r="E25" s="261" t="s">
        <v>10</v>
      </c>
      <c r="F25" s="261" t="s">
        <v>11</v>
      </c>
      <c r="G25" s="261" t="s">
        <v>12</v>
      </c>
      <c r="H25" s="261">
        <v>1.0</v>
      </c>
      <c r="I25" s="262" t="s">
        <v>39</v>
      </c>
    </row>
    <row r="26">
      <c r="A26" s="260">
        <v>45685.0</v>
      </c>
      <c r="B26" s="261" t="s">
        <v>8</v>
      </c>
      <c r="C26" s="261" t="s">
        <v>9</v>
      </c>
      <c r="D26" s="261">
        <v>16.0</v>
      </c>
      <c r="E26" s="261" t="s">
        <v>10</v>
      </c>
      <c r="F26" s="261" t="s">
        <v>11</v>
      </c>
      <c r="G26" s="261" t="s">
        <v>12</v>
      </c>
      <c r="H26" s="261">
        <v>1.0</v>
      </c>
      <c r="I26" s="262" t="s">
        <v>16</v>
      </c>
    </row>
    <row r="27">
      <c r="A27" s="260">
        <v>45686.0</v>
      </c>
      <c r="B27" s="261" t="s">
        <v>17</v>
      </c>
      <c r="C27" s="261" t="s">
        <v>9</v>
      </c>
      <c r="D27" s="261">
        <v>9.0</v>
      </c>
      <c r="E27" s="261" t="s">
        <v>10</v>
      </c>
      <c r="F27" s="261" t="s">
        <v>11</v>
      </c>
      <c r="G27" s="261" t="s">
        <v>12</v>
      </c>
      <c r="H27" s="261">
        <v>1.0</v>
      </c>
      <c r="I27" s="262" t="s">
        <v>18</v>
      </c>
    </row>
    <row r="28">
      <c r="A28" s="260">
        <v>45687.0</v>
      </c>
      <c r="B28" s="261" t="s">
        <v>26</v>
      </c>
      <c r="C28" s="261" t="s">
        <v>21</v>
      </c>
      <c r="D28" s="261">
        <v>27.0</v>
      </c>
      <c r="E28" s="261" t="s">
        <v>22</v>
      </c>
      <c r="F28" s="261" t="s">
        <v>15</v>
      </c>
      <c r="G28" s="261" t="s">
        <v>12</v>
      </c>
      <c r="H28" s="261">
        <v>1.0</v>
      </c>
      <c r="I28" s="262" t="s">
        <v>33</v>
      </c>
    </row>
    <row r="29">
      <c r="A29" s="260">
        <v>45688.0</v>
      </c>
      <c r="B29" s="261" t="s">
        <v>26</v>
      </c>
      <c r="C29" s="261" t="s">
        <v>9</v>
      </c>
      <c r="D29" s="261">
        <v>21.0</v>
      </c>
      <c r="E29" s="261" t="s">
        <v>10</v>
      </c>
      <c r="F29" s="261" t="s">
        <v>15</v>
      </c>
      <c r="G29" s="261" t="s">
        <v>12</v>
      </c>
      <c r="H29" s="261">
        <v>1.0</v>
      </c>
      <c r="I29" s="262" t="s">
        <v>20</v>
      </c>
    </row>
    <row r="30">
      <c r="A30" s="260">
        <v>45689.0</v>
      </c>
      <c r="B30" s="261" t="s">
        <v>17</v>
      </c>
      <c r="C30" s="261" t="s">
        <v>9</v>
      </c>
      <c r="D30" s="261">
        <v>10.0</v>
      </c>
      <c r="E30" s="261" t="s">
        <v>10</v>
      </c>
      <c r="F30" s="261" t="s">
        <v>11</v>
      </c>
      <c r="G30" s="261" t="s">
        <v>27</v>
      </c>
      <c r="H30" s="261">
        <v>2.0</v>
      </c>
      <c r="I30" s="262" t="s">
        <v>40</v>
      </c>
    </row>
    <row r="31">
      <c r="A31" s="260">
        <v>45690.0</v>
      </c>
      <c r="B31" s="261" t="s">
        <v>8</v>
      </c>
      <c r="C31" s="261" t="s">
        <v>9</v>
      </c>
      <c r="D31" s="261">
        <v>14.0</v>
      </c>
      <c r="E31" s="261" t="s">
        <v>10</v>
      </c>
      <c r="F31" s="261" t="s">
        <v>11</v>
      </c>
      <c r="G31" s="261" t="s">
        <v>27</v>
      </c>
      <c r="H31" s="261">
        <v>2.0</v>
      </c>
      <c r="I31" s="262" t="s">
        <v>13</v>
      </c>
    </row>
    <row r="32">
      <c r="A32" s="260">
        <v>45691.0</v>
      </c>
      <c r="B32" s="261" t="s">
        <v>8</v>
      </c>
      <c r="C32" s="261" t="s">
        <v>9</v>
      </c>
      <c r="D32" s="261">
        <v>14.0</v>
      </c>
      <c r="E32" s="261" t="s">
        <v>10</v>
      </c>
      <c r="F32" s="261" t="s">
        <v>11</v>
      </c>
      <c r="G32" s="261" t="s">
        <v>27</v>
      </c>
      <c r="H32" s="261">
        <v>2.0</v>
      </c>
      <c r="I32" s="262" t="s">
        <v>39</v>
      </c>
    </row>
    <row r="33">
      <c r="A33" s="260">
        <v>45692.0</v>
      </c>
      <c r="B33" s="261" t="s">
        <v>17</v>
      </c>
      <c r="C33" s="261" t="s">
        <v>24</v>
      </c>
      <c r="D33" s="261">
        <v>12.0</v>
      </c>
      <c r="E33" s="261" t="s">
        <v>10</v>
      </c>
      <c r="F33" s="261" t="s">
        <v>11</v>
      </c>
      <c r="G33" s="261" t="s">
        <v>27</v>
      </c>
      <c r="H33" s="261">
        <v>2.0</v>
      </c>
      <c r="I33" s="262" t="s">
        <v>16</v>
      </c>
    </row>
    <row r="34">
      <c r="A34" s="260">
        <v>45693.0</v>
      </c>
      <c r="B34" s="261" t="s">
        <v>8</v>
      </c>
      <c r="C34" s="261" t="s">
        <v>9</v>
      </c>
      <c r="D34" s="261">
        <v>14.0</v>
      </c>
      <c r="E34" s="261" t="s">
        <v>10</v>
      </c>
      <c r="F34" s="261" t="s">
        <v>15</v>
      </c>
      <c r="G34" s="261" t="s">
        <v>27</v>
      </c>
      <c r="H34" s="261">
        <v>2.0</v>
      </c>
      <c r="I34" s="262" t="s">
        <v>18</v>
      </c>
    </row>
    <row r="35">
      <c r="A35" s="260">
        <v>45694.0</v>
      </c>
      <c r="B35" s="261" t="s">
        <v>14</v>
      </c>
      <c r="C35" s="261" t="s">
        <v>24</v>
      </c>
      <c r="D35" s="261">
        <v>21.0</v>
      </c>
      <c r="E35" s="261" t="s">
        <v>10</v>
      </c>
      <c r="F35" s="261" t="s">
        <v>15</v>
      </c>
      <c r="G35" s="261" t="s">
        <v>27</v>
      </c>
      <c r="H35" s="261">
        <v>2.0</v>
      </c>
      <c r="I35" s="262" t="s">
        <v>33</v>
      </c>
    </row>
    <row r="36">
      <c r="A36" s="260">
        <v>45695.0</v>
      </c>
      <c r="B36" s="261" t="s">
        <v>14</v>
      </c>
      <c r="C36" s="261" t="s">
        <v>9</v>
      </c>
      <c r="D36" s="261">
        <v>28.0</v>
      </c>
      <c r="E36" s="261" t="s">
        <v>22</v>
      </c>
      <c r="F36" s="261" t="s">
        <v>11</v>
      </c>
      <c r="G36" s="261" t="s">
        <v>27</v>
      </c>
      <c r="H36" s="261">
        <v>2.0</v>
      </c>
      <c r="I36" s="262" t="s">
        <v>20</v>
      </c>
    </row>
    <row r="37">
      <c r="A37" s="260">
        <v>45696.0</v>
      </c>
      <c r="B37" s="261" t="s">
        <v>19</v>
      </c>
      <c r="C37" s="261" t="s">
        <v>9</v>
      </c>
      <c r="D37" s="261">
        <v>7.0</v>
      </c>
      <c r="E37" s="261" t="s">
        <v>10</v>
      </c>
      <c r="F37" s="261" t="s">
        <v>11</v>
      </c>
      <c r="G37" s="261" t="s">
        <v>27</v>
      </c>
      <c r="H37" s="261">
        <v>2.0</v>
      </c>
      <c r="I37" s="262" t="s">
        <v>40</v>
      </c>
    </row>
    <row r="38">
      <c r="A38" s="260">
        <v>45697.0</v>
      </c>
      <c r="B38" s="261" t="s">
        <v>19</v>
      </c>
      <c r="C38" s="261" t="s">
        <v>9</v>
      </c>
      <c r="D38" s="261">
        <v>7.0</v>
      </c>
      <c r="E38" s="261" t="s">
        <v>10</v>
      </c>
      <c r="F38" s="261" t="s">
        <v>11</v>
      </c>
      <c r="G38" s="261" t="s">
        <v>27</v>
      </c>
      <c r="H38" s="261">
        <v>2.0</v>
      </c>
      <c r="I38" s="262" t="s">
        <v>13</v>
      </c>
    </row>
    <row r="39">
      <c r="A39" s="260">
        <v>45698.0</v>
      </c>
      <c r="B39" s="261" t="s">
        <v>8</v>
      </c>
      <c r="C39" s="261" t="s">
        <v>9</v>
      </c>
      <c r="D39" s="261">
        <v>14.0</v>
      </c>
      <c r="E39" s="261" t="s">
        <v>10</v>
      </c>
      <c r="F39" s="261" t="s">
        <v>11</v>
      </c>
      <c r="G39" s="261" t="s">
        <v>27</v>
      </c>
      <c r="H39" s="261">
        <v>2.0</v>
      </c>
      <c r="I39" s="262" t="s">
        <v>39</v>
      </c>
    </row>
    <row r="40">
      <c r="A40" s="260">
        <v>45699.0</v>
      </c>
      <c r="B40" s="261" t="s">
        <v>8</v>
      </c>
      <c r="C40" s="261" t="s">
        <v>21</v>
      </c>
      <c r="D40" s="261">
        <v>14.0</v>
      </c>
      <c r="E40" s="261" t="s">
        <v>10</v>
      </c>
      <c r="F40" s="261" t="s">
        <v>15</v>
      </c>
      <c r="G40" s="261" t="s">
        <v>27</v>
      </c>
      <c r="H40" s="261">
        <v>2.0</v>
      </c>
      <c r="I40" s="262" t="s">
        <v>16</v>
      </c>
    </row>
    <row r="41">
      <c r="A41" s="260">
        <v>45700.0</v>
      </c>
      <c r="B41" s="261" t="s">
        <v>17</v>
      </c>
      <c r="C41" s="261" t="s">
        <v>9</v>
      </c>
      <c r="D41" s="261">
        <v>10.0</v>
      </c>
      <c r="E41" s="261" t="s">
        <v>10</v>
      </c>
      <c r="F41" s="261" t="s">
        <v>11</v>
      </c>
      <c r="G41" s="261" t="s">
        <v>27</v>
      </c>
      <c r="H41" s="261">
        <v>2.0</v>
      </c>
      <c r="I41" s="262" t="s">
        <v>18</v>
      </c>
    </row>
    <row r="42">
      <c r="A42" s="260">
        <v>45701.0</v>
      </c>
      <c r="B42" s="261" t="s">
        <v>17</v>
      </c>
      <c r="C42" s="261" t="s">
        <v>9</v>
      </c>
      <c r="D42" s="261">
        <v>12.0</v>
      </c>
      <c r="E42" s="261" t="s">
        <v>10</v>
      </c>
      <c r="F42" s="261" t="s">
        <v>15</v>
      </c>
      <c r="G42" s="261" t="s">
        <v>27</v>
      </c>
      <c r="H42" s="261">
        <v>2.0</v>
      </c>
      <c r="I42" s="262" t="s">
        <v>33</v>
      </c>
    </row>
    <row r="43">
      <c r="A43" s="260">
        <v>45702.0</v>
      </c>
      <c r="B43" s="261" t="s">
        <v>8</v>
      </c>
      <c r="C43" s="261" t="s">
        <v>9</v>
      </c>
      <c r="D43" s="261">
        <v>14.0</v>
      </c>
      <c r="E43" s="261" t="s">
        <v>10</v>
      </c>
      <c r="F43" s="261" t="s">
        <v>11</v>
      </c>
      <c r="G43" s="261" t="s">
        <v>27</v>
      </c>
      <c r="H43" s="261">
        <v>2.0</v>
      </c>
      <c r="I43" s="262" t="s">
        <v>20</v>
      </c>
    </row>
    <row r="44">
      <c r="A44" s="260">
        <v>45703.0</v>
      </c>
      <c r="B44" s="261" t="s">
        <v>8</v>
      </c>
      <c r="C44" s="261" t="s">
        <v>21</v>
      </c>
      <c r="D44" s="261">
        <v>15.0</v>
      </c>
      <c r="E44" s="261" t="s">
        <v>10</v>
      </c>
      <c r="F44" s="261" t="s">
        <v>11</v>
      </c>
      <c r="G44" s="261" t="s">
        <v>27</v>
      </c>
      <c r="H44" s="261">
        <v>2.0</v>
      </c>
      <c r="I44" s="262" t="s">
        <v>40</v>
      </c>
    </row>
    <row r="45">
      <c r="A45" s="260">
        <v>45704.0</v>
      </c>
      <c r="B45" s="261" t="s">
        <v>23</v>
      </c>
      <c r="C45" s="261" t="s">
        <v>9</v>
      </c>
      <c r="D45" s="261">
        <v>21.0</v>
      </c>
      <c r="E45" s="261" t="s">
        <v>10</v>
      </c>
      <c r="F45" s="261" t="s">
        <v>15</v>
      </c>
      <c r="G45" s="261" t="s">
        <v>27</v>
      </c>
      <c r="H45" s="261">
        <v>2.0</v>
      </c>
      <c r="I45" s="262" t="s">
        <v>13</v>
      </c>
    </row>
    <row r="46">
      <c r="A46" s="260">
        <v>45705.0</v>
      </c>
      <c r="B46" s="261" t="s">
        <v>23</v>
      </c>
      <c r="C46" s="261" t="s">
        <v>9</v>
      </c>
      <c r="D46" s="261">
        <v>19.0</v>
      </c>
      <c r="E46" s="261" t="s">
        <v>10</v>
      </c>
      <c r="F46" s="261" t="s">
        <v>11</v>
      </c>
      <c r="G46" s="261" t="s">
        <v>27</v>
      </c>
      <c r="H46" s="261">
        <v>2.0</v>
      </c>
      <c r="I46" s="262" t="s">
        <v>39</v>
      </c>
    </row>
    <row r="47">
      <c r="A47" s="260">
        <v>45706.0</v>
      </c>
      <c r="B47" s="261" t="s">
        <v>14</v>
      </c>
      <c r="C47" s="261" t="s">
        <v>9</v>
      </c>
      <c r="D47" s="261">
        <v>23.0</v>
      </c>
      <c r="E47" s="261" t="s">
        <v>10</v>
      </c>
      <c r="F47" s="261" t="s">
        <v>11</v>
      </c>
      <c r="G47" s="261" t="s">
        <v>27</v>
      </c>
      <c r="H47" s="261">
        <v>2.0</v>
      </c>
      <c r="I47" s="262" t="s">
        <v>16</v>
      </c>
    </row>
    <row r="48">
      <c r="A48" s="260">
        <v>45707.0</v>
      </c>
      <c r="B48" s="261" t="s">
        <v>8</v>
      </c>
      <c r="C48" s="261" t="s">
        <v>9</v>
      </c>
      <c r="D48" s="261">
        <v>15.0</v>
      </c>
      <c r="E48" s="261" t="s">
        <v>10</v>
      </c>
      <c r="F48" s="261" t="s">
        <v>11</v>
      </c>
      <c r="G48" s="261" t="s">
        <v>27</v>
      </c>
      <c r="H48" s="261">
        <v>2.0</v>
      </c>
      <c r="I48" s="262" t="s">
        <v>18</v>
      </c>
    </row>
    <row r="49">
      <c r="A49" s="260">
        <v>45708.0</v>
      </c>
      <c r="B49" s="261" t="s">
        <v>14</v>
      </c>
      <c r="C49" s="261" t="s">
        <v>9</v>
      </c>
      <c r="D49" s="261">
        <v>22.0</v>
      </c>
      <c r="E49" s="261" t="s">
        <v>10</v>
      </c>
      <c r="F49" s="261" t="s">
        <v>15</v>
      </c>
      <c r="G49" s="261" t="s">
        <v>27</v>
      </c>
      <c r="H49" s="261">
        <v>2.0</v>
      </c>
      <c r="I49" s="262" t="s">
        <v>33</v>
      </c>
    </row>
    <row r="50">
      <c r="A50" s="260">
        <v>45709.0</v>
      </c>
      <c r="B50" s="261" t="s">
        <v>17</v>
      </c>
      <c r="C50" s="261" t="s">
        <v>9</v>
      </c>
      <c r="D50" s="261">
        <v>11.0</v>
      </c>
      <c r="E50" s="261" t="s">
        <v>10</v>
      </c>
      <c r="F50" s="261" t="s">
        <v>15</v>
      </c>
      <c r="G50" s="261" t="s">
        <v>27</v>
      </c>
      <c r="H50" s="261">
        <v>2.0</v>
      </c>
      <c r="I50" s="262" t="s">
        <v>20</v>
      </c>
    </row>
    <row r="51">
      <c r="A51" s="260">
        <v>45710.0</v>
      </c>
      <c r="B51" s="261" t="s">
        <v>8</v>
      </c>
      <c r="C51" s="261" t="s">
        <v>9</v>
      </c>
      <c r="D51" s="261">
        <v>14.0</v>
      </c>
      <c r="E51" s="261" t="s">
        <v>10</v>
      </c>
      <c r="F51" s="261" t="s">
        <v>11</v>
      </c>
      <c r="G51" s="261" t="s">
        <v>27</v>
      </c>
      <c r="H51" s="261">
        <v>2.0</v>
      </c>
      <c r="I51" s="262" t="s">
        <v>40</v>
      </c>
    </row>
    <row r="52">
      <c r="A52" s="260">
        <v>45711.0</v>
      </c>
      <c r="B52" s="261" t="s">
        <v>8</v>
      </c>
      <c r="C52" s="261" t="s">
        <v>24</v>
      </c>
      <c r="D52" s="261">
        <v>14.0</v>
      </c>
      <c r="E52" s="261" t="s">
        <v>10</v>
      </c>
      <c r="F52" s="261" t="s">
        <v>11</v>
      </c>
      <c r="G52" s="261" t="s">
        <v>27</v>
      </c>
      <c r="H52" s="261">
        <v>2.0</v>
      </c>
      <c r="I52" s="262" t="s">
        <v>13</v>
      </c>
    </row>
    <row r="53">
      <c r="A53" s="260">
        <v>45712.0</v>
      </c>
      <c r="B53" s="261" t="s">
        <v>19</v>
      </c>
      <c r="C53" s="261" t="s">
        <v>9</v>
      </c>
      <c r="D53" s="261">
        <v>7.0</v>
      </c>
      <c r="E53" s="261" t="s">
        <v>10</v>
      </c>
      <c r="F53" s="261" t="s">
        <v>11</v>
      </c>
      <c r="G53" s="261" t="s">
        <v>27</v>
      </c>
      <c r="H53" s="261">
        <v>2.0</v>
      </c>
      <c r="I53" s="262" t="s">
        <v>39</v>
      </c>
    </row>
    <row r="54">
      <c r="A54" s="260">
        <v>45713.0</v>
      </c>
      <c r="B54" s="261" t="s">
        <v>19</v>
      </c>
      <c r="C54" s="261" t="s">
        <v>9</v>
      </c>
      <c r="D54" s="261">
        <v>7.0</v>
      </c>
      <c r="E54" s="261" t="s">
        <v>10</v>
      </c>
      <c r="F54" s="261" t="s">
        <v>11</v>
      </c>
      <c r="G54" s="261" t="s">
        <v>27</v>
      </c>
      <c r="H54" s="261">
        <v>2.0</v>
      </c>
      <c r="I54" s="262" t="s">
        <v>16</v>
      </c>
    </row>
    <row r="55">
      <c r="A55" s="260">
        <v>45714.0</v>
      </c>
      <c r="B55" s="261" t="s">
        <v>26</v>
      </c>
      <c r="C55" s="261" t="s">
        <v>21</v>
      </c>
      <c r="D55" s="261">
        <v>25.0</v>
      </c>
      <c r="E55" s="261" t="s">
        <v>10</v>
      </c>
      <c r="F55" s="261" t="s">
        <v>15</v>
      </c>
      <c r="G55" s="261" t="s">
        <v>27</v>
      </c>
      <c r="H55" s="261">
        <v>2.0</v>
      </c>
      <c r="I55" s="262" t="s">
        <v>18</v>
      </c>
    </row>
    <row r="56">
      <c r="A56" s="260">
        <v>45715.0</v>
      </c>
      <c r="B56" s="261" t="s">
        <v>17</v>
      </c>
      <c r="C56" s="261" t="s">
        <v>24</v>
      </c>
      <c r="D56" s="261">
        <v>10.0</v>
      </c>
      <c r="E56" s="261" t="s">
        <v>10</v>
      </c>
      <c r="F56" s="261" t="s">
        <v>15</v>
      </c>
      <c r="G56" s="261" t="s">
        <v>27</v>
      </c>
      <c r="H56" s="261">
        <v>2.0</v>
      </c>
      <c r="I56" s="262" t="s">
        <v>33</v>
      </c>
    </row>
    <row r="57">
      <c r="A57" s="260">
        <v>45716.0</v>
      </c>
      <c r="B57" s="261" t="s">
        <v>8</v>
      </c>
      <c r="C57" s="261" t="s">
        <v>9</v>
      </c>
      <c r="D57" s="261">
        <v>14.0</v>
      </c>
      <c r="E57" s="261" t="s">
        <v>10</v>
      </c>
      <c r="F57" s="261" t="s">
        <v>11</v>
      </c>
      <c r="G57" s="261" t="s">
        <v>27</v>
      </c>
      <c r="H57" s="261">
        <v>2.0</v>
      </c>
      <c r="I57" s="262" t="s">
        <v>20</v>
      </c>
    </row>
    <row r="58">
      <c r="A58" s="260">
        <v>45717.0</v>
      </c>
      <c r="B58" s="261" t="s">
        <v>8</v>
      </c>
      <c r="C58" s="261" t="s">
        <v>9</v>
      </c>
      <c r="D58" s="261">
        <v>14.0</v>
      </c>
      <c r="E58" s="261" t="s">
        <v>10</v>
      </c>
      <c r="F58" s="261" t="s">
        <v>11</v>
      </c>
      <c r="G58" s="261" t="s">
        <v>28</v>
      </c>
      <c r="H58" s="261">
        <v>3.0</v>
      </c>
      <c r="I58" s="262" t="s">
        <v>40</v>
      </c>
    </row>
    <row r="59">
      <c r="A59" s="260">
        <v>45718.0</v>
      </c>
      <c r="B59" s="261" t="s">
        <v>17</v>
      </c>
      <c r="C59" s="261" t="s">
        <v>9</v>
      </c>
      <c r="D59" s="261">
        <v>9.0</v>
      </c>
      <c r="E59" s="261" t="s">
        <v>10</v>
      </c>
      <c r="F59" s="261" t="s">
        <v>11</v>
      </c>
      <c r="G59" s="261" t="s">
        <v>28</v>
      </c>
      <c r="H59" s="261">
        <v>3.0</v>
      </c>
      <c r="I59" s="262" t="s">
        <v>13</v>
      </c>
    </row>
    <row r="60">
      <c r="A60" s="260">
        <v>45719.0</v>
      </c>
      <c r="B60" s="261" t="s">
        <v>14</v>
      </c>
      <c r="C60" s="261" t="s">
        <v>9</v>
      </c>
      <c r="D60" s="261">
        <v>23.0</v>
      </c>
      <c r="E60" s="261" t="s">
        <v>10</v>
      </c>
      <c r="F60" s="261" t="s">
        <v>11</v>
      </c>
      <c r="G60" s="261" t="s">
        <v>28</v>
      </c>
      <c r="H60" s="261">
        <v>3.0</v>
      </c>
      <c r="I60" s="262" t="s">
        <v>39</v>
      </c>
    </row>
    <row r="61">
      <c r="A61" s="260">
        <v>45720.0</v>
      </c>
      <c r="B61" s="261" t="s">
        <v>8</v>
      </c>
      <c r="C61" s="261" t="s">
        <v>9</v>
      </c>
      <c r="D61" s="261">
        <v>14.0</v>
      </c>
      <c r="E61" s="261" t="s">
        <v>10</v>
      </c>
      <c r="F61" s="261" t="s">
        <v>15</v>
      </c>
      <c r="G61" s="261" t="s">
        <v>28</v>
      </c>
      <c r="H61" s="261">
        <v>3.0</v>
      </c>
      <c r="I61" s="262" t="s">
        <v>16</v>
      </c>
    </row>
    <row r="62">
      <c r="A62" s="260">
        <v>45721.0</v>
      </c>
      <c r="B62" s="261" t="s">
        <v>14</v>
      </c>
      <c r="C62" s="261" t="s">
        <v>9</v>
      </c>
      <c r="D62" s="261">
        <v>22.0</v>
      </c>
      <c r="E62" s="261" t="s">
        <v>10</v>
      </c>
      <c r="F62" s="261" t="s">
        <v>11</v>
      </c>
      <c r="G62" s="261" t="s">
        <v>28</v>
      </c>
      <c r="H62" s="261">
        <v>3.0</v>
      </c>
      <c r="I62" s="262" t="s">
        <v>18</v>
      </c>
    </row>
    <row r="63">
      <c r="A63" s="260">
        <v>45722.0</v>
      </c>
      <c r="B63" s="261" t="s">
        <v>8</v>
      </c>
      <c r="C63" s="261" t="s">
        <v>9</v>
      </c>
      <c r="D63" s="261">
        <v>14.0</v>
      </c>
      <c r="E63" s="261" t="s">
        <v>10</v>
      </c>
      <c r="F63" s="261" t="s">
        <v>15</v>
      </c>
      <c r="G63" s="261" t="s">
        <v>28</v>
      </c>
      <c r="H63" s="261">
        <v>3.0</v>
      </c>
      <c r="I63" s="262" t="s">
        <v>33</v>
      </c>
    </row>
    <row r="64">
      <c r="A64" s="260">
        <v>45723.0</v>
      </c>
      <c r="B64" s="261" t="s">
        <v>8</v>
      </c>
      <c r="C64" s="261" t="s">
        <v>21</v>
      </c>
      <c r="D64" s="261">
        <v>17.0</v>
      </c>
      <c r="E64" s="261" t="s">
        <v>22</v>
      </c>
      <c r="F64" s="261" t="s">
        <v>11</v>
      </c>
      <c r="G64" s="261" t="s">
        <v>28</v>
      </c>
      <c r="H64" s="261">
        <v>3.0</v>
      </c>
      <c r="I64" s="262" t="s">
        <v>20</v>
      </c>
    </row>
    <row r="65">
      <c r="A65" s="260">
        <v>45724.0</v>
      </c>
      <c r="B65" s="261" t="s">
        <v>19</v>
      </c>
      <c r="C65" s="261" t="s">
        <v>9</v>
      </c>
      <c r="D65" s="261">
        <v>7.0</v>
      </c>
      <c r="E65" s="261" t="s">
        <v>10</v>
      </c>
      <c r="F65" s="261" t="s">
        <v>11</v>
      </c>
      <c r="G65" s="261" t="s">
        <v>28</v>
      </c>
      <c r="H65" s="261">
        <v>3.0</v>
      </c>
      <c r="I65" s="262" t="s">
        <v>40</v>
      </c>
    </row>
    <row r="66">
      <c r="A66" s="260">
        <v>45725.0</v>
      </c>
      <c r="B66" s="261" t="s">
        <v>19</v>
      </c>
      <c r="C66" s="261" t="s">
        <v>9</v>
      </c>
      <c r="D66" s="261">
        <v>7.0</v>
      </c>
      <c r="E66" s="261" t="s">
        <v>10</v>
      </c>
      <c r="F66" s="261" t="s">
        <v>15</v>
      </c>
      <c r="G66" s="261" t="s">
        <v>28</v>
      </c>
      <c r="H66" s="261">
        <v>3.0</v>
      </c>
      <c r="I66" s="262" t="s">
        <v>13</v>
      </c>
    </row>
    <row r="67">
      <c r="A67" s="260">
        <v>45726.0</v>
      </c>
      <c r="B67" s="261" t="s">
        <v>17</v>
      </c>
      <c r="C67" s="261" t="s">
        <v>9</v>
      </c>
      <c r="D67" s="261">
        <v>11.0</v>
      </c>
      <c r="E67" s="261" t="s">
        <v>10</v>
      </c>
      <c r="F67" s="261" t="s">
        <v>11</v>
      </c>
      <c r="G67" s="261" t="s">
        <v>28</v>
      </c>
      <c r="H67" s="261">
        <v>3.0</v>
      </c>
      <c r="I67" s="262" t="s">
        <v>39</v>
      </c>
    </row>
    <row r="68">
      <c r="A68" s="260">
        <v>45727.0</v>
      </c>
      <c r="B68" s="261" t="s">
        <v>17</v>
      </c>
      <c r="C68" s="261" t="s">
        <v>24</v>
      </c>
      <c r="D68" s="261">
        <v>10.0</v>
      </c>
      <c r="E68" s="261" t="s">
        <v>10</v>
      </c>
      <c r="F68" s="261" t="s">
        <v>11</v>
      </c>
      <c r="G68" s="261" t="s">
        <v>28</v>
      </c>
      <c r="H68" s="261">
        <v>3.0</v>
      </c>
      <c r="I68" s="262" t="s">
        <v>16</v>
      </c>
    </row>
    <row r="69">
      <c r="A69" s="260">
        <v>45728.0</v>
      </c>
      <c r="B69" s="261" t="s">
        <v>8</v>
      </c>
      <c r="C69" s="261" t="s">
        <v>9</v>
      </c>
      <c r="D69" s="261">
        <v>14.0</v>
      </c>
      <c r="E69" s="261" t="s">
        <v>10</v>
      </c>
      <c r="F69" s="261" t="s">
        <v>11</v>
      </c>
      <c r="G69" s="261" t="s">
        <v>28</v>
      </c>
      <c r="H69" s="261">
        <v>3.0</v>
      </c>
      <c r="I69" s="262" t="s">
        <v>18</v>
      </c>
    </row>
    <row r="70">
      <c r="A70" s="260">
        <v>45729.0</v>
      </c>
      <c r="B70" s="261" t="s">
        <v>26</v>
      </c>
      <c r="C70" s="261" t="s">
        <v>9</v>
      </c>
      <c r="D70" s="261">
        <v>25.0</v>
      </c>
      <c r="E70" s="261" t="s">
        <v>10</v>
      </c>
      <c r="F70" s="261" t="s">
        <v>15</v>
      </c>
      <c r="G70" s="261" t="s">
        <v>28</v>
      </c>
      <c r="H70" s="261">
        <v>3.0</v>
      </c>
      <c r="I70" s="262" t="s">
        <v>33</v>
      </c>
    </row>
    <row r="71">
      <c r="A71" s="260">
        <v>45730.0</v>
      </c>
      <c r="B71" s="261" t="s">
        <v>25</v>
      </c>
      <c r="C71" s="261" t="s">
        <v>9</v>
      </c>
      <c r="D71" s="261">
        <v>35.0</v>
      </c>
      <c r="E71" s="261" t="s">
        <v>22</v>
      </c>
      <c r="F71" s="261" t="s">
        <v>15</v>
      </c>
      <c r="G71" s="261" t="s">
        <v>28</v>
      </c>
      <c r="H71" s="261">
        <v>3.0</v>
      </c>
      <c r="I71" s="262" t="s">
        <v>20</v>
      </c>
    </row>
    <row r="72">
      <c r="A72" s="260">
        <v>45731.0</v>
      </c>
      <c r="B72" s="261" t="s">
        <v>8</v>
      </c>
      <c r="C72" s="261" t="s">
        <v>21</v>
      </c>
      <c r="D72" s="261">
        <v>14.0</v>
      </c>
      <c r="E72" s="261" t="s">
        <v>10</v>
      </c>
      <c r="F72" s="261" t="s">
        <v>11</v>
      </c>
      <c r="G72" s="261" t="s">
        <v>28</v>
      </c>
      <c r="H72" s="261">
        <v>3.0</v>
      </c>
      <c r="I72" s="262" t="s">
        <v>40</v>
      </c>
    </row>
    <row r="73">
      <c r="A73" s="260">
        <v>45732.0</v>
      </c>
      <c r="B73" s="261" t="s">
        <v>8</v>
      </c>
      <c r="C73" s="261" t="s">
        <v>9</v>
      </c>
      <c r="D73" s="261">
        <v>14.0</v>
      </c>
      <c r="E73" s="261" t="s">
        <v>10</v>
      </c>
      <c r="F73" s="261" t="s">
        <v>11</v>
      </c>
      <c r="G73" s="261" t="s">
        <v>28</v>
      </c>
      <c r="H73" s="261">
        <v>3.0</v>
      </c>
      <c r="I73" s="262" t="s">
        <v>13</v>
      </c>
    </row>
    <row r="74">
      <c r="A74" s="260">
        <v>45733.0</v>
      </c>
      <c r="B74" s="261" t="s">
        <v>8</v>
      </c>
      <c r="C74" s="261" t="s">
        <v>24</v>
      </c>
      <c r="D74" s="261">
        <v>16.0</v>
      </c>
      <c r="E74" s="261" t="s">
        <v>22</v>
      </c>
      <c r="F74" s="261" t="s">
        <v>11</v>
      </c>
      <c r="G74" s="261" t="s">
        <v>28</v>
      </c>
      <c r="H74" s="261">
        <v>3.0</v>
      </c>
      <c r="I74" s="262" t="s">
        <v>39</v>
      </c>
    </row>
    <row r="75">
      <c r="A75" s="260">
        <v>45734.0</v>
      </c>
      <c r="B75" s="261" t="s">
        <v>23</v>
      </c>
      <c r="C75" s="261" t="s">
        <v>9</v>
      </c>
      <c r="D75" s="261">
        <v>19.0</v>
      </c>
      <c r="E75" s="261" t="s">
        <v>10</v>
      </c>
      <c r="F75" s="261" t="s">
        <v>15</v>
      </c>
      <c r="G75" s="261" t="s">
        <v>28</v>
      </c>
      <c r="H75" s="261">
        <v>3.0</v>
      </c>
      <c r="I75" s="262" t="s">
        <v>16</v>
      </c>
    </row>
    <row r="76">
      <c r="A76" s="260">
        <v>45735.0</v>
      </c>
      <c r="B76" s="261" t="s">
        <v>8</v>
      </c>
      <c r="C76" s="261" t="s">
        <v>9</v>
      </c>
      <c r="D76" s="261">
        <v>14.0</v>
      </c>
      <c r="E76" s="261" t="s">
        <v>10</v>
      </c>
      <c r="F76" s="261" t="s">
        <v>11</v>
      </c>
      <c r="G76" s="261" t="s">
        <v>28</v>
      </c>
      <c r="H76" s="261">
        <v>3.0</v>
      </c>
      <c r="I76" s="262" t="s">
        <v>18</v>
      </c>
    </row>
    <row r="77">
      <c r="A77" s="260">
        <v>45736.0</v>
      </c>
      <c r="B77" s="261" t="s">
        <v>23</v>
      </c>
      <c r="C77" s="261" t="s">
        <v>9</v>
      </c>
      <c r="D77" s="261">
        <v>18.0</v>
      </c>
      <c r="E77" s="261" t="s">
        <v>10</v>
      </c>
      <c r="F77" s="261" t="s">
        <v>15</v>
      </c>
      <c r="G77" s="261" t="s">
        <v>28</v>
      </c>
      <c r="H77" s="261">
        <v>3.0</v>
      </c>
      <c r="I77" s="262" t="s">
        <v>33</v>
      </c>
    </row>
    <row r="78">
      <c r="A78" s="260">
        <v>45737.0</v>
      </c>
      <c r="B78" s="261" t="s">
        <v>17</v>
      </c>
      <c r="C78" s="261" t="s">
        <v>9</v>
      </c>
      <c r="D78" s="261">
        <v>8.0</v>
      </c>
      <c r="E78" s="261" t="s">
        <v>10</v>
      </c>
      <c r="F78" s="261" t="s">
        <v>11</v>
      </c>
      <c r="G78" s="261" t="s">
        <v>28</v>
      </c>
      <c r="H78" s="261">
        <v>3.0</v>
      </c>
      <c r="I78" s="262" t="s">
        <v>20</v>
      </c>
    </row>
    <row r="79">
      <c r="A79" s="260">
        <v>45738.0</v>
      </c>
      <c r="B79" s="261" t="s">
        <v>17</v>
      </c>
      <c r="C79" s="261" t="s">
        <v>9</v>
      </c>
      <c r="D79" s="261">
        <v>9.0</v>
      </c>
      <c r="E79" s="261" t="s">
        <v>10</v>
      </c>
      <c r="F79" s="261" t="s">
        <v>11</v>
      </c>
      <c r="G79" s="261" t="s">
        <v>28</v>
      </c>
      <c r="H79" s="261">
        <v>3.0</v>
      </c>
      <c r="I79" s="262" t="s">
        <v>40</v>
      </c>
    </row>
    <row r="80">
      <c r="A80" s="260">
        <v>45739.0</v>
      </c>
      <c r="B80" s="261" t="s">
        <v>14</v>
      </c>
      <c r="C80" s="261" t="s">
        <v>9</v>
      </c>
      <c r="D80" s="261">
        <v>21.0</v>
      </c>
      <c r="E80" s="261" t="s">
        <v>10</v>
      </c>
      <c r="F80" s="261" t="s">
        <v>15</v>
      </c>
      <c r="G80" s="261" t="s">
        <v>28</v>
      </c>
      <c r="H80" s="261">
        <v>3.0</v>
      </c>
      <c r="I80" s="262" t="s">
        <v>13</v>
      </c>
    </row>
    <row r="81">
      <c r="A81" s="260">
        <v>45740.0</v>
      </c>
      <c r="B81" s="261" t="s">
        <v>14</v>
      </c>
      <c r="C81" s="261" t="s">
        <v>9</v>
      </c>
      <c r="D81" s="261">
        <v>21.0</v>
      </c>
      <c r="E81" s="261" t="s">
        <v>10</v>
      </c>
      <c r="F81" s="261" t="s">
        <v>11</v>
      </c>
      <c r="G81" s="261" t="s">
        <v>28</v>
      </c>
      <c r="H81" s="261">
        <v>3.0</v>
      </c>
      <c r="I81" s="262" t="s">
        <v>39</v>
      </c>
    </row>
    <row r="82">
      <c r="A82" s="260">
        <v>45741.0</v>
      </c>
      <c r="B82" s="261" t="s">
        <v>8</v>
      </c>
      <c r="C82" s="261" t="s">
        <v>24</v>
      </c>
      <c r="D82" s="261">
        <v>14.0</v>
      </c>
      <c r="E82" s="261" t="s">
        <v>10</v>
      </c>
      <c r="F82" s="261" t="s">
        <v>11</v>
      </c>
      <c r="G82" s="261" t="s">
        <v>28</v>
      </c>
      <c r="H82" s="261">
        <v>3.0</v>
      </c>
      <c r="I82" s="262" t="s">
        <v>16</v>
      </c>
    </row>
    <row r="83">
      <c r="A83" s="260">
        <v>45742.0</v>
      </c>
      <c r="B83" s="261" t="s">
        <v>19</v>
      </c>
      <c r="C83" s="261" t="s">
        <v>9</v>
      </c>
      <c r="D83" s="261">
        <v>7.0</v>
      </c>
      <c r="E83" s="261" t="s">
        <v>10</v>
      </c>
      <c r="F83" s="261" t="s">
        <v>11</v>
      </c>
      <c r="G83" s="261" t="s">
        <v>28</v>
      </c>
      <c r="H83" s="261">
        <v>3.0</v>
      </c>
      <c r="I83" s="262" t="s">
        <v>18</v>
      </c>
    </row>
    <row r="84">
      <c r="A84" s="260">
        <v>45743.0</v>
      </c>
      <c r="B84" s="261" t="s">
        <v>8</v>
      </c>
      <c r="C84" s="261" t="s">
        <v>9</v>
      </c>
      <c r="D84" s="261">
        <v>14.0</v>
      </c>
      <c r="E84" s="261" t="s">
        <v>10</v>
      </c>
      <c r="F84" s="261" t="s">
        <v>15</v>
      </c>
      <c r="G84" s="261" t="s">
        <v>28</v>
      </c>
      <c r="H84" s="261">
        <v>3.0</v>
      </c>
      <c r="I84" s="262" t="s">
        <v>33</v>
      </c>
    </row>
    <row r="85">
      <c r="A85" s="260">
        <v>45744.0</v>
      </c>
      <c r="B85" s="261" t="s">
        <v>8</v>
      </c>
      <c r="C85" s="261" t="s">
        <v>9</v>
      </c>
      <c r="D85" s="261">
        <v>15.0</v>
      </c>
      <c r="E85" s="261" t="s">
        <v>10</v>
      </c>
      <c r="F85" s="261" t="s">
        <v>15</v>
      </c>
      <c r="G85" s="261" t="s">
        <v>28</v>
      </c>
      <c r="H85" s="261">
        <v>3.0</v>
      </c>
      <c r="I85" s="262" t="s">
        <v>20</v>
      </c>
    </row>
    <row r="86">
      <c r="A86" s="260">
        <v>45745.0</v>
      </c>
      <c r="B86" s="261" t="s">
        <v>19</v>
      </c>
      <c r="C86" s="261" t="s">
        <v>9</v>
      </c>
      <c r="D86" s="261">
        <v>7.0</v>
      </c>
      <c r="E86" s="261" t="s">
        <v>10</v>
      </c>
      <c r="F86" s="261" t="s">
        <v>11</v>
      </c>
      <c r="G86" s="261" t="s">
        <v>28</v>
      </c>
      <c r="H86" s="261">
        <v>3.0</v>
      </c>
      <c r="I86" s="262" t="s">
        <v>40</v>
      </c>
    </row>
    <row r="87">
      <c r="A87" s="260">
        <v>45746.0</v>
      </c>
      <c r="B87" s="261" t="s">
        <v>26</v>
      </c>
      <c r="C87" s="261" t="s">
        <v>9</v>
      </c>
      <c r="D87" s="261">
        <v>24.0</v>
      </c>
      <c r="E87" s="261" t="s">
        <v>10</v>
      </c>
      <c r="F87" s="261" t="s">
        <v>11</v>
      </c>
      <c r="G87" s="261" t="s">
        <v>28</v>
      </c>
      <c r="H87" s="261">
        <v>3.0</v>
      </c>
      <c r="I87" s="262" t="s">
        <v>13</v>
      </c>
    </row>
    <row r="88">
      <c r="A88" s="260">
        <v>45747.0</v>
      </c>
      <c r="B88" s="261" t="s">
        <v>8</v>
      </c>
      <c r="C88" s="261" t="s">
        <v>9</v>
      </c>
      <c r="D88" s="261">
        <v>14.0</v>
      </c>
      <c r="E88" s="261" t="s">
        <v>10</v>
      </c>
      <c r="F88" s="261" t="s">
        <v>11</v>
      </c>
      <c r="G88" s="261" t="s">
        <v>28</v>
      </c>
      <c r="H88" s="261">
        <v>3.0</v>
      </c>
      <c r="I88" s="262" t="s">
        <v>39</v>
      </c>
    </row>
    <row r="89">
      <c r="A89" s="260">
        <v>45748.0</v>
      </c>
      <c r="B89" s="261" t="s">
        <v>8</v>
      </c>
      <c r="C89" s="261" t="s">
        <v>9</v>
      </c>
      <c r="D89" s="261">
        <v>14.0</v>
      </c>
      <c r="E89" s="261" t="s">
        <v>10</v>
      </c>
      <c r="F89" s="261" t="s">
        <v>11</v>
      </c>
      <c r="G89" s="261" t="s">
        <v>29</v>
      </c>
      <c r="H89" s="261">
        <v>4.0</v>
      </c>
      <c r="I89" s="262" t="s">
        <v>16</v>
      </c>
    </row>
    <row r="90">
      <c r="A90" s="260">
        <v>45749.0</v>
      </c>
      <c r="B90" s="261" t="s">
        <v>17</v>
      </c>
      <c r="C90" s="261" t="s">
        <v>9</v>
      </c>
      <c r="D90" s="261">
        <v>10.0</v>
      </c>
      <c r="E90" s="261" t="s">
        <v>10</v>
      </c>
      <c r="F90" s="261" t="s">
        <v>11</v>
      </c>
      <c r="G90" s="261" t="s">
        <v>29</v>
      </c>
      <c r="H90" s="261">
        <v>4.0</v>
      </c>
      <c r="I90" s="262" t="s">
        <v>18</v>
      </c>
    </row>
    <row r="91">
      <c r="A91" s="260">
        <v>45750.0</v>
      </c>
      <c r="B91" s="261" t="s">
        <v>17</v>
      </c>
      <c r="C91" s="261" t="s">
        <v>24</v>
      </c>
      <c r="D91" s="261">
        <v>10.0</v>
      </c>
      <c r="E91" s="261" t="s">
        <v>10</v>
      </c>
      <c r="F91" s="261" t="s">
        <v>15</v>
      </c>
      <c r="G91" s="261" t="s">
        <v>29</v>
      </c>
      <c r="H91" s="261">
        <v>4.0</v>
      </c>
      <c r="I91" s="262" t="s">
        <v>33</v>
      </c>
    </row>
    <row r="92">
      <c r="A92" s="260">
        <v>45751.0</v>
      </c>
      <c r="B92" s="261" t="s">
        <v>8</v>
      </c>
      <c r="C92" s="261" t="s">
        <v>21</v>
      </c>
      <c r="D92" s="261">
        <v>14.0</v>
      </c>
      <c r="E92" s="261" t="s">
        <v>10</v>
      </c>
      <c r="F92" s="261" t="s">
        <v>15</v>
      </c>
      <c r="G92" s="261" t="s">
        <v>29</v>
      </c>
      <c r="H92" s="261">
        <v>4.0</v>
      </c>
      <c r="I92" s="262" t="s">
        <v>20</v>
      </c>
    </row>
    <row r="93">
      <c r="A93" s="260">
        <v>45752.0</v>
      </c>
      <c r="B93" s="261" t="s">
        <v>14</v>
      </c>
      <c r="C93" s="261" t="s">
        <v>9</v>
      </c>
      <c r="D93" s="261">
        <v>22.0</v>
      </c>
      <c r="E93" s="261" t="s">
        <v>10</v>
      </c>
      <c r="F93" s="261" t="s">
        <v>11</v>
      </c>
      <c r="G93" s="261" t="s">
        <v>29</v>
      </c>
      <c r="H93" s="261">
        <v>4.0</v>
      </c>
      <c r="I93" s="262" t="s">
        <v>40</v>
      </c>
    </row>
    <row r="94">
      <c r="A94" s="260">
        <v>45753.0</v>
      </c>
      <c r="B94" s="261" t="s">
        <v>14</v>
      </c>
      <c r="C94" s="261" t="s">
        <v>9</v>
      </c>
      <c r="D94" s="261">
        <v>20.0</v>
      </c>
      <c r="E94" s="261" t="s">
        <v>10</v>
      </c>
      <c r="F94" s="261" t="s">
        <v>11</v>
      </c>
      <c r="G94" s="261" t="s">
        <v>29</v>
      </c>
      <c r="H94" s="261">
        <v>4.0</v>
      </c>
      <c r="I94" s="262" t="s">
        <v>13</v>
      </c>
    </row>
    <row r="95">
      <c r="A95" s="260">
        <v>45754.0</v>
      </c>
      <c r="B95" s="261" t="s">
        <v>8</v>
      </c>
      <c r="C95" s="261" t="s">
        <v>9</v>
      </c>
      <c r="D95" s="261">
        <v>14.0</v>
      </c>
      <c r="E95" s="261" t="s">
        <v>10</v>
      </c>
      <c r="F95" s="261" t="s">
        <v>11</v>
      </c>
      <c r="G95" s="261" t="s">
        <v>29</v>
      </c>
      <c r="H95" s="261">
        <v>4.0</v>
      </c>
      <c r="I95" s="262" t="s">
        <v>39</v>
      </c>
    </row>
    <row r="96">
      <c r="A96" s="260">
        <v>45755.0</v>
      </c>
      <c r="B96" s="261" t="s">
        <v>19</v>
      </c>
      <c r="C96" s="261" t="s">
        <v>9</v>
      </c>
      <c r="D96" s="261">
        <v>7.0</v>
      </c>
      <c r="E96" s="261" t="s">
        <v>10</v>
      </c>
      <c r="F96" s="261" t="s">
        <v>11</v>
      </c>
      <c r="G96" s="261" t="s">
        <v>29</v>
      </c>
      <c r="H96" s="261">
        <v>4.0</v>
      </c>
      <c r="I96" s="262" t="s">
        <v>16</v>
      </c>
    </row>
    <row r="97">
      <c r="A97" s="260">
        <v>45756.0</v>
      </c>
      <c r="B97" s="261" t="s">
        <v>8</v>
      </c>
      <c r="C97" s="261" t="s">
        <v>9</v>
      </c>
      <c r="D97" s="261">
        <v>14.0</v>
      </c>
      <c r="E97" s="261" t="s">
        <v>10</v>
      </c>
      <c r="F97" s="261" t="s">
        <v>15</v>
      </c>
      <c r="G97" s="261" t="s">
        <v>29</v>
      </c>
      <c r="H97" s="261">
        <v>4.0</v>
      </c>
      <c r="I97" s="262" t="s">
        <v>18</v>
      </c>
    </row>
    <row r="98">
      <c r="A98" s="260">
        <v>45757.0</v>
      </c>
      <c r="B98" s="261" t="s">
        <v>8</v>
      </c>
      <c r="C98" s="261" t="s">
        <v>21</v>
      </c>
      <c r="D98" s="261">
        <v>15.0</v>
      </c>
      <c r="E98" s="261" t="s">
        <v>10</v>
      </c>
      <c r="F98" s="261" t="s">
        <v>15</v>
      </c>
      <c r="G98" s="261" t="s">
        <v>29</v>
      </c>
      <c r="H98" s="261">
        <v>4.0</v>
      </c>
      <c r="I98" s="262" t="s">
        <v>33</v>
      </c>
    </row>
    <row r="99">
      <c r="A99" s="260">
        <v>45758.0</v>
      </c>
      <c r="B99" s="261" t="s">
        <v>17</v>
      </c>
      <c r="C99" s="261" t="s">
        <v>24</v>
      </c>
      <c r="D99" s="261">
        <v>11.0</v>
      </c>
      <c r="E99" s="261" t="s">
        <v>10</v>
      </c>
      <c r="F99" s="261" t="s">
        <v>11</v>
      </c>
      <c r="G99" s="261" t="s">
        <v>29</v>
      </c>
      <c r="H99" s="261">
        <v>4.0</v>
      </c>
      <c r="I99" s="262" t="s">
        <v>20</v>
      </c>
    </row>
    <row r="100">
      <c r="A100" s="260">
        <v>45759.0</v>
      </c>
      <c r="B100" s="261" t="s">
        <v>19</v>
      </c>
      <c r="C100" s="261" t="s">
        <v>9</v>
      </c>
      <c r="D100" s="261">
        <v>7.0</v>
      </c>
      <c r="E100" s="261" t="s">
        <v>10</v>
      </c>
      <c r="F100" s="261" t="s">
        <v>11</v>
      </c>
      <c r="G100" s="261" t="s">
        <v>29</v>
      </c>
      <c r="H100" s="261">
        <v>4.0</v>
      </c>
      <c r="I100" s="262" t="s">
        <v>40</v>
      </c>
    </row>
    <row r="101">
      <c r="A101" s="260">
        <v>45760.0</v>
      </c>
      <c r="B101" s="261" t="s">
        <v>8</v>
      </c>
      <c r="C101" s="261" t="s">
        <v>9</v>
      </c>
      <c r="D101" s="261">
        <v>16.0</v>
      </c>
      <c r="E101" s="261" t="s">
        <v>22</v>
      </c>
      <c r="F101" s="261" t="s">
        <v>11</v>
      </c>
      <c r="G101" s="261" t="s">
        <v>29</v>
      </c>
      <c r="H101" s="261">
        <v>4.0</v>
      </c>
      <c r="I101" s="262" t="s">
        <v>13</v>
      </c>
    </row>
    <row r="102">
      <c r="A102" s="260">
        <v>45761.0</v>
      </c>
      <c r="B102" s="261" t="s">
        <v>17</v>
      </c>
      <c r="C102" s="261" t="s">
        <v>9</v>
      </c>
      <c r="D102" s="261">
        <v>12.0</v>
      </c>
      <c r="E102" s="261" t="s">
        <v>10</v>
      </c>
      <c r="F102" s="261" t="s">
        <v>11</v>
      </c>
      <c r="G102" s="261" t="s">
        <v>29</v>
      </c>
      <c r="H102" s="261">
        <v>4.0</v>
      </c>
      <c r="I102" s="262" t="s">
        <v>39</v>
      </c>
    </row>
    <row r="103">
      <c r="A103" s="260">
        <v>45762.0</v>
      </c>
      <c r="B103" s="261" t="s">
        <v>23</v>
      </c>
      <c r="C103" s="261" t="s">
        <v>9</v>
      </c>
      <c r="D103" s="261">
        <v>21.0</v>
      </c>
      <c r="E103" s="261" t="s">
        <v>10</v>
      </c>
      <c r="F103" s="261" t="s">
        <v>15</v>
      </c>
      <c r="G103" s="261" t="s">
        <v>29</v>
      </c>
      <c r="H103" s="261">
        <v>4.0</v>
      </c>
      <c r="I103" s="262" t="s">
        <v>16</v>
      </c>
    </row>
    <row r="104">
      <c r="A104" s="260">
        <v>45763.0</v>
      </c>
      <c r="B104" s="261" t="s">
        <v>8</v>
      </c>
      <c r="C104" s="261" t="s">
        <v>9</v>
      </c>
      <c r="D104" s="261">
        <v>14.0</v>
      </c>
      <c r="E104" s="261" t="s">
        <v>10</v>
      </c>
      <c r="F104" s="261" t="s">
        <v>11</v>
      </c>
      <c r="G104" s="261" t="s">
        <v>29</v>
      </c>
      <c r="H104" s="261">
        <v>4.0</v>
      </c>
      <c r="I104" s="262" t="s">
        <v>18</v>
      </c>
    </row>
    <row r="105">
      <c r="A105" s="260">
        <v>45764.0</v>
      </c>
      <c r="B105" s="261" t="s">
        <v>23</v>
      </c>
      <c r="C105" s="261" t="s">
        <v>9</v>
      </c>
      <c r="D105" s="261">
        <v>20.0</v>
      </c>
      <c r="E105" s="261" t="s">
        <v>10</v>
      </c>
      <c r="F105" s="261" t="s">
        <v>15</v>
      </c>
      <c r="G105" s="261" t="s">
        <v>29</v>
      </c>
      <c r="H105" s="261">
        <v>4.0</v>
      </c>
      <c r="I105" s="262" t="s">
        <v>33</v>
      </c>
    </row>
    <row r="106">
      <c r="A106" s="260">
        <v>45765.0</v>
      </c>
      <c r="B106" s="261" t="s">
        <v>17</v>
      </c>
      <c r="C106" s="261" t="s">
        <v>9</v>
      </c>
      <c r="D106" s="261">
        <v>9.0</v>
      </c>
      <c r="E106" s="261" t="s">
        <v>10</v>
      </c>
      <c r="F106" s="261" t="s">
        <v>11</v>
      </c>
      <c r="G106" s="261" t="s">
        <v>29</v>
      </c>
      <c r="H106" s="261">
        <v>4.0</v>
      </c>
      <c r="I106" s="262" t="s">
        <v>20</v>
      </c>
    </row>
    <row r="107">
      <c r="A107" s="260">
        <v>45766.0</v>
      </c>
      <c r="B107" s="261" t="s">
        <v>8</v>
      </c>
      <c r="C107" s="261" t="s">
        <v>9</v>
      </c>
      <c r="D107" s="261">
        <v>14.0</v>
      </c>
      <c r="E107" s="261" t="s">
        <v>10</v>
      </c>
      <c r="F107" s="261" t="s">
        <v>11</v>
      </c>
      <c r="G107" s="261" t="s">
        <v>29</v>
      </c>
      <c r="H107" s="261">
        <v>4.0</v>
      </c>
      <c r="I107" s="262" t="s">
        <v>40</v>
      </c>
    </row>
    <row r="108">
      <c r="A108" s="260">
        <v>45767.0</v>
      </c>
      <c r="B108" s="261" t="s">
        <v>14</v>
      </c>
      <c r="C108" s="261" t="s">
        <v>9</v>
      </c>
      <c r="D108" s="261">
        <v>23.0</v>
      </c>
      <c r="E108" s="261" t="s">
        <v>10</v>
      </c>
      <c r="F108" s="261" t="s">
        <v>15</v>
      </c>
      <c r="G108" s="261" t="s">
        <v>29</v>
      </c>
      <c r="H108" s="261">
        <v>4.0</v>
      </c>
      <c r="I108" s="262" t="s">
        <v>13</v>
      </c>
    </row>
    <row r="109">
      <c r="A109" s="260">
        <v>45768.0</v>
      </c>
      <c r="B109" s="261" t="s">
        <v>14</v>
      </c>
      <c r="C109" s="261" t="s">
        <v>24</v>
      </c>
      <c r="D109" s="261">
        <v>24.0</v>
      </c>
      <c r="E109" s="261" t="s">
        <v>10</v>
      </c>
      <c r="F109" s="261" t="s">
        <v>11</v>
      </c>
      <c r="G109" s="261" t="s">
        <v>29</v>
      </c>
      <c r="H109" s="261">
        <v>4.0</v>
      </c>
      <c r="I109" s="262" t="s">
        <v>39</v>
      </c>
    </row>
    <row r="110">
      <c r="A110" s="260">
        <v>45769.0</v>
      </c>
      <c r="B110" s="261" t="s">
        <v>8</v>
      </c>
      <c r="C110" s="261" t="s">
        <v>9</v>
      </c>
      <c r="D110" s="261">
        <v>14.0</v>
      </c>
      <c r="E110" s="261" t="s">
        <v>10</v>
      </c>
      <c r="F110" s="261" t="s">
        <v>11</v>
      </c>
      <c r="G110" s="261" t="s">
        <v>29</v>
      </c>
      <c r="H110" s="261">
        <v>4.0</v>
      </c>
      <c r="I110" s="262" t="s">
        <v>16</v>
      </c>
    </row>
    <row r="111">
      <c r="A111" s="260">
        <v>45770.0</v>
      </c>
      <c r="B111" s="261" t="s">
        <v>19</v>
      </c>
      <c r="C111" s="261" t="s">
        <v>9</v>
      </c>
      <c r="D111" s="261">
        <v>7.0</v>
      </c>
      <c r="E111" s="261" t="s">
        <v>10</v>
      </c>
      <c r="F111" s="261" t="s">
        <v>11</v>
      </c>
      <c r="G111" s="261" t="s">
        <v>29</v>
      </c>
      <c r="H111" s="261">
        <v>4.0</v>
      </c>
      <c r="I111" s="262" t="s">
        <v>18</v>
      </c>
    </row>
    <row r="112">
      <c r="A112" s="260">
        <v>45771.0</v>
      </c>
      <c r="B112" s="261" t="s">
        <v>8</v>
      </c>
      <c r="C112" s="261" t="s">
        <v>9</v>
      </c>
      <c r="D112" s="261">
        <v>14.0</v>
      </c>
      <c r="E112" s="261" t="s">
        <v>10</v>
      </c>
      <c r="F112" s="261" t="s">
        <v>15</v>
      </c>
      <c r="G112" s="261" t="s">
        <v>29</v>
      </c>
      <c r="H112" s="261">
        <v>4.0</v>
      </c>
      <c r="I112" s="262" t="s">
        <v>33</v>
      </c>
    </row>
    <row r="113">
      <c r="A113" s="260">
        <v>45772.0</v>
      </c>
      <c r="B113" s="261" t="s">
        <v>26</v>
      </c>
      <c r="C113" s="261" t="s">
        <v>21</v>
      </c>
      <c r="D113" s="261">
        <v>26.0</v>
      </c>
      <c r="E113" s="261" t="s">
        <v>10</v>
      </c>
      <c r="F113" s="261" t="s">
        <v>15</v>
      </c>
      <c r="G113" s="261" t="s">
        <v>29</v>
      </c>
      <c r="H113" s="261">
        <v>4.0</v>
      </c>
      <c r="I113" s="262" t="s">
        <v>20</v>
      </c>
    </row>
    <row r="114">
      <c r="A114" s="260">
        <v>45773.0</v>
      </c>
      <c r="B114" s="261" t="s">
        <v>19</v>
      </c>
      <c r="C114" s="261" t="s">
        <v>9</v>
      </c>
      <c r="D114" s="261">
        <v>7.0</v>
      </c>
      <c r="E114" s="261" t="s">
        <v>10</v>
      </c>
      <c r="F114" s="261" t="s">
        <v>11</v>
      </c>
      <c r="G114" s="261" t="s">
        <v>29</v>
      </c>
      <c r="H114" s="261">
        <v>4.0</v>
      </c>
      <c r="I114" s="262" t="s">
        <v>40</v>
      </c>
    </row>
    <row r="115">
      <c r="A115" s="260">
        <v>45774.0</v>
      </c>
      <c r="B115" s="261" t="s">
        <v>8</v>
      </c>
      <c r="C115" s="261" t="s">
        <v>9</v>
      </c>
      <c r="D115" s="261">
        <v>14.0</v>
      </c>
      <c r="E115" s="261" t="s">
        <v>10</v>
      </c>
      <c r="F115" s="261" t="s">
        <v>11</v>
      </c>
      <c r="G115" s="261" t="s">
        <v>29</v>
      </c>
      <c r="H115" s="261">
        <v>4.0</v>
      </c>
      <c r="I115" s="262" t="s">
        <v>13</v>
      </c>
    </row>
    <row r="116">
      <c r="A116" s="260">
        <v>45775.0</v>
      </c>
      <c r="B116" s="261" t="s">
        <v>17</v>
      </c>
      <c r="C116" s="261" t="s">
        <v>9</v>
      </c>
      <c r="D116" s="261">
        <v>11.0</v>
      </c>
      <c r="E116" s="261" t="s">
        <v>10</v>
      </c>
      <c r="F116" s="261" t="s">
        <v>11</v>
      </c>
      <c r="G116" s="261" t="s">
        <v>29</v>
      </c>
      <c r="H116" s="261">
        <v>4.0</v>
      </c>
      <c r="I116" s="262" t="s">
        <v>39</v>
      </c>
    </row>
    <row r="117">
      <c r="A117" s="260">
        <v>45776.0</v>
      </c>
      <c r="B117" s="261" t="s">
        <v>17</v>
      </c>
      <c r="C117" s="261" t="s">
        <v>9</v>
      </c>
      <c r="D117" s="261">
        <v>10.0</v>
      </c>
      <c r="E117" s="261" t="s">
        <v>10</v>
      </c>
      <c r="F117" s="261" t="s">
        <v>11</v>
      </c>
      <c r="G117" s="261" t="s">
        <v>29</v>
      </c>
      <c r="H117" s="261">
        <v>4.0</v>
      </c>
      <c r="I117" s="262" t="s">
        <v>16</v>
      </c>
    </row>
    <row r="118">
      <c r="A118" s="260">
        <v>45777.0</v>
      </c>
      <c r="B118" s="261" t="s">
        <v>8</v>
      </c>
      <c r="C118" s="261" t="s">
        <v>24</v>
      </c>
      <c r="D118" s="261">
        <v>14.0</v>
      </c>
      <c r="E118" s="261" t="s">
        <v>10</v>
      </c>
      <c r="F118" s="261" t="s">
        <v>15</v>
      </c>
      <c r="G118" s="261" t="s">
        <v>29</v>
      </c>
      <c r="H118" s="261">
        <v>4.0</v>
      </c>
      <c r="I118" s="262" t="s">
        <v>18</v>
      </c>
    </row>
    <row r="119">
      <c r="A119" s="260">
        <v>45778.0</v>
      </c>
      <c r="B119" s="261" t="s">
        <v>26</v>
      </c>
      <c r="C119" s="261" t="s">
        <v>9</v>
      </c>
      <c r="D119" s="261">
        <v>26.0</v>
      </c>
      <c r="E119" s="261" t="s">
        <v>22</v>
      </c>
      <c r="F119" s="261" t="s">
        <v>15</v>
      </c>
      <c r="G119" s="261" t="s">
        <v>30</v>
      </c>
      <c r="H119" s="261">
        <v>5.0</v>
      </c>
      <c r="I119" s="262" t="s">
        <v>33</v>
      </c>
    </row>
    <row r="120">
      <c r="A120" s="260">
        <v>45779.0</v>
      </c>
      <c r="B120" s="261" t="s">
        <v>14</v>
      </c>
      <c r="C120" s="261" t="s">
        <v>9</v>
      </c>
      <c r="D120" s="261">
        <v>21.0</v>
      </c>
      <c r="E120" s="261" t="s">
        <v>10</v>
      </c>
      <c r="F120" s="261" t="s">
        <v>11</v>
      </c>
      <c r="G120" s="261" t="s">
        <v>30</v>
      </c>
      <c r="H120" s="261">
        <v>5.0</v>
      </c>
      <c r="I120" s="262" t="s">
        <v>20</v>
      </c>
    </row>
    <row r="121">
      <c r="A121" s="260">
        <v>45780.0</v>
      </c>
      <c r="B121" s="261" t="s">
        <v>8</v>
      </c>
      <c r="C121" s="261" t="s">
        <v>9</v>
      </c>
      <c r="D121" s="261">
        <v>14.0</v>
      </c>
      <c r="E121" s="261" t="s">
        <v>10</v>
      </c>
      <c r="F121" s="261" t="s">
        <v>11</v>
      </c>
      <c r="G121" s="261" t="s">
        <v>30</v>
      </c>
      <c r="H121" s="261">
        <v>5.0</v>
      </c>
      <c r="I121" s="262" t="s">
        <v>40</v>
      </c>
    </row>
    <row r="122">
      <c r="A122" s="260">
        <v>45781.0</v>
      </c>
      <c r="B122" s="261" t="s">
        <v>8</v>
      </c>
      <c r="C122" s="261" t="s">
        <v>9</v>
      </c>
      <c r="D122" s="261">
        <v>14.0</v>
      </c>
      <c r="E122" s="261" t="s">
        <v>10</v>
      </c>
      <c r="F122" s="261" t="s">
        <v>11</v>
      </c>
      <c r="G122" s="261" t="s">
        <v>30</v>
      </c>
      <c r="H122" s="261">
        <v>5.0</v>
      </c>
      <c r="I122" s="262" t="s">
        <v>13</v>
      </c>
    </row>
    <row r="123">
      <c r="A123" s="260">
        <v>45782.0</v>
      </c>
      <c r="B123" s="261" t="s">
        <v>14</v>
      </c>
      <c r="C123" s="261" t="s">
        <v>9</v>
      </c>
      <c r="D123" s="261">
        <v>21.0</v>
      </c>
      <c r="E123" s="261" t="s">
        <v>10</v>
      </c>
      <c r="F123" s="261" t="s">
        <v>11</v>
      </c>
      <c r="G123" s="261" t="s">
        <v>30</v>
      </c>
      <c r="H123" s="261">
        <v>5.0</v>
      </c>
      <c r="I123" s="262" t="s">
        <v>39</v>
      </c>
    </row>
    <row r="124">
      <c r="A124" s="260">
        <v>45783.0</v>
      </c>
      <c r="B124" s="261" t="s">
        <v>19</v>
      </c>
      <c r="C124" s="261" t="s">
        <v>9</v>
      </c>
      <c r="D124" s="261">
        <v>7.0</v>
      </c>
      <c r="E124" s="261" t="s">
        <v>10</v>
      </c>
      <c r="F124" s="261" t="s">
        <v>15</v>
      </c>
      <c r="G124" s="261" t="s">
        <v>30</v>
      </c>
      <c r="H124" s="261">
        <v>5.0</v>
      </c>
      <c r="I124" s="262" t="s">
        <v>16</v>
      </c>
    </row>
    <row r="125">
      <c r="A125" s="260">
        <v>45784.0</v>
      </c>
      <c r="B125" s="261" t="s">
        <v>17</v>
      </c>
      <c r="C125" s="261" t="s">
        <v>9</v>
      </c>
      <c r="D125" s="261">
        <v>12.0</v>
      </c>
      <c r="E125" s="261" t="s">
        <v>10</v>
      </c>
      <c r="F125" s="261" t="s">
        <v>11</v>
      </c>
      <c r="G125" s="261" t="s">
        <v>30</v>
      </c>
      <c r="H125" s="261">
        <v>5.0</v>
      </c>
      <c r="I125" s="262" t="s">
        <v>18</v>
      </c>
    </row>
    <row r="126">
      <c r="A126" s="260">
        <v>45785.0</v>
      </c>
      <c r="B126" s="261" t="s">
        <v>17</v>
      </c>
      <c r="C126" s="261" t="s">
        <v>24</v>
      </c>
      <c r="D126" s="261">
        <v>10.0</v>
      </c>
      <c r="E126" s="261" t="s">
        <v>10</v>
      </c>
      <c r="F126" s="261" t="s">
        <v>15</v>
      </c>
      <c r="G126" s="261" t="s">
        <v>30</v>
      </c>
      <c r="H126" s="261">
        <v>5.0</v>
      </c>
      <c r="I126" s="262" t="s">
        <v>33</v>
      </c>
    </row>
    <row r="127">
      <c r="A127" s="260">
        <v>45786.0</v>
      </c>
      <c r="B127" s="261" t="s">
        <v>8</v>
      </c>
      <c r="C127" s="261" t="s">
        <v>21</v>
      </c>
      <c r="D127" s="261">
        <v>15.0</v>
      </c>
      <c r="E127" s="261" t="s">
        <v>10</v>
      </c>
      <c r="F127" s="261" t="s">
        <v>11</v>
      </c>
      <c r="G127" s="261" t="s">
        <v>30</v>
      </c>
      <c r="H127" s="261">
        <v>5.0</v>
      </c>
      <c r="I127" s="262" t="s">
        <v>20</v>
      </c>
    </row>
    <row r="128">
      <c r="A128" s="260">
        <v>45787.0</v>
      </c>
      <c r="B128" s="261" t="s">
        <v>8</v>
      </c>
      <c r="C128" s="261" t="s">
        <v>21</v>
      </c>
      <c r="D128" s="261">
        <v>14.0</v>
      </c>
      <c r="E128" s="261" t="s">
        <v>10</v>
      </c>
      <c r="F128" s="261" t="s">
        <v>11</v>
      </c>
      <c r="G128" s="261" t="s">
        <v>30</v>
      </c>
      <c r="H128" s="261">
        <v>5.0</v>
      </c>
      <c r="I128" s="262" t="s">
        <v>40</v>
      </c>
    </row>
    <row r="129">
      <c r="A129" s="260">
        <v>45788.0</v>
      </c>
      <c r="B129" s="261" t="s">
        <v>25</v>
      </c>
      <c r="C129" s="261" t="s">
        <v>9</v>
      </c>
      <c r="D129" s="261">
        <v>28.0</v>
      </c>
      <c r="E129" s="261" t="s">
        <v>10</v>
      </c>
      <c r="F129" s="261" t="s">
        <v>15</v>
      </c>
      <c r="G129" s="261" t="s">
        <v>30</v>
      </c>
      <c r="H129" s="261">
        <v>5.0</v>
      </c>
      <c r="I129" s="262" t="s">
        <v>13</v>
      </c>
    </row>
    <row r="130">
      <c r="A130" s="260">
        <v>45789.0</v>
      </c>
      <c r="B130" s="261" t="s">
        <v>19</v>
      </c>
      <c r="C130" s="261" t="s">
        <v>9</v>
      </c>
      <c r="D130" s="261">
        <v>7.0</v>
      </c>
      <c r="E130" s="261" t="s">
        <v>10</v>
      </c>
      <c r="F130" s="261" t="s">
        <v>11</v>
      </c>
      <c r="G130" s="261" t="s">
        <v>30</v>
      </c>
      <c r="H130" s="261">
        <v>5.0</v>
      </c>
      <c r="I130" s="262" t="s">
        <v>39</v>
      </c>
    </row>
    <row r="131">
      <c r="A131" s="260">
        <v>45790.0</v>
      </c>
      <c r="B131" s="261" t="s">
        <v>8</v>
      </c>
      <c r="C131" s="261" t="s">
        <v>9</v>
      </c>
      <c r="D131" s="261">
        <v>14.0</v>
      </c>
      <c r="E131" s="261" t="s">
        <v>10</v>
      </c>
      <c r="F131" s="261" t="s">
        <v>11</v>
      </c>
      <c r="G131" s="261" t="s">
        <v>30</v>
      </c>
      <c r="H131" s="261">
        <v>5.0</v>
      </c>
      <c r="I131" s="262" t="s">
        <v>16</v>
      </c>
    </row>
    <row r="132">
      <c r="A132" s="260">
        <v>45791.0</v>
      </c>
      <c r="B132" s="261" t="s">
        <v>23</v>
      </c>
      <c r="C132" s="261" t="s">
        <v>9</v>
      </c>
      <c r="D132" s="261">
        <v>18.0</v>
      </c>
      <c r="E132" s="261" t="s">
        <v>10</v>
      </c>
      <c r="F132" s="261" t="s">
        <v>11</v>
      </c>
      <c r="G132" s="261" t="s">
        <v>30</v>
      </c>
      <c r="H132" s="261">
        <v>5.0</v>
      </c>
      <c r="I132" s="262" t="s">
        <v>18</v>
      </c>
    </row>
    <row r="133">
      <c r="A133" s="260">
        <v>45792.0</v>
      </c>
      <c r="B133" s="261" t="s">
        <v>8</v>
      </c>
      <c r="C133" s="261" t="s">
        <v>9</v>
      </c>
      <c r="D133" s="261">
        <v>14.0</v>
      </c>
      <c r="E133" s="261" t="s">
        <v>10</v>
      </c>
      <c r="F133" s="261" t="s">
        <v>15</v>
      </c>
      <c r="G133" s="261" t="s">
        <v>30</v>
      </c>
      <c r="H133" s="261">
        <v>5.0</v>
      </c>
      <c r="I133" s="262" t="s">
        <v>33</v>
      </c>
    </row>
    <row r="134">
      <c r="A134" s="260">
        <v>45793.0</v>
      </c>
      <c r="B134" s="261" t="s">
        <v>17</v>
      </c>
      <c r="C134" s="261" t="s">
        <v>24</v>
      </c>
      <c r="D134" s="261">
        <v>9.0</v>
      </c>
      <c r="E134" s="261" t="s">
        <v>10</v>
      </c>
      <c r="F134" s="261" t="s">
        <v>15</v>
      </c>
      <c r="G134" s="261" t="s">
        <v>30</v>
      </c>
      <c r="H134" s="261">
        <v>5.0</v>
      </c>
      <c r="I134" s="262" t="s">
        <v>20</v>
      </c>
    </row>
    <row r="135">
      <c r="A135" s="260">
        <v>45794.0</v>
      </c>
      <c r="B135" s="261" t="s">
        <v>23</v>
      </c>
      <c r="C135" s="261" t="s">
        <v>9</v>
      </c>
      <c r="D135" s="261">
        <v>19.0</v>
      </c>
      <c r="E135" s="261" t="s">
        <v>10</v>
      </c>
      <c r="F135" s="261" t="s">
        <v>11</v>
      </c>
      <c r="G135" s="261" t="s">
        <v>30</v>
      </c>
      <c r="H135" s="261">
        <v>5.0</v>
      </c>
      <c r="I135" s="262" t="s">
        <v>40</v>
      </c>
    </row>
    <row r="136">
      <c r="A136" s="260">
        <v>45795.0</v>
      </c>
      <c r="B136" s="261" t="s">
        <v>8</v>
      </c>
      <c r="C136" s="261" t="s">
        <v>9</v>
      </c>
      <c r="D136" s="261">
        <v>14.0</v>
      </c>
      <c r="E136" s="261" t="s">
        <v>10</v>
      </c>
      <c r="F136" s="261" t="s">
        <v>11</v>
      </c>
      <c r="G136" s="261" t="s">
        <v>30</v>
      </c>
      <c r="H136" s="261">
        <v>5.0</v>
      </c>
      <c r="I136" s="262" t="s">
        <v>13</v>
      </c>
    </row>
    <row r="137">
      <c r="A137" s="260">
        <v>45796.0</v>
      </c>
      <c r="B137" s="261" t="s">
        <v>17</v>
      </c>
      <c r="C137" s="261" t="s">
        <v>9</v>
      </c>
      <c r="D137" s="261">
        <v>9.0</v>
      </c>
      <c r="E137" s="261" t="s">
        <v>10</v>
      </c>
      <c r="F137" s="261" t="s">
        <v>11</v>
      </c>
      <c r="G137" s="261" t="s">
        <v>30</v>
      </c>
      <c r="H137" s="261">
        <v>5.0</v>
      </c>
      <c r="I137" s="262" t="s">
        <v>39</v>
      </c>
    </row>
    <row r="138">
      <c r="A138" s="260">
        <v>45797.0</v>
      </c>
      <c r="B138" s="261" t="s">
        <v>14</v>
      </c>
      <c r="C138" s="261" t="s">
        <v>9</v>
      </c>
      <c r="D138" s="261">
        <v>22.0</v>
      </c>
      <c r="E138" s="261" t="s">
        <v>10</v>
      </c>
      <c r="F138" s="261" t="s">
        <v>11</v>
      </c>
      <c r="G138" s="261" t="s">
        <v>30</v>
      </c>
      <c r="H138" s="261">
        <v>5.0</v>
      </c>
      <c r="I138" s="262" t="s">
        <v>16</v>
      </c>
    </row>
    <row r="139">
      <c r="A139" s="260">
        <v>45798.0</v>
      </c>
      <c r="B139" s="261" t="s">
        <v>19</v>
      </c>
      <c r="C139" s="261" t="s">
        <v>9</v>
      </c>
      <c r="D139" s="261">
        <v>7.0</v>
      </c>
      <c r="E139" s="261" t="s">
        <v>10</v>
      </c>
      <c r="F139" s="261" t="s">
        <v>15</v>
      </c>
      <c r="G139" s="261" t="s">
        <v>30</v>
      </c>
      <c r="H139" s="261">
        <v>5.0</v>
      </c>
      <c r="I139" s="262" t="s">
        <v>18</v>
      </c>
    </row>
    <row r="140">
      <c r="A140" s="260">
        <v>45799.0</v>
      </c>
      <c r="B140" s="261" t="s">
        <v>14</v>
      </c>
      <c r="C140" s="261" t="s">
        <v>9</v>
      </c>
      <c r="D140" s="261">
        <v>23.0</v>
      </c>
      <c r="E140" s="261" t="s">
        <v>10</v>
      </c>
      <c r="F140" s="261" t="s">
        <v>15</v>
      </c>
      <c r="G140" s="261" t="s">
        <v>30</v>
      </c>
      <c r="H140" s="261">
        <v>5.0</v>
      </c>
      <c r="I140" s="262" t="s">
        <v>33</v>
      </c>
    </row>
    <row r="141">
      <c r="A141" s="260">
        <v>45800.0</v>
      </c>
      <c r="B141" s="261" t="s">
        <v>8</v>
      </c>
      <c r="C141" s="261" t="s">
        <v>9</v>
      </c>
      <c r="D141" s="261">
        <v>14.0</v>
      </c>
      <c r="E141" s="261" t="s">
        <v>10</v>
      </c>
      <c r="F141" s="261" t="s">
        <v>11</v>
      </c>
      <c r="G141" s="261" t="s">
        <v>30</v>
      </c>
      <c r="H141" s="261">
        <v>5.0</v>
      </c>
      <c r="I141" s="262" t="s">
        <v>20</v>
      </c>
    </row>
    <row r="142">
      <c r="A142" s="260">
        <v>45801.0</v>
      </c>
      <c r="B142" s="261" t="s">
        <v>8</v>
      </c>
      <c r="C142" s="261" t="s">
        <v>9</v>
      </c>
      <c r="D142" s="261">
        <v>14.0</v>
      </c>
      <c r="E142" s="261" t="s">
        <v>10</v>
      </c>
      <c r="F142" s="261" t="s">
        <v>11</v>
      </c>
      <c r="G142" s="261" t="s">
        <v>30</v>
      </c>
      <c r="H142" s="261">
        <v>5.0</v>
      </c>
      <c r="I142" s="262" t="s">
        <v>40</v>
      </c>
    </row>
    <row r="143">
      <c r="A143" s="260">
        <v>45802.0</v>
      </c>
      <c r="B143" s="261" t="s">
        <v>26</v>
      </c>
      <c r="C143" s="261" t="s">
        <v>9</v>
      </c>
      <c r="D143" s="261">
        <v>25.0</v>
      </c>
      <c r="E143" s="261" t="s">
        <v>22</v>
      </c>
      <c r="F143" s="261" t="s">
        <v>15</v>
      </c>
      <c r="G143" s="261" t="s">
        <v>30</v>
      </c>
      <c r="H143" s="261">
        <v>5.0</v>
      </c>
      <c r="I143" s="262" t="s">
        <v>13</v>
      </c>
    </row>
    <row r="144">
      <c r="A144" s="260">
        <v>45803.0</v>
      </c>
      <c r="B144" s="261" t="s">
        <v>8</v>
      </c>
      <c r="C144" s="261" t="s">
        <v>24</v>
      </c>
      <c r="D144" s="261">
        <v>15.0</v>
      </c>
      <c r="E144" s="261" t="s">
        <v>10</v>
      </c>
      <c r="F144" s="261" t="s">
        <v>11</v>
      </c>
      <c r="G144" s="261" t="s">
        <v>30</v>
      </c>
      <c r="H144" s="261">
        <v>5.0</v>
      </c>
      <c r="I144" s="262" t="s">
        <v>39</v>
      </c>
    </row>
    <row r="145">
      <c r="A145" s="260">
        <v>45804.0</v>
      </c>
      <c r="B145" s="261" t="s">
        <v>17</v>
      </c>
      <c r="C145" s="261" t="s">
        <v>9</v>
      </c>
      <c r="D145" s="261">
        <v>10.0</v>
      </c>
      <c r="E145" s="261" t="s">
        <v>10</v>
      </c>
      <c r="F145" s="261" t="s">
        <v>11</v>
      </c>
      <c r="G145" s="261" t="s">
        <v>30</v>
      </c>
      <c r="H145" s="261">
        <v>5.0</v>
      </c>
      <c r="I145" s="262" t="s">
        <v>16</v>
      </c>
    </row>
    <row r="146">
      <c r="A146" s="260">
        <v>45805.0</v>
      </c>
      <c r="B146" s="261" t="s">
        <v>8</v>
      </c>
      <c r="C146" s="261" t="s">
        <v>9</v>
      </c>
      <c r="D146" s="261">
        <v>14.0</v>
      </c>
      <c r="E146" s="261" t="s">
        <v>10</v>
      </c>
      <c r="F146" s="261" t="s">
        <v>11</v>
      </c>
      <c r="G146" s="261" t="s">
        <v>30</v>
      </c>
      <c r="H146" s="261">
        <v>5.0</v>
      </c>
      <c r="I146" s="262" t="s">
        <v>18</v>
      </c>
    </row>
    <row r="147">
      <c r="A147" s="260">
        <v>45806.0</v>
      </c>
      <c r="B147" s="261" t="s">
        <v>19</v>
      </c>
      <c r="C147" s="261" t="s">
        <v>9</v>
      </c>
      <c r="D147" s="261">
        <v>7.0</v>
      </c>
      <c r="E147" s="261" t="s">
        <v>10</v>
      </c>
      <c r="F147" s="261" t="s">
        <v>15</v>
      </c>
      <c r="G147" s="261" t="s">
        <v>30</v>
      </c>
      <c r="H147" s="261">
        <v>5.0</v>
      </c>
      <c r="I147" s="262" t="s">
        <v>33</v>
      </c>
    </row>
    <row r="148">
      <c r="A148" s="260">
        <v>45807.0</v>
      </c>
      <c r="B148" s="261" t="s">
        <v>8</v>
      </c>
      <c r="C148" s="261" t="s">
        <v>21</v>
      </c>
      <c r="D148" s="261">
        <v>16.0</v>
      </c>
      <c r="E148" s="261" t="s">
        <v>10</v>
      </c>
      <c r="F148" s="261" t="s">
        <v>15</v>
      </c>
      <c r="G148" s="261" t="s">
        <v>30</v>
      </c>
      <c r="H148" s="261">
        <v>5.0</v>
      </c>
      <c r="I148" s="262" t="s">
        <v>20</v>
      </c>
    </row>
    <row r="149">
      <c r="A149" s="260">
        <v>45808.0</v>
      </c>
      <c r="B149" s="261" t="s">
        <v>17</v>
      </c>
      <c r="C149" s="261" t="s">
        <v>9</v>
      </c>
      <c r="D149" s="261">
        <v>10.0</v>
      </c>
      <c r="E149" s="261" t="s">
        <v>10</v>
      </c>
      <c r="F149" s="261" t="s">
        <v>11</v>
      </c>
      <c r="G149" s="261" t="s">
        <v>30</v>
      </c>
      <c r="H149" s="261">
        <v>5.0</v>
      </c>
      <c r="I149" s="262" t="s">
        <v>40</v>
      </c>
    </row>
    <row r="150">
      <c r="A150" s="260">
        <v>45809.0</v>
      </c>
      <c r="B150" s="261" t="s">
        <v>19</v>
      </c>
      <c r="C150" s="261" t="s">
        <v>9</v>
      </c>
      <c r="D150" s="261">
        <v>7.0</v>
      </c>
      <c r="E150" s="261" t="s">
        <v>10</v>
      </c>
      <c r="F150" s="261" t="s">
        <v>11</v>
      </c>
      <c r="G150" s="261" t="s">
        <v>31</v>
      </c>
      <c r="H150" s="261">
        <v>6.0</v>
      </c>
      <c r="I150" s="262" t="s">
        <v>13</v>
      </c>
    </row>
    <row r="151">
      <c r="A151" s="260">
        <v>45811.0</v>
      </c>
      <c r="B151" s="261" t="s">
        <v>8</v>
      </c>
      <c r="C151" s="261" t="s">
        <v>9</v>
      </c>
      <c r="D151" s="261">
        <v>21.0</v>
      </c>
      <c r="E151" s="261" t="s">
        <v>10</v>
      </c>
      <c r="F151" s="261" t="s">
        <v>11</v>
      </c>
      <c r="G151" s="261" t="s">
        <v>31</v>
      </c>
      <c r="H151" s="261">
        <v>6.0</v>
      </c>
      <c r="I151" s="262" t="s">
        <v>16</v>
      </c>
    </row>
    <row r="152">
      <c r="A152" s="260">
        <v>45812.0</v>
      </c>
      <c r="B152" s="261" t="s">
        <v>17</v>
      </c>
      <c r="C152" s="261" t="s">
        <v>9</v>
      </c>
      <c r="D152" s="261">
        <v>14.0</v>
      </c>
      <c r="E152" s="261" t="s">
        <v>10</v>
      </c>
      <c r="F152" s="261" t="s">
        <v>15</v>
      </c>
      <c r="G152" s="261" t="s">
        <v>31</v>
      </c>
      <c r="H152" s="261">
        <v>6.0</v>
      </c>
      <c r="I152" s="262" t="s">
        <v>18</v>
      </c>
    </row>
    <row r="153">
      <c r="A153" s="260">
        <v>45814.0</v>
      </c>
      <c r="B153" s="261" t="s">
        <v>14</v>
      </c>
      <c r="C153" s="261" t="s">
        <v>24</v>
      </c>
      <c r="D153" s="261">
        <v>20.0</v>
      </c>
      <c r="E153" s="261" t="s">
        <v>10</v>
      </c>
      <c r="F153" s="261" t="s">
        <v>11</v>
      </c>
      <c r="G153" s="261" t="s">
        <v>31</v>
      </c>
      <c r="H153" s="261">
        <v>6.0</v>
      </c>
      <c r="I153" s="262" t="s">
        <v>20</v>
      </c>
    </row>
    <row r="154">
      <c r="A154" s="260">
        <v>45816.0</v>
      </c>
      <c r="B154" s="261" t="s">
        <v>8</v>
      </c>
      <c r="C154" s="261" t="s">
        <v>9</v>
      </c>
      <c r="D154" s="261">
        <v>14.0</v>
      </c>
      <c r="E154" s="261" t="s">
        <v>10</v>
      </c>
      <c r="F154" s="261" t="s">
        <v>11</v>
      </c>
      <c r="G154" s="261" t="s">
        <v>31</v>
      </c>
      <c r="H154" s="261">
        <v>6.0</v>
      </c>
      <c r="I154" s="262" t="s">
        <v>13</v>
      </c>
    </row>
    <row r="155">
      <c r="A155" s="260">
        <v>45818.0</v>
      </c>
      <c r="B155" s="261" t="s">
        <v>19</v>
      </c>
      <c r="C155" s="261" t="s">
        <v>9</v>
      </c>
      <c r="D155" s="261">
        <v>7.0</v>
      </c>
      <c r="E155" s="261" t="s">
        <v>10</v>
      </c>
      <c r="F155" s="261" t="s">
        <v>15</v>
      </c>
      <c r="G155" s="261" t="s">
        <v>31</v>
      </c>
      <c r="H155" s="261">
        <v>6.0</v>
      </c>
      <c r="I155" s="262" t="s">
        <v>16</v>
      </c>
    </row>
    <row r="156">
      <c r="A156" s="260">
        <v>45819.0</v>
      </c>
      <c r="B156" s="261" t="s">
        <v>17</v>
      </c>
      <c r="C156" s="261" t="s">
        <v>9</v>
      </c>
      <c r="D156" s="261">
        <v>11.0</v>
      </c>
      <c r="E156" s="261" t="s">
        <v>10</v>
      </c>
      <c r="F156" s="261" t="s">
        <v>11</v>
      </c>
      <c r="G156" s="261" t="s">
        <v>31</v>
      </c>
      <c r="H156" s="261">
        <v>6.0</v>
      </c>
      <c r="I156" s="262" t="s">
        <v>18</v>
      </c>
    </row>
    <row r="157">
      <c r="A157" s="260">
        <v>45821.0</v>
      </c>
      <c r="B157" s="261" t="s">
        <v>8</v>
      </c>
      <c r="C157" s="261" t="s">
        <v>9</v>
      </c>
      <c r="D157" s="261">
        <v>15.0</v>
      </c>
      <c r="E157" s="261" t="s">
        <v>10</v>
      </c>
      <c r="F157" s="261" t="s">
        <v>11</v>
      </c>
      <c r="G157" s="261" t="s">
        <v>31</v>
      </c>
      <c r="H157" s="261">
        <v>6.0</v>
      </c>
      <c r="I157" s="262" t="s">
        <v>20</v>
      </c>
    </row>
    <row r="158">
      <c r="A158" s="260">
        <v>45823.0</v>
      </c>
      <c r="B158" s="261" t="s">
        <v>23</v>
      </c>
      <c r="C158" s="261" t="s">
        <v>9</v>
      </c>
      <c r="D158" s="261">
        <v>19.0</v>
      </c>
      <c r="E158" s="261" t="s">
        <v>10</v>
      </c>
      <c r="F158" s="261" t="s">
        <v>15</v>
      </c>
      <c r="G158" s="261" t="s">
        <v>31</v>
      </c>
      <c r="H158" s="261">
        <v>6.0</v>
      </c>
      <c r="I158" s="262" t="s">
        <v>13</v>
      </c>
    </row>
    <row r="159">
      <c r="A159" s="260">
        <v>45825.0</v>
      </c>
      <c r="B159" s="261" t="s">
        <v>8</v>
      </c>
      <c r="C159" s="261" t="s">
        <v>21</v>
      </c>
      <c r="D159" s="261">
        <v>14.0</v>
      </c>
      <c r="E159" s="261" t="s">
        <v>10</v>
      </c>
      <c r="F159" s="261" t="s">
        <v>11</v>
      </c>
      <c r="G159" s="261" t="s">
        <v>31</v>
      </c>
      <c r="H159" s="261">
        <v>6.0</v>
      </c>
      <c r="I159" s="262" t="s">
        <v>16</v>
      </c>
    </row>
    <row r="160">
      <c r="A160" s="260">
        <v>45826.0</v>
      </c>
      <c r="B160" s="261" t="s">
        <v>17</v>
      </c>
      <c r="C160" s="261" t="s">
        <v>24</v>
      </c>
      <c r="D160" s="261">
        <v>10.0</v>
      </c>
      <c r="E160" s="261" t="s">
        <v>10</v>
      </c>
      <c r="F160" s="261" t="s">
        <v>11</v>
      </c>
      <c r="G160" s="261" t="s">
        <v>31</v>
      </c>
      <c r="H160" s="261">
        <v>6.0</v>
      </c>
      <c r="I160" s="262" t="s">
        <v>18</v>
      </c>
    </row>
    <row r="161">
      <c r="A161" s="260">
        <v>45828.0</v>
      </c>
      <c r="B161" s="261" t="s">
        <v>14</v>
      </c>
      <c r="C161" s="261" t="s">
        <v>9</v>
      </c>
      <c r="D161" s="261">
        <v>24.0</v>
      </c>
      <c r="E161" s="261" t="s">
        <v>10</v>
      </c>
      <c r="F161" s="261" t="s">
        <v>15</v>
      </c>
      <c r="G161" s="261" t="s">
        <v>31</v>
      </c>
      <c r="H161" s="261">
        <v>6.0</v>
      </c>
      <c r="I161" s="262" t="s">
        <v>20</v>
      </c>
    </row>
    <row r="162">
      <c r="A162" s="260">
        <v>45830.0</v>
      </c>
      <c r="B162" s="261" t="s">
        <v>8</v>
      </c>
      <c r="C162" s="261" t="s">
        <v>9</v>
      </c>
      <c r="D162" s="261">
        <v>14.0</v>
      </c>
      <c r="E162" s="261" t="s">
        <v>10</v>
      </c>
      <c r="F162" s="261" t="s">
        <v>11</v>
      </c>
      <c r="G162" s="261" t="s">
        <v>31</v>
      </c>
      <c r="H162" s="261">
        <v>6.0</v>
      </c>
      <c r="I162" s="262" t="s">
        <v>13</v>
      </c>
    </row>
    <row r="163">
      <c r="A163" s="260">
        <v>45832.0</v>
      </c>
      <c r="B163" s="261" t="s">
        <v>19</v>
      </c>
      <c r="C163" s="261" t="s">
        <v>9</v>
      </c>
      <c r="D163" s="261">
        <v>7.0</v>
      </c>
      <c r="E163" s="261" t="s">
        <v>10</v>
      </c>
      <c r="F163" s="261" t="s">
        <v>11</v>
      </c>
      <c r="G163" s="261" t="s">
        <v>31</v>
      </c>
      <c r="H163" s="261">
        <v>6.0</v>
      </c>
      <c r="I163" s="262" t="s">
        <v>16</v>
      </c>
    </row>
    <row r="164">
      <c r="A164" s="260">
        <v>45833.0</v>
      </c>
      <c r="B164" s="261" t="s">
        <v>26</v>
      </c>
      <c r="C164" s="261" t="s">
        <v>9</v>
      </c>
      <c r="D164" s="261">
        <v>22.0</v>
      </c>
      <c r="E164" s="261" t="s">
        <v>10</v>
      </c>
      <c r="F164" s="261" t="s">
        <v>15</v>
      </c>
      <c r="G164" s="261" t="s">
        <v>31</v>
      </c>
      <c r="H164" s="261">
        <v>6.0</v>
      </c>
      <c r="I164" s="262" t="s">
        <v>18</v>
      </c>
    </row>
    <row r="165">
      <c r="A165" s="260">
        <v>45835.0</v>
      </c>
      <c r="B165" s="261" t="s">
        <v>8</v>
      </c>
      <c r="C165" s="261" t="s">
        <v>9</v>
      </c>
      <c r="D165" s="261">
        <v>14.0</v>
      </c>
      <c r="E165" s="261" t="s">
        <v>10</v>
      </c>
      <c r="F165" s="261" t="s">
        <v>11</v>
      </c>
      <c r="G165" s="261" t="s">
        <v>31</v>
      </c>
      <c r="H165" s="261">
        <v>6.0</v>
      </c>
      <c r="I165" s="262" t="s">
        <v>20</v>
      </c>
    </row>
    <row r="166">
      <c r="A166" s="260">
        <v>45837.0</v>
      </c>
      <c r="B166" s="261" t="s">
        <v>17</v>
      </c>
      <c r="C166" s="261" t="s">
        <v>9</v>
      </c>
      <c r="D166" s="261">
        <v>9.0</v>
      </c>
      <c r="E166" s="261" t="s">
        <v>10</v>
      </c>
      <c r="F166" s="261" t="s">
        <v>11</v>
      </c>
      <c r="G166" s="261" t="s">
        <v>31</v>
      </c>
      <c r="H166" s="261">
        <v>6.0</v>
      </c>
      <c r="I166" s="262" t="s">
        <v>13</v>
      </c>
    </row>
    <row r="167">
      <c r="A167" s="260">
        <v>45839.0</v>
      </c>
      <c r="B167" s="261" t="s">
        <v>8</v>
      </c>
      <c r="C167" s="261" t="s">
        <v>9</v>
      </c>
      <c r="D167" s="261">
        <v>21.0</v>
      </c>
      <c r="E167" s="261" t="s">
        <v>10</v>
      </c>
      <c r="F167" s="261" t="s">
        <v>15</v>
      </c>
      <c r="G167" s="261" t="s">
        <v>32</v>
      </c>
      <c r="H167" s="261">
        <v>7.0</v>
      </c>
      <c r="I167" s="262" t="s">
        <v>16</v>
      </c>
    </row>
    <row r="168">
      <c r="A168" s="260">
        <v>45841.0</v>
      </c>
      <c r="B168" s="261" t="s">
        <v>14</v>
      </c>
      <c r="C168" s="261" t="s">
        <v>9</v>
      </c>
      <c r="D168" s="261">
        <v>28.0</v>
      </c>
      <c r="E168" s="261" t="s">
        <v>22</v>
      </c>
      <c r="F168" s="261" t="s">
        <v>11</v>
      </c>
      <c r="G168" s="261" t="s">
        <v>32</v>
      </c>
      <c r="H168" s="261">
        <v>7.0</v>
      </c>
      <c r="I168" s="262" t="s">
        <v>33</v>
      </c>
    </row>
    <row r="169">
      <c r="A169" s="260">
        <v>45844.0</v>
      </c>
      <c r="B169" s="261" t="s">
        <v>19</v>
      </c>
      <c r="C169" s="261" t="s">
        <v>9</v>
      </c>
      <c r="D169" s="261">
        <v>7.0</v>
      </c>
      <c r="E169" s="261" t="s">
        <v>10</v>
      </c>
      <c r="F169" s="261" t="s">
        <v>11</v>
      </c>
      <c r="G169" s="261" t="s">
        <v>32</v>
      </c>
      <c r="H169" s="261">
        <v>7.0</v>
      </c>
      <c r="I169" s="262" t="s">
        <v>13</v>
      </c>
    </row>
    <row r="170">
      <c r="A170" s="260">
        <v>45846.0</v>
      </c>
      <c r="B170" s="261" t="s">
        <v>17</v>
      </c>
      <c r="C170" s="261" t="s">
        <v>9</v>
      </c>
      <c r="D170" s="261">
        <v>14.0</v>
      </c>
      <c r="E170" s="261" t="s">
        <v>10</v>
      </c>
      <c r="F170" s="261" t="s">
        <v>15</v>
      </c>
      <c r="G170" s="261" t="s">
        <v>32</v>
      </c>
      <c r="H170" s="261">
        <v>7.0</v>
      </c>
      <c r="I170" s="262" t="s">
        <v>16</v>
      </c>
    </row>
    <row r="171">
      <c r="A171" s="260">
        <v>45848.0</v>
      </c>
      <c r="B171" s="261" t="s">
        <v>8</v>
      </c>
      <c r="C171" s="261" t="s">
        <v>24</v>
      </c>
      <c r="D171" s="261">
        <v>15.0</v>
      </c>
      <c r="E171" s="261" t="s">
        <v>10</v>
      </c>
      <c r="F171" s="261" t="s">
        <v>11</v>
      </c>
      <c r="G171" s="261" t="s">
        <v>32</v>
      </c>
      <c r="H171" s="261">
        <v>7.0</v>
      </c>
      <c r="I171" s="262" t="s">
        <v>33</v>
      </c>
    </row>
    <row r="172">
      <c r="A172" s="260">
        <v>45851.0</v>
      </c>
      <c r="B172" s="261" t="s">
        <v>8</v>
      </c>
      <c r="C172" s="261" t="s">
        <v>9</v>
      </c>
      <c r="D172" s="261">
        <v>21.0</v>
      </c>
      <c r="E172" s="261" t="s">
        <v>10</v>
      </c>
      <c r="F172" s="261" t="s">
        <v>11</v>
      </c>
      <c r="G172" s="261" t="s">
        <v>32</v>
      </c>
      <c r="H172" s="261">
        <v>7.0</v>
      </c>
      <c r="I172" s="262" t="s">
        <v>13</v>
      </c>
    </row>
    <row r="173">
      <c r="A173" s="260">
        <v>45853.0</v>
      </c>
      <c r="B173" s="261" t="s">
        <v>17</v>
      </c>
      <c r="C173" s="261" t="s">
        <v>9</v>
      </c>
      <c r="D173" s="261">
        <v>12.0</v>
      </c>
      <c r="E173" s="261" t="s">
        <v>10</v>
      </c>
      <c r="F173" s="261" t="s">
        <v>15</v>
      </c>
      <c r="G173" s="261" t="s">
        <v>32</v>
      </c>
      <c r="H173" s="261">
        <v>7.0</v>
      </c>
      <c r="I173" s="262" t="s">
        <v>16</v>
      </c>
    </row>
    <row r="174">
      <c r="A174" s="260">
        <v>45855.0</v>
      </c>
      <c r="B174" s="261" t="s">
        <v>23</v>
      </c>
      <c r="C174" s="261" t="s">
        <v>9</v>
      </c>
      <c r="D174" s="261">
        <v>20.0</v>
      </c>
      <c r="E174" s="261" t="s">
        <v>10</v>
      </c>
      <c r="F174" s="261" t="s">
        <v>11</v>
      </c>
      <c r="G174" s="261" t="s">
        <v>32</v>
      </c>
      <c r="H174" s="261">
        <v>7.0</v>
      </c>
      <c r="I174" s="262" t="s">
        <v>33</v>
      </c>
    </row>
    <row r="175">
      <c r="A175" s="260">
        <v>45858.0</v>
      </c>
      <c r="B175" s="261" t="s">
        <v>8</v>
      </c>
      <c r="C175" s="261" t="s">
        <v>21</v>
      </c>
      <c r="D175" s="261">
        <v>14.0</v>
      </c>
      <c r="E175" s="261" t="s">
        <v>10</v>
      </c>
      <c r="F175" s="261" t="s">
        <v>11</v>
      </c>
      <c r="G175" s="261" t="s">
        <v>32</v>
      </c>
      <c r="H175" s="261">
        <v>7.0</v>
      </c>
      <c r="I175" s="262" t="s">
        <v>13</v>
      </c>
    </row>
    <row r="176">
      <c r="A176" s="260">
        <v>45860.0</v>
      </c>
      <c r="B176" s="261" t="s">
        <v>19</v>
      </c>
      <c r="C176" s="261" t="s">
        <v>9</v>
      </c>
      <c r="D176" s="261">
        <v>7.0</v>
      </c>
      <c r="E176" s="261" t="s">
        <v>10</v>
      </c>
      <c r="F176" s="261" t="s">
        <v>15</v>
      </c>
      <c r="G176" s="261" t="s">
        <v>32</v>
      </c>
      <c r="H176" s="261">
        <v>7.0</v>
      </c>
      <c r="I176" s="262" t="s">
        <v>16</v>
      </c>
    </row>
    <row r="177">
      <c r="A177" s="260">
        <v>45862.0</v>
      </c>
      <c r="B177" s="261" t="s">
        <v>8</v>
      </c>
      <c r="C177" s="261" t="s">
        <v>9</v>
      </c>
      <c r="D177" s="261">
        <v>21.0</v>
      </c>
      <c r="E177" s="261" t="s">
        <v>10</v>
      </c>
      <c r="F177" s="261" t="s">
        <v>11</v>
      </c>
      <c r="G177" s="261" t="s">
        <v>32</v>
      </c>
      <c r="H177" s="261">
        <v>7.0</v>
      </c>
      <c r="I177" s="262" t="s">
        <v>33</v>
      </c>
    </row>
    <row r="178">
      <c r="A178" s="260">
        <v>45865.0</v>
      </c>
      <c r="B178" s="261" t="s">
        <v>17</v>
      </c>
      <c r="C178" s="261" t="s">
        <v>9</v>
      </c>
      <c r="D178" s="261">
        <v>10.0</v>
      </c>
      <c r="E178" s="261" t="s">
        <v>10</v>
      </c>
      <c r="F178" s="261" t="s">
        <v>11</v>
      </c>
      <c r="G178" s="261" t="s">
        <v>32</v>
      </c>
      <c r="H178" s="261">
        <v>7.0</v>
      </c>
      <c r="I178" s="262" t="s">
        <v>13</v>
      </c>
    </row>
    <row r="179">
      <c r="A179" s="260">
        <v>45867.0</v>
      </c>
      <c r="B179" s="261" t="s">
        <v>14</v>
      </c>
      <c r="C179" s="261" t="s">
        <v>9</v>
      </c>
      <c r="D179" s="261">
        <v>25.0</v>
      </c>
      <c r="E179" s="261" t="s">
        <v>10</v>
      </c>
      <c r="F179" s="261" t="s">
        <v>15</v>
      </c>
      <c r="G179" s="261" t="s">
        <v>32</v>
      </c>
      <c r="H179" s="261">
        <v>7.0</v>
      </c>
      <c r="I179" s="262" t="s">
        <v>16</v>
      </c>
    </row>
    <row r="180">
      <c r="A180" s="260">
        <v>45869.0</v>
      </c>
      <c r="B180" s="261" t="s">
        <v>8</v>
      </c>
      <c r="C180" s="261" t="s">
        <v>9</v>
      </c>
      <c r="D180" s="261">
        <v>14.0</v>
      </c>
      <c r="E180" s="261" t="s">
        <v>10</v>
      </c>
      <c r="F180" s="261" t="s">
        <v>11</v>
      </c>
      <c r="G180" s="261" t="s">
        <v>32</v>
      </c>
      <c r="H180" s="261">
        <v>7.0</v>
      </c>
      <c r="I180" s="262" t="s">
        <v>33</v>
      </c>
    </row>
    <row r="181">
      <c r="A181" s="260">
        <v>45872.0</v>
      </c>
      <c r="B181" s="261" t="s">
        <v>19</v>
      </c>
      <c r="C181" s="261" t="s">
        <v>9</v>
      </c>
      <c r="D181" s="261">
        <v>7.0</v>
      </c>
      <c r="E181" s="261" t="s">
        <v>10</v>
      </c>
      <c r="F181" s="261" t="s">
        <v>11</v>
      </c>
      <c r="G181" s="261" t="s">
        <v>34</v>
      </c>
      <c r="H181" s="261">
        <v>8.0</v>
      </c>
      <c r="I181" s="262" t="s">
        <v>13</v>
      </c>
    </row>
    <row r="182">
      <c r="A182" s="260">
        <v>45874.0</v>
      </c>
      <c r="B182" s="261" t="s">
        <v>8</v>
      </c>
      <c r="C182" s="261" t="s">
        <v>9</v>
      </c>
      <c r="D182" s="261">
        <v>28.0</v>
      </c>
      <c r="E182" s="261" t="s">
        <v>22</v>
      </c>
      <c r="F182" s="261" t="s">
        <v>15</v>
      </c>
      <c r="G182" s="261" t="s">
        <v>34</v>
      </c>
      <c r="H182" s="261">
        <v>8.0</v>
      </c>
      <c r="I182" s="262" t="s">
        <v>16</v>
      </c>
    </row>
    <row r="183">
      <c r="A183" s="260">
        <v>45876.0</v>
      </c>
      <c r="B183" s="261" t="s">
        <v>17</v>
      </c>
      <c r="C183" s="261" t="s">
        <v>24</v>
      </c>
      <c r="D183" s="261">
        <v>14.0</v>
      </c>
      <c r="E183" s="261" t="s">
        <v>10</v>
      </c>
      <c r="F183" s="261" t="s">
        <v>11</v>
      </c>
      <c r="G183" s="261" t="s">
        <v>34</v>
      </c>
      <c r="H183" s="261">
        <v>8.0</v>
      </c>
      <c r="I183" s="262" t="s">
        <v>33</v>
      </c>
    </row>
    <row r="184">
      <c r="A184" s="260">
        <v>45879.0</v>
      </c>
      <c r="B184" s="261" t="s">
        <v>8</v>
      </c>
      <c r="C184" s="261" t="s">
        <v>9</v>
      </c>
      <c r="D184" s="261">
        <v>21.0</v>
      </c>
      <c r="E184" s="261" t="s">
        <v>10</v>
      </c>
      <c r="F184" s="261" t="s">
        <v>11</v>
      </c>
      <c r="G184" s="261" t="s">
        <v>34</v>
      </c>
      <c r="H184" s="261">
        <v>8.0</v>
      </c>
      <c r="I184" s="262" t="s">
        <v>13</v>
      </c>
    </row>
    <row r="185">
      <c r="A185" s="260">
        <v>45881.0</v>
      </c>
      <c r="B185" s="261" t="s">
        <v>14</v>
      </c>
      <c r="C185" s="261" t="s">
        <v>9</v>
      </c>
      <c r="D185" s="261">
        <v>23.0</v>
      </c>
      <c r="E185" s="261" t="s">
        <v>10</v>
      </c>
      <c r="F185" s="261" t="s">
        <v>15</v>
      </c>
      <c r="G185" s="261" t="s">
        <v>34</v>
      </c>
      <c r="H185" s="261">
        <v>8.0</v>
      </c>
      <c r="I185" s="262" t="s">
        <v>16</v>
      </c>
    </row>
    <row r="186">
      <c r="A186" s="260">
        <v>45883.0</v>
      </c>
      <c r="B186" s="261" t="s">
        <v>17</v>
      </c>
      <c r="C186" s="261" t="s">
        <v>9</v>
      </c>
      <c r="D186" s="261">
        <v>11.0</v>
      </c>
      <c r="E186" s="261" t="s">
        <v>10</v>
      </c>
      <c r="F186" s="261" t="s">
        <v>11</v>
      </c>
      <c r="G186" s="261" t="s">
        <v>34</v>
      </c>
      <c r="H186" s="261">
        <v>8.0</v>
      </c>
      <c r="I186" s="262" t="s">
        <v>33</v>
      </c>
    </row>
    <row r="187">
      <c r="A187" s="260">
        <v>45886.0</v>
      </c>
      <c r="B187" s="261" t="s">
        <v>8</v>
      </c>
      <c r="C187" s="261" t="s">
        <v>9</v>
      </c>
      <c r="D187" s="261">
        <v>14.0</v>
      </c>
      <c r="E187" s="261" t="s">
        <v>10</v>
      </c>
      <c r="F187" s="261" t="s">
        <v>11</v>
      </c>
      <c r="G187" s="261" t="s">
        <v>34</v>
      </c>
      <c r="H187" s="261">
        <v>8.0</v>
      </c>
      <c r="I187" s="262" t="s">
        <v>13</v>
      </c>
    </row>
    <row r="188">
      <c r="A188" s="260">
        <v>45888.0</v>
      </c>
      <c r="B188" s="261" t="s">
        <v>19</v>
      </c>
      <c r="C188" s="261" t="s">
        <v>9</v>
      </c>
      <c r="D188" s="261">
        <v>7.0</v>
      </c>
      <c r="E188" s="261" t="s">
        <v>10</v>
      </c>
      <c r="F188" s="261" t="s">
        <v>15</v>
      </c>
      <c r="G188" s="261" t="s">
        <v>34</v>
      </c>
      <c r="H188" s="261">
        <v>8.0</v>
      </c>
      <c r="I188" s="262" t="s">
        <v>16</v>
      </c>
    </row>
    <row r="189">
      <c r="A189" s="260">
        <v>45890.0</v>
      </c>
      <c r="B189" s="261" t="s">
        <v>26</v>
      </c>
      <c r="C189" s="261" t="s">
        <v>21</v>
      </c>
      <c r="D189" s="261">
        <v>26.0</v>
      </c>
      <c r="E189" s="261" t="s">
        <v>10</v>
      </c>
      <c r="F189" s="261" t="s">
        <v>11</v>
      </c>
      <c r="G189" s="261" t="s">
        <v>34</v>
      </c>
      <c r="H189" s="261">
        <v>8.0</v>
      </c>
      <c r="I189" s="262" t="s">
        <v>33</v>
      </c>
    </row>
    <row r="190">
      <c r="A190" s="260">
        <v>45893.0</v>
      </c>
      <c r="B190" s="261" t="s">
        <v>8</v>
      </c>
      <c r="C190" s="261" t="s">
        <v>9</v>
      </c>
      <c r="D190" s="261">
        <v>21.0</v>
      </c>
      <c r="E190" s="261" t="s">
        <v>10</v>
      </c>
      <c r="F190" s="261" t="s">
        <v>11</v>
      </c>
      <c r="G190" s="261" t="s">
        <v>34</v>
      </c>
      <c r="H190" s="261">
        <v>8.0</v>
      </c>
      <c r="I190" s="262" t="s">
        <v>13</v>
      </c>
    </row>
    <row r="191">
      <c r="A191" s="260">
        <v>45895.0</v>
      </c>
      <c r="B191" s="261" t="s">
        <v>17</v>
      </c>
      <c r="C191" s="261" t="s">
        <v>9</v>
      </c>
      <c r="D191" s="261">
        <v>10.0</v>
      </c>
      <c r="E191" s="261" t="s">
        <v>10</v>
      </c>
      <c r="F191" s="261" t="s">
        <v>15</v>
      </c>
      <c r="G191" s="261" t="s">
        <v>34</v>
      </c>
      <c r="H191" s="261">
        <v>8.0</v>
      </c>
      <c r="I191" s="262" t="s">
        <v>16</v>
      </c>
    </row>
    <row r="192">
      <c r="A192" s="260">
        <v>45897.0</v>
      </c>
      <c r="B192" s="261" t="s">
        <v>8</v>
      </c>
      <c r="C192" s="261" t="s">
        <v>24</v>
      </c>
      <c r="D192" s="261">
        <v>14.0</v>
      </c>
      <c r="E192" s="261" t="s">
        <v>10</v>
      </c>
      <c r="F192" s="261" t="s">
        <v>11</v>
      </c>
      <c r="G192" s="261" t="s">
        <v>34</v>
      </c>
      <c r="H192" s="261">
        <v>8.0</v>
      </c>
      <c r="I192" s="262" t="s">
        <v>33</v>
      </c>
    </row>
    <row r="193">
      <c r="A193" s="260">
        <v>45900.0</v>
      </c>
      <c r="B193" s="261" t="s">
        <v>23</v>
      </c>
      <c r="C193" s="261" t="s">
        <v>9</v>
      </c>
      <c r="D193" s="261">
        <v>19.0</v>
      </c>
      <c r="E193" s="261" t="s">
        <v>10</v>
      </c>
      <c r="F193" s="261" t="s">
        <v>11</v>
      </c>
      <c r="G193" s="261" t="s">
        <v>34</v>
      </c>
      <c r="H193" s="261">
        <v>8.0</v>
      </c>
      <c r="I193" s="262" t="s">
        <v>13</v>
      </c>
    </row>
    <row r="194">
      <c r="A194" s="260">
        <v>45902.0</v>
      </c>
      <c r="B194" s="261" t="s">
        <v>8</v>
      </c>
      <c r="C194" s="261" t="s">
        <v>9</v>
      </c>
      <c r="D194" s="261">
        <v>14.0</v>
      </c>
      <c r="E194" s="261" t="s">
        <v>10</v>
      </c>
      <c r="F194" s="261" t="s">
        <v>15</v>
      </c>
      <c r="G194" s="261" t="s">
        <v>35</v>
      </c>
      <c r="H194" s="261">
        <v>9.0</v>
      </c>
      <c r="I194" s="262" t="s">
        <v>16</v>
      </c>
    </row>
    <row r="195">
      <c r="A195" s="260">
        <v>45903.0</v>
      </c>
      <c r="B195" s="261" t="s">
        <v>17</v>
      </c>
      <c r="C195" s="261" t="s">
        <v>9</v>
      </c>
      <c r="D195" s="261">
        <v>9.0</v>
      </c>
      <c r="E195" s="261" t="s">
        <v>10</v>
      </c>
      <c r="F195" s="261" t="s">
        <v>11</v>
      </c>
      <c r="G195" s="261" t="s">
        <v>35</v>
      </c>
      <c r="H195" s="261">
        <v>9.0</v>
      </c>
      <c r="I195" s="262" t="s">
        <v>18</v>
      </c>
    </row>
    <row r="196">
      <c r="A196" s="260">
        <v>45905.0</v>
      </c>
      <c r="B196" s="261" t="s">
        <v>14</v>
      </c>
      <c r="C196" s="261" t="s">
        <v>9</v>
      </c>
      <c r="D196" s="261">
        <v>21.0</v>
      </c>
      <c r="E196" s="261" t="s">
        <v>10</v>
      </c>
      <c r="F196" s="261" t="s">
        <v>11</v>
      </c>
      <c r="G196" s="261" t="s">
        <v>35</v>
      </c>
      <c r="H196" s="261">
        <v>9.0</v>
      </c>
      <c r="I196" s="262" t="s">
        <v>20</v>
      </c>
    </row>
    <row r="197">
      <c r="A197" s="260">
        <v>45907.0</v>
      </c>
      <c r="B197" s="261" t="s">
        <v>8</v>
      </c>
      <c r="C197" s="261" t="s">
        <v>21</v>
      </c>
      <c r="D197" s="261">
        <v>14.0</v>
      </c>
      <c r="E197" s="261" t="s">
        <v>10</v>
      </c>
      <c r="F197" s="261" t="s">
        <v>15</v>
      </c>
      <c r="G197" s="261" t="s">
        <v>35</v>
      </c>
      <c r="H197" s="261">
        <v>9.0</v>
      </c>
      <c r="I197" s="262" t="s">
        <v>13</v>
      </c>
    </row>
    <row r="198">
      <c r="A198" s="260">
        <v>45909.0</v>
      </c>
      <c r="B198" s="261" t="s">
        <v>19</v>
      </c>
      <c r="C198" s="261" t="s">
        <v>9</v>
      </c>
      <c r="D198" s="261">
        <v>7.0</v>
      </c>
      <c r="E198" s="261" t="s">
        <v>10</v>
      </c>
      <c r="F198" s="261" t="s">
        <v>11</v>
      </c>
      <c r="G198" s="261" t="s">
        <v>35</v>
      </c>
      <c r="H198" s="261">
        <v>9.0</v>
      </c>
      <c r="I198" s="262" t="s">
        <v>16</v>
      </c>
    </row>
    <row r="199">
      <c r="A199" s="260">
        <v>45910.0</v>
      </c>
      <c r="B199" s="261" t="s">
        <v>17</v>
      </c>
      <c r="C199" s="261" t="s">
        <v>24</v>
      </c>
      <c r="D199" s="261">
        <v>12.0</v>
      </c>
      <c r="E199" s="261" t="s">
        <v>10</v>
      </c>
      <c r="F199" s="261" t="s">
        <v>11</v>
      </c>
      <c r="G199" s="261" t="s">
        <v>35</v>
      </c>
      <c r="H199" s="261">
        <v>9.0</v>
      </c>
      <c r="I199" s="262" t="s">
        <v>18</v>
      </c>
    </row>
    <row r="200">
      <c r="A200" s="260">
        <v>45912.0</v>
      </c>
      <c r="B200" s="261" t="s">
        <v>8</v>
      </c>
      <c r="C200" s="261" t="s">
        <v>9</v>
      </c>
      <c r="D200" s="261">
        <v>14.0</v>
      </c>
      <c r="E200" s="261" t="s">
        <v>10</v>
      </c>
      <c r="F200" s="261" t="s">
        <v>15</v>
      </c>
      <c r="G200" s="261" t="s">
        <v>35</v>
      </c>
      <c r="H200" s="261">
        <v>9.0</v>
      </c>
      <c r="I200" s="262" t="s">
        <v>20</v>
      </c>
    </row>
    <row r="201">
      <c r="A201" s="260">
        <v>45914.0</v>
      </c>
      <c r="B201" s="261" t="s">
        <v>8</v>
      </c>
      <c r="C201" s="261" t="s">
        <v>9</v>
      </c>
      <c r="D201" s="261">
        <v>16.0</v>
      </c>
      <c r="E201" s="261" t="s">
        <v>22</v>
      </c>
      <c r="F201" s="261" t="s">
        <v>11</v>
      </c>
      <c r="G201" s="261" t="s">
        <v>35</v>
      </c>
      <c r="H201" s="261">
        <v>9.0</v>
      </c>
      <c r="I201" s="262" t="s">
        <v>13</v>
      </c>
    </row>
    <row r="202">
      <c r="A202" s="260">
        <v>45916.0</v>
      </c>
      <c r="B202" s="261" t="s">
        <v>23</v>
      </c>
      <c r="C202" s="261" t="s">
        <v>9</v>
      </c>
      <c r="D202" s="261">
        <v>18.0</v>
      </c>
      <c r="E202" s="261" t="s">
        <v>10</v>
      </c>
      <c r="F202" s="261" t="s">
        <v>15</v>
      </c>
      <c r="G202" s="261" t="s">
        <v>35</v>
      </c>
      <c r="H202" s="261">
        <v>9.0</v>
      </c>
      <c r="I202" s="262" t="s">
        <v>16</v>
      </c>
    </row>
    <row r="203">
      <c r="A203" s="260">
        <v>45917.0</v>
      </c>
      <c r="B203" s="261" t="s">
        <v>17</v>
      </c>
      <c r="C203" s="261" t="s">
        <v>9</v>
      </c>
      <c r="D203" s="261">
        <v>10.0</v>
      </c>
      <c r="E203" s="261" t="s">
        <v>10</v>
      </c>
      <c r="F203" s="261" t="s">
        <v>11</v>
      </c>
      <c r="G203" s="261" t="s">
        <v>35</v>
      </c>
      <c r="H203" s="261">
        <v>9.0</v>
      </c>
      <c r="I203" s="262" t="s">
        <v>18</v>
      </c>
    </row>
    <row r="204">
      <c r="A204" s="260">
        <v>45919.0</v>
      </c>
      <c r="B204" s="261" t="s">
        <v>14</v>
      </c>
      <c r="C204" s="261" t="s">
        <v>9</v>
      </c>
      <c r="D204" s="261">
        <v>22.0</v>
      </c>
      <c r="E204" s="261" t="s">
        <v>10</v>
      </c>
      <c r="F204" s="261" t="s">
        <v>11</v>
      </c>
      <c r="G204" s="261" t="s">
        <v>35</v>
      </c>
      <c r="H204" s="261">
        <v>9.0</v>
      </c>
      <c r="I204" s="262" t="s">
        <v>20</v>
      </c>
    </row>
    <row r="205">
      <c r="A205" s="260">
        <v>45921.0</v>
      </c>
      <c r="B205" s="261" t="s">
        <v>8</v>
      </c>
      <c r="C205" s="261" t="s">
        <v>9</v>
      </c>
      <c r="D205" s="261">
        <v>14.0</v>
      </c>
      <c r="E205" s="261" t="s">
        <v>10</v>
      </c>
      <c r="F205" s="261" t="s">
        <v>15</v>
      </c>
      <c r="G205" s="261" t="s">
        <v>35</v>
      </c>
      <c r="H205" s="261">
        <v>9.0</v>
      </c>
      <c r="I205" s="262" t="s">
        <v>13</v>
      </c>
    </row>
    <row r="206">
      <c r="A206" s="260">
        <v>45923.0</v>
      </c>
      <c r="B206" s="261" t="s">
        <v>19</v>
      </c>
      <c r="C206" s="261" t="s">
        <v>9</v>
      </c>
      <c r="D206" s="261">
        <v>7.0</v>
      </c>
      <c r="E206" s="261" t="s">
        <v>10</v>
      </c>
      <c r="F206" s="261" t="s">
        <v>11</v>
      </c>
      <c r="G206" s="261" t="s">
        <v>35</v>
      </c>
      <c r="H206" s="261">
        <v>9.0</v>
      </c>
      <c r="I206" s="262" t="s">
        <v>16</v>
      </c>
    </row>
    <row r="207">
      <c r="A207" s="260">
        <v>45924.0</v>
      </c>
      <c r="B207" s="261" t="s">
        <v>8</v>
      </c>
      <c r="C207" s="261" t="s">
        <v>24</v>
      </c>
      <c r="D207" s="261">
        <v>14.0</v>
      </c>
      <c r="E207" s="261" t="s">
        <v>10</v>
      </c>
      <c r="F207" s="261" t="s">
        <v>11</v>
      </c>
      <c r="G207" s="261" t="s">
        <v>35</v>
      </c>
      <c r="H207" s="261">
        <v>9.0</v>
      </c>
      <c r="I207" s="262" t="s">
        <v>18</v>
      </c>
    </row>
    <row r="208">
      <c r="A208" s="260">
        <v>45926.0</v>
      </c>
      <c r="B208" s="261" t="s">
        <v>26</v>
      </c>
      <c r="C208" s="261" t="s">
        <v>9</v>
      </c>
      <c r="D208" s="261">
        <v>24.0</v>
      </c>
      <c r="E208" s="261" t="s">
        <v>10</v>
      </c>
      <c r="F208" s="261" t="s">
        <v>15</v>
      </c>
      <c r="G208" s="261" t="s">
        <v>35</v>
      </c>
      <c r="H208" s="261">
        <v>9.0</v>
      </c>
      <c r="I208" s="262" t="s">
        <v>20</v>
      </c>
    </row>
    <row r="209">
      <c r="A209" s="260">
        <v>45928.0</v>
      </c>
      <c r="B209" s="261" t="s">
        <v>17</v>
      </c>
      <c r="C209" s="261" t="s">
        <v>9</v>
      </c>
      <c r="D209" s="261">
        <v>9.0</v>
      </c>
      <c r="E209" s="261" t="s">
        <v>10</v>
      </c>
      <c r="F209" s="261" t="s">
        <v>11</v>
      </c>
      <c r="G209" s="261" t="s">
        <v>35</v>
      </c>
      <c r="H209" s="261">
        <v>9.0</v>
      </c>
      <c r="I209" s="262" t="s">
        <v>13</v>
      </c>
    </row>
    <row r="210">
      <c r="A210" s="260">
        <v>45930.0</v>
      </c>
      <c r="B210" s="261" t="s">
        <v>8</v>
      </c>
      <c r="C210" s="261" t="s">
        <v>9</v>
      </c>
      <c r="D210" s="261">
        <v>14.0</v>
      </c>
      <c r="E210" s="261" t="s">
        <v>10</v>
      </c>
      <c r="F210" s="261" t="s">
        <v>11</v>
      </c>
      <c r="G210" s="261" t="s">
        <v>35</v>
      </c>
      <c r="H210" s="261">
        <v>9.0</v>
      </c>
      <c r="I210" s="262" t="s">
        <v>16</v>
      </c>
    </row>
    <row r="211">
      <c r="A211" s="260">
        <v>45931.0</v>
      </c>
      <c r="B211" s="261" t="s">
        <v>14</v>
      </c>
      <c r="C211" s="261" t="s">
        <v>9</v>
      </c>
      <c r="D211" s="261">
        <v>21.0</v>
      </c>
      <c r="E211" s="261" t="s">
        <v>10</v>
      </c>
      <c r="F211" s="261" t="s">
        <v>15</v>
      </c>
      <c r="G211" s="261" t="s">
        <v>36</v>
      </c>
      <c r="H211" s="261">
        <v>10.0</v>
      </c>
      <c r="I211" s="262" t="s">
        <v>18</v>
      </c>
    </row>
    <row r="212">
      <c r="A212" s="260">
        <v>45933.0</v>
      </c>
      <c r="B212" s="261" t="s">
        <v>8</v>
      </c>
      <c r="C212" s="261" t="s">
        <v>21</v>
      </c>
      <c r="D212" s="261">
        <v>14.0</v>
      </c>
      <c r="E212" s="261" t="s">
        <v>10</v>
      </c>
      <c r="F212" s="261" t="s">
        <v>11</v>
      </c>
      <c r="G212" s="261" t="s">
        <v>36</v>
      </c>
      <c r="H212" s="261">
        <v>10.0</v>
      </c>
      <c r="I212" s="262" t="s">
        <v>20</v>
      </c>
    </row>
    <row r="213">
      <c r="A213" s="260">
        <v>45935.0</v>
      </c>
      <c r="B213" s="261" t="s">
        <v>19</v>
      </c>
      <c r="C213" s="261" t="s">
        <v>9</v>
      </c>
      <c r="D213" s="261">
        <v>7.0</v>
      </c>
      <c r="E213" s="261" t="s">
        <v>10</v>
      </c>
      <c r="F213" s="261" t="s">
        <v>11</v>
      </c>
      <c r="G213" s="261" t="s">
        <v>36</v>
      </c>
      <c r="H213" s="261">
        <v>10.0</v>
      </c>
      <c r="I213" s="262" t="s">
        <v>13</v>
      </c>
    </row>
    <row r="214">
      <c r="A214" s="260">
        <v>45937.0</v>
      </c>
      <c r="B214" s="261" t="s">
        <v>17</v>
      </c>
      <c r="C214" s="261" t="s">
        <v>9</v>
      </c>
      <c r="D214" s="261">
        <v>11.0</v>
      </c>
      <c r="E214" s="261" t="s">
        <v>10</v>
      </c>
      <c r="F214" s="261" t="s">
        <v>15</v>
      </c>
      <c r="G214" s="261" t="s">
        <v>36</v>
      </c>
      <c r="H214" s="261">
        <v>10.0</v>
      </c>
      <c r="I214" s="262" t="s">
        <v>16</v>
      </c>
    </row>
    <row r="215">
      <c r="A215" s="260">
        <v>45938.0</v>
      </c>
      <c r="B215" s="261" t="s">
        <v>8</v>
      </c>
      <c r="C215" s="261" t="s">
        <v>9</v>
      </c>
      <c r="D215" s="261">
        <v>14.0</v>
      </c>
      <c r="E215" s="261" t="s">
        <v>10</v>
      </c>
      <c r="F215" s="261" t="s">
        <v>11</v>
      </c>
      <c r="G215" s="261" t="s">
        <v>36</v>
      </c>
      <c r="H215" s="261">
        <v>10.0</v>
      </c>
      <c r="I215" s="262" t="s">
        <v>18</v>
      </c>
    </row>
    <row r="216">
      <c r="A216" s="260">
        <v>45940.0</v>
      </c>
      <c r="B216" s="261" t="s">
        <v>8</v>
      </c>
      <c r="C216" s="261" t="s">
        <v>9</v>
      </c>
      <c r="D216" s="261">
        <v>15.0</v>
      </c>
      <c r="E216" s="261" t="s">
        <v>10</v>
      </c>
      <c r="F216" s="261" t="s">
        <v>11</v>
      </c>
      <c r="G216" s="261" t="s">
        <v>36</v>
      </c>
      <c r="H216" s="261">
        <v>10.0</v>
      </c>
      <c r="I216" s="262" t="s">
        <v>20</v>
      </c>
    </row>
    <row r="217">
      <c r="A217" s="260">
        <v>45942.0</v>
      </c>
      <c r="B217" s="261" t="s">
        <v>23</v>
      </c>
      <c r="C217" s="261" t="s">
        <v>9</v>
      </c>
      <c r="D217" s="261">
        <v>20.0</v>
      </c>
      <c r="E217" s="261" t="s">
        <v>10</v>
      </c>
      <c r="F217" s="261" t="s">
        <v>15</v>
      </c>
      <c r="G217" s="261" t="s">
        <v>36</v>
      </c>
      <c r="H217" s="261">
        <v>10.0</v>
      </c>
      <c r="I217" s="262" t="s">
        <v>13</v>
      </c>
    </row>
    <row r="218">
      <c r="A218" s="260">
        <v>45944.0</v>
      </c>
      <c r="B218" s="261" t="s">
        <v>17</v>
      </c>
      <c r="C218" s="261" t="s">
        <v>24</v>
      </c>
      <c r="D218" s="261">
        <v>10.0</v>
      </c>
      <c r="E218" s="261" t="s">
        <v>10</v>
      </c>
      <c r="F218" s="261" t="s">
        <v>11</v>
      </c>
      <c r="G218" s="261" t="s">
        <v>36</v>
      </c>
      <c r="H218" s="261">
        <v>10.0</v>
      </c>
      <c r="I218" s="262" t="s">
        <v>16</v>
      </c>
    </row>
    <row r="219">
      <c r="A219" s="260">
        <v>45945.0</v>
      </c>
      <c r="B219" s="261" t="s">
        <v>14</v>
      </c>
      <c r="C219" s="261" t="s">
        <v>9</v>
      </c>
      <c r="D219" s="261">
        <v>23.0</v>
      </c>
      <c r="E219" s="261" t="s">
        <v>10</v>
      </c>
      <c r="F219" s="261" t="s">
        <v>11</v>
      </c>
      <c r="G219" s="261" t="s">
        <v>36</v>
      </c>
      <c r="H219" s="261">
        <v>10.0</v>
      </c>
      <c r="I219" s="262" t="s">
        <v>18</v>
      </c>
    </row>
    <row r="220">
      <c r="A220" s="260">
        <v>45947.0</v>
      </c>
      <c r="B220" s="261" t="s">
        <v>8</v>
      </c>
      <c r="C220" s="261" t="s">
        <v>9</v>
      </c>
      <c r="D220" s="261">
        <v>14.0</v>
      </c>
      <c r="E220" s="261" t="s">
        <v>10</v>
      </c>
      <c r="F220" s="261" t="s">
        <v>15</v>
      </c>
      <c r="G220" s="261" t="s">
        <v>36</v>
      </c>
      <c r="H220" s="261">
        <v>10.0</v>
      </c>
      <c r="I220" s="262" t="s">
        <v>20</v>
      </c>
    </row>
    <row r="221">
      <c r="A221" s="260">
        <v>45949.0</v>
      </c>
      <c r="B221" s="261" t="s">
        <v>19</v>
      </c>
      <c r="C221" s="261" t="s">
        <v>9</v>
      </c>
      <c r="D221" s="261">
        <v>7.0</v>
      </c>
      <c r="E221" s="261" t="s">
        <v>10</v>
      </c>
      <c r="F221" s="261" t="s">
        <v>11</v>
      </c>
      <c r="G221" s="261" t="s">
        <v>36</v>
      </c>
      <c r="H221" s="261">
        <v>10.0</v>
      </c>
      <c r="I221" s="262" t="s">
        <v>13</v>
      </c>
    </row>
    <row r="222">
      <c r="A222" s="260">
        <v>45951.0</v>
      </c>
      <c r="B222" s="261" t="s">
        <v>8</v>
      </c>
      <c r="C222" s="261" t="s">
        <v>9</v>
      </c>
      <c r="D222" s="261">
        <v>14.0</v>
      </c>
      <c r="E222" s="261" t="s">
        <v>10</v>
      </c>
      <c r="F222" s="261" t="s">
        <v>11</v>
      </c>
      <c r="G222" s="261" t="s">
        <v>36</v>
      </c>
      <c r="H222" s="261">
        <v>10.0</v>
      </c>
      <c r="I222" s="262" t="s">
        <v>16</v>
      </c>
    </row>
    <row r="223">
      <c r="A223" s="260">
        <v>45952.0</v>
      </c>
      <c r="B223" s="261" t="s">
        <v>17</v>
      </c>
      <c r="C223" s="261" t="s">
        <v>9</v>
      </c>
      <c r="D223" s="261">
        <v>9.0</v>
      </c>
      <c r="E223" s="261" t="s">
        <v>10</v>
      </c>
      <c r="F223" s="261" t="s">
        <v>15</v>
      </c>
      <c r="G223" s="261" t="s">
        <v>36</v>
      </c>
      <c r="H223" s="261">
        <v>10.0</v>
      </c>
      <c r="I223" s="262" t="s">
        <v>18</v>
      </c>
    </row>
    <row r="224">
      <c r="A224" s="260">
        <v>45954.0</v>
      </c>
      <c r="B224" s="261" t="s">
        <v>26</v>
      </c>
      <c r="C224" s="261" t="s">
        <v>21</v>
      </c>
      <c r="D224" s="261">
        <v>25.0</v>
      </c>
      <c r="E224" s="261" t="s">
        <v>10</v>
      </c>
      <c r="F224" s="261" t="s">
        <v>11</v>
      </c>
      <c r="G224" s="261" t="s">
        <v>36</v>
      </c>
      <c r="H224" s="261">
        <v>10.0</v>
      </c>
      <c r="I224" s="262" t="s">
        <v>20</v>
      </c>
    </row>
    <row r="225">
      <c r="A225" s="260">
        <v>45956.0</v>
      </c>
      <c r="B225" s="261" t="s">
        <v>8</v>
      </c>
      <c r="C225" s="261" t="s">
        <v>9</v>
      </c>
      <c r="D225" s="261">
        <v>14.0</v>
      </c>
      <c r="E225" s="261" t="s">
        <v>10</v>
      </c>
      <c r="F225" s="261" t="s">
        <v>11</v>
      </c>
      <c r="G225" s="261" t="s">
        <v>36</v>
      </c>
      <c r="H225" s="261">
        <v>10.0</v>
      </c>
      <c r="I225" s="262" t="s">
        <v>13</v>
      </c>
    </row>
    <row r="226">
      <c r="A226" s="260">
        <v>45958.0</v>
      </c>
      <c r="B226" s="261" t="s">
        <v>8</v>
      </c>
      <c r="C226" s="261" t="s">
        <v>24</v>
      </c>
      <c r="D226" s="261">
        <v>16.0</v>
      </c>
      <c r="E226" s="261" t="s">
        <v>10</v>
      </c>
      <c r="F226" s="261" t="s">
        <v>15</v>
      </c>
      <c r="G226" s="261" t="s">
        <v>36</v>
      </c>
      <c r="H226" s="261">
        <v>10.0</v>
      </c>
      <c r="I226" s="262" t="s">
        <v>16</v>
      </c>
    </row>
    <row r="227">
      <c r="A227" s="260">
        <v>45959.0</v>
      </c>
      <c r="B227" s="261" t="s">
        <v>14</v>
      </c>
      <c r="C227" s="261" t="s">
        <v>9</v>
      </c>
      <c r="D227" s="261">
        <v>21.0</v>
      </c>
      <c r="E227" s="261" t="s">
        <v>10</v>
      </c>
      <c r="F227" s="261" t="s">
        <v>11</v>
      </c>
      <c r="G227" s="261" t="s">
        <v>36</v>
      </c>
      <c r="H227" s="261">
        <v>10.0</v>
      </c>
      <c r="I227" s="262" t="s">
        <v>18</v>
      </c>
    </row>
    <row r="228">
      <c r="A228" s="260">
        <v>45961.0</v>
      </c>
      <c r="B228" s="261" t="s">
        <v>17</v>
      </c>
      <c r="C228" s="261" t="s">
        <v>9</v>
      </c>
      <c r="D228" s="261">
        <v>10.0</v>
      </c>
      <c r="E228" s="261" t="s">
        <v>10</v>
      </c>
      <c r="F228" s="261" t="s">
        <v>11</v>
      </c>
      <c r="G228" s="261" t="s">
        <v>36</v>
      </c>
      <c r="H228" s="261">
        <v>10.0</v>
      </c>
      <c r="I228" s="262" t="s">
        <v>20</v>
      </c>
    </row>
    <row r="229">
      <c r="A229" s="260">
        <v>45963.0</v>
      </c>
      <c r="B229" s="261" t="s">
        <v>8</v>
      </c>
      <c r="C229" s="261" t="s">
        <v>9</v>
      </c>
      <c r="D229" s="261">
        <v>14.0</v>
      </c>
      <c r="E229" s="261" t="s">
        <v>10</v>
      </c>
      <c r="F229" s="261" t="s">
        <v>15</v>
      </c>
      <c r="G229" s="261" t="s">
        <v>37</v>
      </c>
      <c r="H229" s="261">
        <v>11.0</v>
      </c>
      <c r="I229" s="262" t="s">
        <v>13</v>
      </c>
    </row>
    <row r="230">
      <c r="A230" s="260">
        <v>45965.0</v>
      </c>
      <c r="B230" s="261" t="s">
        <v>19</v>
      </c>
      <c r="C230" s="261" t="s">
        <v>9</v>
      </c>
      <c r="D230" s="261">
        <v>7.0</v>
      </c>
      <c r="E230" s="261" t="s">
        <v>10</v>
      </c>
      <c r="F230" s="261" t="s">
        <v>11</v>
      </c>
      <c r="G230" s="261" t="s">
        <v>37</v>
      </c>
      <c r="H230" s="261">
        <v>11.0</v>
      </c>
      <c r="I230" s="262" t="s">
        <v>16</v>
      </c>
    </row>
    <row r="231">
      <c r="A231" s="260">
        <v>45966.0</v>
      </c>
      <c r="B231" s="261" t="s">
        <v>8</v>
      </c>
      <c r="C231" s="261" t="s">
        <v>21</v>
      </c>
      <c r="D231" s="261">
        <v>14.0</v>
      </c>
      <c r="E231" s="261" t="s">
        <v>10</v>
      </c>
      <c r="F231" s="261" t="s">
        <v>11</v>
      </c>
      <c r="G231" s="261" t="s">
        <v>37</v>
      </c>
      <c r="H231" s="261">
        <v>11.0</v>
      </c>
      <c r="I231" s="262" t="s">
        <v>18</v>
      </c>
    </row>
    <row r="232">
      <c r="A232" s="260">
        <v>45968.0</v>
      </c>
      <c r="B232" s="261" t="s">
        <v>17</v>
      </c>
      <c r="C232" s="261" t="s">
        <v>9</v>
      </c>
      <c r="D232" s="261">
        <v>12.0</v>
      </c>
      <c r="E232" s="261" t="s">
        <v>10</v>
      </c>
      <c r="F232" s="261" t="s">
        <v>15</v>
      </c>
      <c r="G232" s="261" t="s">
        <v>37</v>
      </c>
      <c r="H232" s="261">
        <v>11.0</v>
      </c>
      <c r="I232" s="262" t="s">
        <v>20</v>
      </c>
    </row>
    <row r="233">
      <c r="A233" s="260">
        <v>45970.0</v>
      </c>
      <c r="B233" s="261" t="s">
        <v>14</v>
      </c>
      <c r="C233" s="261" t="s">
        <v>9</v>
      </c>
      <c r="D233" s="261">
        <v>22.0</v>
      </c>
      <c r="E233" s="261" t="s">
        <v>10</v>
      </c>
      <c r="F233" s="261" t="s">
        <v>11</v>
      </c>
      <c r="G233" s="261" t="s">
        <v>37</v>
      </c>
      <c r="H233" s="261">
        <v>11.0</v>
      </c>
      <c r="I233" s="262" t="s">
        <v>13</v>
      </c>
    </row>
    <row r="234">
      <c r="A234" s="260">
        <v>45972.0</v>
      </c>
      <c r="B234" s="261" t="s">
        <v>8</v>
      </c>
      <c r="C234" s="261" t="s">
        <v>9</v>
      </c>
      <c r="D234" s="261">
        <v>14.0</v>
      </c>
      <c r="E234" s="261" t="s">
        <v>10</v>
      </c>
      <c r="F234" s="261" t="s">
        <v>11</v>
      </c>
      <c r="G234" s="261" t="s">
        <v>37</v>
      </c>
      <c r="H234" s="261">
        <v>11.0</v>
      </c>
      <c r="I234" s="262" t="s">
        <v>16</v>
      </c>
    </row>
    <row r="235">
      <c r="A235" s="260">
        <v>45973.0</v>
      </c>
      <c r="B235" s="261" t="s">
        <v>23</v>
      </c>
      <c r="C235" s="261" t="s">
        <v>9</v>
      </c>
      <c r="D235" s="261">
        <v>19.0</v>
      </c>
      <c r="E235" s="261" t="s">
        <v>10</v>
      </c>
      <c r="F235" s="261" t="s">
        <v>15</v>
      </c>
      <c r="G235" s="261" t="s">
        <v>37</v>
      </c>
      <c r="H235" s="261">
        <v>11.0</v>
      </c>
      <c r="I235" s="262" t="s">
        <v>18</v>
      </c>
    </row>
    <row r="236">
      <c r="A236" s="260">
        <v>45975.0</v>
      </c>
      <c r="B236" s="261" t="s">
        <v>17</v>
      </c>
      <c r="C236" s="261" t="s">
        <v>24</v>
      </c>
      <c r="D236" s="261">
        <v>9.0</v>
      </c>
      <c r="E236" s="261" t="s">
        <v>10</v>
      </c>
      <c r="F236" s="261" t="s">
        <v>11</v>
      </c>
      <c r="G236" s="261" t="s">
        <v>37</v>
      </c>
      <c r="H236" s="261">
        <v>11.0</v>
      </c>
      <c r="I236" s="262" t="s">
        <v>20</v>
      </c>
    </row>
    <row r="237">
      <c r="A237" s="260">
        <v>45977.0</v>
      </c>
      <c r="B237" s="261" t="s">
        <v>8</v>
      </c>
      <c r="C237" s="261" t="s">
        <v>9</v>
      </c>
      <c r="D237" s="261">
        <v>14.0</v>
      </c>
      <c r="E237" s="261" t="s">
        <v>10</v>
      </c>
      <c r="F237" s="261" t="s">
        <v>11</v>
      </c>
      <c r="G237" s="261" t="s">
        <v>37</v>
      </c>
      <c r="H237" s="261">
        <v>11.0</v>
      </c>
      <c r="I237" s="262" t="s">
        <v>13</v>
      </c>
    </row>
    <row r="238">
      <c r="A238" s="260">
        <v>45979.0</v>
      </c>
      <c r="B238" s="261" t="s">
        <v>19</v>
      </c>
      <c r="C238" s="261" t="s">
        <v>9</v>
      </c>
      <c r="D238" s="261">
        <v>7.0</v>
      </c>
      <c r="E238" s="261" t="s">
        <v>10</v>
      </c>
      <c r="F238" s="261" t="s">
        <v>15</v>
      </c>
      <c r="G238" s="261" t="s">
        <v>37</v>
      </c>
      <c r="H238" s="261">
        <v>11.0</v>
      </c>
      <c r="I238" s="262" t="s">
        <v>16</v>
      </c>
    </row>
    <row r="239">
      <c r="A239" s="260">
        <v>45980.0</v>
      </c>
      <c r="B239" s="261" t="s">
        <v>14</v>
      </c>
      <c r="C239" s="261" t="s">
        <v>9</v>
      </c>
      <c r="D239" s="261">
        <v>24.0</v>
      </c>
      <c r="E239" s="261" t="s">
        <v>22</v>
      </c>
      <c r="F239" s="261" t="s">
        <v>11</v>
      </c>
      <c r="G239" s="261" t="s">
        <v>37</v>
      </c>
      <c r="H239" s="261">
        <v>11.0</v>
      </c>
      <c r="I239" s="262" t="s">
        <v>18</v>
      </c>
    </row>
    <row r="240">
      <c r="A240" s="260">
        <v>45982.0</v>
      </c>
      <c r="B240" s="261" t="s">
        <v>8</v>
      </c>
      <c r="C240" s="261" t="s">
        <v>9</v>
      </c>
      <c r="D240" s="261">
        <v>14.0</v>
      </c>
      <c r="E240" s="261" t="s">
        <v>10</v>
      </c>
      <c r="F240" s="261" t="s">
        <v>11</v>
      </c>
      <c r="G240" s="261" t="s">
        <v>37</v>
      </c>
      <c r="H240" s="261">
        <v>11.0</v>
      </c>
      <c r="I240" s="262" t="s">
        <v>20</v>
      </c>
    </row>
    <row r="241">
      <c r="A241" s="260">
        <v>45984.0</v>
      </c>
      <c r="B241" s="261" t="s">
        <v>17</v>
      </c>
      <c r="C241" s="261" t="s">
        <v>9</v>
      </c>
      <c r="D241" s="261">
        <v>10.0</v>
      </c>
      <c r="E241" s="261" t="s">
        <v>10</v>
      </c>
      <c r="F241" s="261" t="s">
        <v>15</v>
      </c>
      <c r="G241" s="261" t="s">
        <v>37</v>
      </c>
      <c r="H241" s="261">
        <v>11.0</v>
      </c>
      <c r="I241" s="262" t="s">
        <v>13</v>
      </c>
    </row>
    <row r="242">
      <c r="A242" s="260">
        <v>45986.0</v>
      </c>
      <c r="B242" s="261" t="s">
        <v>26</v>
      </c>
      <c r="C242" s="261" t="s">
        <v>9</v>
      </c>
      <c r="D242" s="261">
        <v>26.0</v>
      </c>
      <c r="E242" s="261" t="s">
        <v>10</v>
      </c>
      <c r="F242" s="261" t="s">
        <v>11</v>
      </c>
      <c r="G242" s="261" t="s">
        <v>37</v>
      </c>
      <c r="H242" s="261">
        <v>11.0</v>
      </c>
      <c r="I242" s="262" t="s">
        <v>16</v>
      </c>
    </row>
    <row r="243">
      <c r="A243" s="260">
        <v>45987.0</v>
      </c>
      <c r="B243" s="261" t="s">
        <v>8</v>
      </c>
      <c r="C243" s="261" t="s">
        <v>24</v>
      </c>
      <c r="D243" s="261">
        <v>14.0</v>
      </c>
      <c r="E243" s="261" t="s">
        <v>10</v>
      </c>
      <c r="F243" s="261" t="s">
        <v>11</v>
      </c>
      <c r="G243" s="261" t="s">
        <v>37</v>
      </c>
      <c r="H243" s="261">
        <v>11.0</v>
      </c>
      <c r="I243" s="262" t="s">
        <v>18</v>
      </c>
    </row>
    <row r="244">
      <c r="A244" s="260">
        <v>45989.0</v>
      </c>
      <c r="B244" s="261" t="s">
        <v>8</v>
      </c>
      <c r="C244" s="261" t="s">
        <v>9</v>
      </c>
      <c r="D244" s="261">
        <v>15.0</v>
      </c>
      <c r="E244" s="261" t="s">
        <v>10</v>
      </c>
      <c r="F244" s="261" t="s">
        <v>15</v>
      </c>
      <c r="G244" s="261" t="s">
        <v>37</v>
      </c>
      <c r="H244" s="261">
        <v>11.0</v>
      </c>
      <c r="I244" s="262" t="s">
        <v>20</v>
      </c>
    </row>
    <row r="245">
      <c r="A245" s="260">
        <v>45991.0</v>
      </c>
      <c r="B245" s="261" t="s">
        <v>17</v>
      </c>
      <c r="C245" s="261" t="s">
        <v>9</v>
      </c>
      <c r="D245" s="261">
        <v>11.0</v>
      </c>
      <c r="E245" s="261" t="s">
        <v>10</v>
      </c>
      <c r="F245" s="261" t="s">
        <v>11</v>
      </c>
      <c r="G245" s="261" t="s">
        <v>37</v>
      </c>
      <c r="H245" s="261">
        <v>11.0</v>
      </c>
      <c r="I245" s="262" t="s">
        <v>13</v>
      </c>
    </row>
    <row r="246">
      <c r="A246" s="260">
        <v>45993.0</v>
      </c>
      <c r="B246" s="261" t="s">
        <v>14</v>
      </c>
      <c r="C246" s="261" t="s">
        <v>9</v>
      </c>
      <c r="D246" s="261">
        <v>21.0</v>
      </c>
      <c r="E246" s="261" t="s">
        <v>10</v>
      </c>
      <c r="F246" s="261" t="s">
        <v>11</v>
      </c>
      <c r="G246" s="261" t="s">
        <v>38</v>
      </c>
      <c r="H246" s="261">
        <v>12.0</v>
      </c>
      <c r="I246" s="262" t="s">
        <v>16</v>
      </c>
    </row>
    <row r="247">
      <c r="A247" s="260">
        <v>45994.0</v>
      </c>
      <c r="B247" s="261" t="s">
        <v>8</v>
      </c>
      <c r="C247" s="261" t="s">
        <v>9</v>
      </c>
      <c r="D247" s="261">
        <v>14.0</v>
      </c>
      <c r="E247" s="261" t="s">
        <v>10</v>
      </c>
      <c r="F247" s="261" t="s">
        <v>15</v>
      </c>
      <c r="G247" s="261" t="s">
        <v>38</v>
      </c>
      <c r="H247" s="261">
        <v>12.0</v>
      </c>
      <c r="I247" s="262" t="s">
        <v>18</v>
      </c>
    </row>
    <row r="248">
      <c r="A248" s="260">
        <v>45996.0</v>
      </c>
      <c r="B248" s="261" t="s">
        <v>19</v>
      </c>
      <c r="C248" s="261" t="s">
        <v>9</v>
      </c>
      <c r="D248" s="261">
        <v>7.0</v>
      </c>
      <c r="E248" s="261" t="s">
        <v>10</v>
      </c>
      <c r="F248" s="261" t="s">
        <v>11</v>
      </c>
      <c r="G248" s="261" t="s">
        <v>38</v>
      </c>
      <c r="H248" s="261">
        <v>12.0</v>
      </c>
      <c r="I248" s="262" t="s">
        <v>20</v>
      </c>
    </row>
    <row r="249">
      <c r="A249" s="260">
        <v>45998.0</v>
      </c>
      <c r="B249" s="261" t="s">
        <v>17</v>
      </c>
      <c r="C249" s="261" t="s">
        <v>9</v>
      </c>
      <c r="D249" s="261">
        <v>10.0</v>
      </c>
      <c r="E249" s="261" t="s">
        <v>10</v>
      </c>
      <c r="F249" s="261" t="s">
        <v>11</v>
      </c>
      <c r="G249" s="261" t="s">
        <v>38</v>
      </c>
      <c r="H249" s="261">
        <v>12.0</v>
      </c>
      <c r="I249" s="262" t="s">
        <v>13</v>
      </c>
    </row>
    <row r="250">
      <c r="A250" s="260">
        <v>46000.0</v>
      </c>
      <c r="B250" s="261" t="s">
        <v>8</v>
      </c>
      <c r="C250" s="261" t="s">
        <v>21</v>
      </c>
      <c r="D250" s="261">
        <v>14.0</v>
      </c>
      <c r="E250" s="261" t="s">
        <v>10</v>
      </c>
      <c r="F250" s="261" t="s">
        <v>15</v>
      </c>
      <c r="G250" s="261" t="s">
        <v>38</v>
      </c>
      <c r="H250" s="261">
        <v>12.0</v>
      </c>
      <c r="I250" s="262" t="s">
        <v>16</v>
      </c>
    </row>
    <row r="251">
      <c r="A251" s="260">
        <v>46001.0</v>
      </c>
      <c r="B251" s="261" t="s">
        <v>8</v>
      </c>
      <c r="C251" s="261" t="s">
        <v>9</v>
      </c>
      <c r="D251" s="261">
        <v>14.0</v>
      </c>
      <c r="E251" s="261" t="s">
        <v>10</v>
      </c>
      <c r="F251" s="261" t="s">
        <v>11</v>
      </c>
      <c r="G251" s="261" t="s">
        <v>38</v>
      </c>
      <c r="H251" s="261">
        <v>12.0</v>
      </c>
      <c r="I251" s="262" t="s">
        <v>18</v>
      </c>
    </row>
    <row r="252">
      <c r="A252" s="260">
        <v>46003.0</v>
      </c>
      <c r="B252" s="261" t="s">
        <v>23</v>
      </c>
      <c r="C252" s="261" t="s">
        <v>9</v>
      </c>
      <c r="D252" s="261">
        <v>18.0</v>
      </c>
      <c r="E252" s="261" t="s">
        <v>10</v>
      </c>
      <c r="F252" s="261" t="s">
        <v>11</v>
      </c>
      <c r="G252" s="261" t="s">
        <v>38</v>
      </c>
      <c r="H252" s="261">
        <v>12.0</v>
      </c>
      <c r="I252" s="262" t="s">
        <v>20</v>
      </c>
    </row>
    <row r="253">
      <c r="A253" s="260">
        <v>46005.0</v>
      </c>
      <c r="B253" s="261" t="s">
        <v>17</v>
      </c>
      <c r="C253" s="261" t="s">
        <v>24</v>
      </c>
      <c r="D253" s="261">
        <v>12.0</v>
      </c>
      <c r="E253" s="261" t="s">
        <v>10</v>
      </c>
      <c r="F253" s="261" t="s">
        <v>15</v>
      </c>
      <c r="G253" s="261" t="s">
        <v>38</v>
      </c>
      <c r="H253" s="261">
        <v>12.0</v>
      </c>
      <c r="I253" s="262" t="s">
        <v>13</v>
      </c>
    </row>
    <row r="254">
      <c r="A254" s="260">
        <v>46007.0</v>
      </c>
      <c r="B254" s="261" t="s">
        <v>14</v>
      </c>
      <c r="C254" s="261" t="s">
        <v>9</v>
      </c>
      <c r="D254" s="261">
        <v>23.0</v>
      </c>
      <c r="E254" s="261" t="s">
        <v>10</v>
      </c>
      <c r="F254" s="261" t="s">
        <v>11</v>
      </c>
      <c r="G254" s="261" t="s">
        <v>38</v>
      </c>
      <c r="H254" s="261">
        <v>12.0</v>
      </c>
      <c r="I254" s="262" t="s">
        <v>16</v>
      </c>
    </row>
    <row r="255">
      <c r="A255" s="260">
        <v>46008.0</v>
      </c>
      <c r="B255" s="261" t="s">
        <v>8</v>
      </c>
      <c r="C255" s="261" t="s">
        <v>9</v>
      </c>
      <c r="D255" s="261">
        <v>14.0</v>
      </c>
      <c r="E255" s="261" t="s">
        <v>10</v>
      </c>
      <c r="F255" s="261" t="s">
        <v>11</v>
      </c>
      <c r="G255" s="261" t="s">
        <v>38</v>
      </c>
      <c r="H255" s="261">
        <v>12.0</v>
      </c>
      <c r="I255" s="262" t="s">
        <v>18</v>
      </c>
    </row>
    <row r="256">
      <c r="A256" s="260">
        <v>46010.0</v>
      </c>
      <c r="B256" s="261" t="s">
        <v>19</v>
      </c>
      <c r="C256" s="261" t="s">
        <v>9</v>
      </c>
      <c r="D256" s="261">
        <v>7.0</v>
      </c>
      <c r="E256" s="261" t="s">
        <v>10</v>
      </c>
      <c r="F256" s="261" t="s">
        <v>15</v>
      </c>
      <c r="G256" s="261" t="s">
        <v>38</v>
      </c>
      <c r="H256" s="261">
        <v>12.0</v>
      </c>
      <c r="I256" s="262" t="s">
        <v>20</v>
      </c>
    </row>
    <row r="257">
      <c r="A257" s="260">
        <v>46012.0</v>
      </c>
      <c r="B257" s="261" t="s">
        <v>8</v>
      </c>
      <c r="C257" s="261" t="s">
        <v>9</v>
      </c>
      <c r="D257" s="261">
        <v>21.0</v>
      </c>
      <c r="E257" s="261" t="s">
        <v>10</v>
      </c>
      <c r="F257" s="261" t="s">
        <v>11</v>
      </c>
      <c r="G257" s="261" t="s">
        <v>38</v>
      </c>
      <c r="H257" s="261">
        <v>12.0</v>
      </c>
      <c r="I257" s="262" t="s">
        <v>13</v>
      </c>
    </row>
    <row r="258">
      <c r="A258" s="260">
        <v>46014.0</v>
      </c>
      <c r="B258" s="261" t="s">
        <v>17</v>
      </c>
      <c r="C258" s="261" t="s">
        <v>9</v>
      </c>
      <c r="D258" s="261">
        <v>14.0</v>
      </c>
      <c r="E258" s="261" t="s">
        <v>10</v>
      </c>
      <c r="F258" s="261" t="s">
        <v>11</v>
      </c>
      <c r="G258" s="261" t="s">
        <v>38</v>
      </c>
      <c r="H258" s="261">
        <v>12.0</v>
      </c>
      <c r="I258" s="262" t="s">
        <v>16</v>
      </c>
    </row>
    <row r="259">
      <c r="A259" s="260">
        <v>46015.0</v>
      </c>
      <c r="B259" s="261" t="s">
        <v>26</v>
      </c>
      <c r="C259" s="261" t="s">
        <v>9</v>
      </c>
      <c r="D259" s="261">
        <v>28.0</v>
      </c>
      <c r="E259" s="261" t="s">
        <v>22</v>
      </c>
      <c r="F259" s="261" t="s">
        <v>15</v>
      </c>
      <c r="G259" s="261" t="s">
        <v>38</v>
      </c>
      <c r="H259" s="261">
        <v>12.0</v>
      </c>
      <c r="I259" s="262" t="s">
        <v>18</v>
      </c>
    </row>
    <row r="260">
      <c r="A260" s="260">
        <v>46017.0</v>
      </c>
      <c r="B260" s="261" t="s">
        <v>8</v>
      </c>
      <c r="C260" s="261" t="s">
        <v>9</v>
      </c>
      <c r="D260" s="261">
        <v>14.0</v>
      </c>
      <c r="E260" s="261" t="s">
        <v>10</v>
      </c>
      <c r="F260" s="261" t="s">
        <v>11</v>
      </c>
      <c r="G260" s="261" t="s">
        <v>38</v>
      </c>
      <c r="H260" s="261">
        <v>12.0</v>
      </c>
      <c r="I260" s="262" t="s">
        <v>20</v>
      </c>
    </row>
    <row r="261">
      <c r="A261" s="260">
        <v>46019.0</v>
      </c>
      <c r="B261" s="261" t="s">
        <v>8</v>
      </c>
      <c r="C261" s="261" t="s">
        <v>24</v>
      </c>
      <c r="D261" s="261">
        <v>15.0</v>
      </c>
      <c r="E261" s="261" t="s">
        <v>10</v>
      </c>
      <c r="F261" s="261" t="s">
        <v>11</v>
      </c>
      <c r="G261" s="261" t="s">
        <v>38</v>
      </c>
      <c r="H261" s="261">
        <v>12.0</v>
      </c>
      <c r="I261" s="262" t="s">
        <v>13</v>
      </c>
    </row>
    <row r="262">
      <c r="A262" s="260">
        <v>46021.0</v>
      </c>
      <c r="B262" s="261" t="s">
        <v>17</v>
      </c>
      <c r="C262" s="261" t="s">
        <v>9</v>
      </c>
      <c r="D262" s="261">
        <v>10.0</v>
      </c>
      <c r="E262" s="261" t="s">
        <v>10</v>
      </c>
      <c r="F262" s="261" t="s">
        <v>15</v>
      </c>
      <c r="G262" s="261" t="s">
        <v>38</v>
      </c>
      <c r="H262" s="261">
        <v>12.0</v>
      </c>
      <c r="I262" s="262" t="s">
        <v>16</v>
      </c>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56" t="s">
        <v>0</v>
      </c>
      <c r="B1" s="257" t="s">
        <v>1</v>
      </c>
      <c r="C1" s="257" t="s">
        <v>2</v>
      </c>
      <c r="D1" s="257" t="s">
        <v>3</v>
      </c>
      <c r="E1" s="257" t="s">
        <v>4</v>
      </c>
      <c r="F1" s="257" t="s">
        <v>5</v>
      </c>
      <c r="G1" s="257" t="s">
        <v>6</v>
      </c>
      <c r="H1" s="259" t="s">
        <v>7</v>
      </c>
    </row>
    <row r="2">
      <c r="A2" s="263" t="s">
        <v>125</v>
      </c>
    </row>
  </sheetData>
  <mergeCells count="1">
    <mergeCell ref="A2:H2"/>
  </mergeCells>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1.38"/>
    <col customWidth="1" min="5" max="5" width="15.75"/>
  </cols>
  <sheetData>
    <row r="1">
      <c r="A1" s="256" t="s">
        <v>0</v>
      </c>
      <c r="B1" s="257" t="s">
        <v>1</v>
      </c>
      <c r="C1" s="257" t="s">
        <v>2</v>
      </c>
      <c r="D1" s="257" t="s">
        <v>3</v>
      </c>
      <c r="E1" s="257" t="s">
        <v>4</v>
      </c>
      <c r="F1" s="257" t="s">
        <v>5</v>
      </c>
      <c r="G1" s="257" t="s">
        <v>6</v>
      </c>
      <c r="H1" s="259" t="s">
        <v>7</v>
      </c>
    </row>
    <row r="2">
      <c r="A2" s="260">
        <v>45714.0</v>
      </c>
      <c r="B2" s="261" t="s">
        <v>26</v>
      </c>
      <c r="C2" s="261" t="s">
        <v>21</v>
      </c>
      <c r="D2" s="261">
        <v>25.0</v>
      </c>
      <c r="E2" s="261" t="s">
        <v>10</v>
      </c>
      <c r="F2" s="261" t="s">
        <v>15</v>
      </c>
      <c r="G2" s="261" t="s">
        <v>27</v>
      </c>
      <c r="H2" s="262" t="s">
        <v>18</v>
      </c>
    </row>
    <row r="3">
      <c r="A3" s="260">
        <v>45772.0</v>
      </c>
      <c r="B3" s="261" t="s">
        <v>26</v>
      </c>
      <c r="C3" s="261" t="s">
        <v>21</v>
      </c>
      <c r="D3" s="261">
        <v>26.0</v>
      </c>
      <c r="E3" s="261" t="s">
        <v>10</v>
      </c>
      <c r="F3" s="261" t="s">
        <v>15</v>
      </c>
      <c r="G3" s="261" t="s">
        <v>29</v>
      </c>
      <c r="H3" s="262" t="s">
        <v>20</v>
      </c>
    </row>
    <row r="4">
      <c r="A4" s="260">
        <v>45890.0</v>
      </c>
      <c r="B4" s="261" t="s">
        <v>26</v>
      </c>
      <c r="C4" s="261" t="s">
        <v>21</v>
      </c>
      <c r="D4" s="261">
        <v>26.0</v>
      </c>
      <c r="E4" s="261" t="s">
        <v>10</v>
      </c>
      <c r="F4" s="261" t="s">
        <v>11</v>
      </c>
      <c r="G4" s="261" t="s">
        <v>34</v>
      </c>
      <c r="H4" s="262" t="s">
        <v>33</v>
      </c>
    </row>
    <row r="5">
      <c r="A5" s="260">
        <v>45954.0</v>
      </c>
      <c r="B5" s="261" t="s">
        <v>26</v>
      </c>
      <c r="C5" s="261" t="s">
        <v>21</v>
      </c>
      <c r="D5" s="261">
        <v>25.0</v>
      </c>
      <c r="E5" s="261" t="s">
        <v>10</v>
      </c>
      <c r="F5" s="261" t="s">
        <v>11</v>
      </c>
      <c r="G5" s="261" t="s">
        <v>36</v>
      </c>
      <c r="H5" s="262" t="s">
        <v>20</v>
      </c>
    </row>
    <row r="6">
      <c r="A6" s="260">
        <v>45687.0</v>
      </c>
      <c r="B6" s="261" t="s">
        <v>26</v>
      </c>
      <c r="C6" s="261" t="s">
        <v>21</v>
      </c>
      <c r="D6" s="261">
        <v>27.0</v>
      </c>
      <c r="E6" s="261" t="s">
        <v>22</v>
      </c>
      <c r="F6" s="261" t="s">
        <v>15</v>
      </c>
      <c r="G6" s="261" t="s">
        <v>12</v>
      </c>
      <c r="H6" s="262" t="s">
        <v>33</v>
      </c>
    </row>
  </sheetData>
  <drawing r:id="rId1"/>
  <tableParts count="1">
    <tablePart r:id="rId3"/>
  </tableParts>
</worksheet>
</file>